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slicers/slicer2.xml" ContentType="application/vnd.ms-excel.slicer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source\repos\Requerimientos\Requerimientos\Data\Files\"/>
    </mc:Choice>
  </mc:AlternateContent>
  <xr:revisionPtr revIDLastSave="0" documentId="13_ncr:1_{057C7A90-4B90-411F-A30D-DB837F68D127}" xr6:coauthVersionLast="47" xr6:coauthVersionMax="47" xr10:uidLastSave="{00000000-0000-0000-0000-000000000000}"/>
  <bookViews>
    <workbookView xWindow="-108" yWindow="12852" windowWidth="23256" windowHeight="12456" firstSheet="2" activeTab="4" xr2:uid="{C3702F68-5F81-4882-AF2D-1BF3864A9153}"/>
  </bookViews>
  <sheets>
    <sheet name="Hoja1" sheetId="4" state="hidden" r:id="rId1"/>
    <sheet name="DATOS" sheetId="8" r:id="rId2"/>
    <sheet name="PRODUCTOS" sheetId="1" r:id="rId3"/>
    <sheet name="REGISTRO ENTRADAS Y SALIDAS" sheetId="2" r:id="rId4"/>
    <sheet name="ENTREGA MATERIALES1" sheetId="6" r:id="rId5"/>
    <sheet name="FORMATO IMPRESION" sheetId="7" r:id="rId6"/>
    <sheet name="Hoja2" sheetId="9" state="hidden" r:id="rId7"/>
    <sheet name="Hoja3" sheetId="3" r:id="rId8"/>
    <sheet name="Hoja5" sheetId="11" r:id="rId9"/>
  </sheets>
  <definedNames>
    <definedName name="_xlnm.Print_Area" localSheetId="5">'FORMATO IMPRESION'!$A$1:$E$52</definedName>
    <definedName name="SegmentaciónDeDatos_CATEGORIA">#N/A</definedName>
    <definedName name="SegmentaciónDeDatos_STATU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" i="1" l="1"/>
  <c r="O896" i="2"/>
  <c r="R896" i="2"/>
  <c r="O895" i="2"/>
  <c r="R895" i="2"/>
  <c r="O894" i="2"/>
  <c r="R894" i="2"/>
  <c r="O893" i="2"/>
  <c r="R893" i="2"/>
  <c r="O892" i="2"/>
  <c r="R892" i="2"/>
  <c r="O891" i="2"/>
  <c r="R891" i="2"/>
  <c r="O890" i="2" l="1"/>
  <c r="R890" i="2"/>
  <c r="O889" i="2"/>
  <c r="R889" i="2"/>
  <c r="O888" i="2" l="1"/>
  <c r="R888" i="2"/>
  <c r="O887" i="2"/>
  <c r="R887" i="2"/>
  <c r="O886" i="2"/>
  <c r="R886" i="2"/>
  <c r="O885" i="2"/>
  <c r="R885" i="2"/>
  <c r="O884" i="2"/>
  <c r="R884" i="2"/>
  <c r="O883" i="2"/>
  <c r="R883" i="2"/>
  <c r="E291" i="1"/>
  <c r="O882" i="2"/>
  <c r="R882" i="2"/>
  <c r="O881" i="2"/>
  <c r="R881" i="2"/>
  <c r="O880" i="2"/>
  <c r="R880" i="2"/>
  <c r="E290" i="1"/>
  <c r="O879" i="2"/>
  <c r="R879" i="2"/>
  <c r="O878" i="2"/>
  <c r="R878" i="2"/>
  <c r="O877" i="2"/>
  <c r="R877" i="2"/>
  <c r="O876" i="2"/>
  <c r="R876" i="2"/>
  <c r="O875" i="2"/>
  <c r="R875" i="2"/>
  <c r="O874" i="2"/>
  <c r="R874" i="2"/>
  <c r="O873" i="2"/>
  <c r="R873" i="2"/>
  <c r="E289" i="1"/>
  <c r="E288" i="1"/>
  <c r="E287" i="1"/>
  <c r="E286" i="1"/>
  <c r="E285" i="1"/>
  <c r="E284" i="1"/>
  <c r="E283" i="1"/>
  <c r="O872" i="2" l="1"/>
  <c r="R872" i="2"/>
  <c r="O871" i="2"/>
  <c r="R871" i="2"/>
  <c r="O870" i="2"/>
  <c r="R870" i="2"/>
  <c r="O869" i="2"/>
  <c r="R869" i="2"/>
  <c r="O868" i="2"/>
  <c r="R868" i="2"/>
  <c r="O867" i="2"/>
  <c r="R867" i="2"/>
  <c r="E282" i="1"/>
  <c r="O866" i="2"/>
  <c r="R866" i="2"/>
  <c r="O865" i="2"/>
  <c r="R865" i="2"/>
  <c r="O864" i="2"/>
  <c r="R864" i="2"/>
  <c r="O863" i="2"/>
  <c r="R863" i="2"/>
  <c r="O862" i="2"/>
  <c r="R862" i="2"/>
  <c r="O861" i="2"/>
  <c r="R861" i="2"/>
  <c r="O860" i="2"/>
  <c r="R860" i="2"/>
  <c r="O859" i="2"/>
  <c r="R859" i="2"/>
  <c r="O858" i="2"/>
  <c r="R858" i="2"/>
  <c r="O857" i="2"/>
  <c r="R857" i="2"/>
  <c r="O856" i="2"/>
  <c r="R856" i="2"/>
  <c r="O855" i="2"/>
  <c r="R855" i="2"/>
  <c r="O854" i="2"/>
  <c r="R854" i="2"/>
  <c r="O853" i="2"/>
  <c r="R853" i="2"/>
  <c r="O852" i="2" l="1"/>
  <c r="R852" i="2"/>
  <c r="O851" i="2"/>
  <c r="R851" i="2"/>
  <c r="O850" i="2"/>
  <c r="R850" i="2"/>
  <c r="O849" i="2"/>
  <c r="R849" i="2"/>
  <c r="O848" i="2"/>
  <c r="R848" i="2"/>
  <c r="O847" i="2"/>
  <c r="R847" i="2"/>
  <c r="O846" i="2"/>
  <c r="R846" i="2"/>
  <c r="O845" i="2"/>
  <c r="R845" i="2"/>
  <c r="O844" i="2"/>
  <c r="R844" i="2"/>
  <c r="O843" i="2"/>
  <c r="R843" i="2"/>
  <c r="O842" i="2"/>
  <c r="R842" i="2"/>
  <c r="O841" i="2"/>
  <c r="R841" i="2"/>
  <c r="O840" i="2"/>
  <c r="R840" i="2"/>
  <c r="O839" i="2"/>
  <c r="R839" i="2"/>
  <c r="O838" i="2"/>
  <c r="R838" i="2"/>
  <c r="O837" i="2"/>
  <c r="R837" i="2"/>
  <c r="O836" i="2"/>
  <c r="R836" i="2"/>
  <c r="O835" i="2"/>
  <c r="R835" i="2"/>
  <c r="O834" i="2"/>
  <c r="R834" i="2"/>
  <c r="O833" i="2" l="1"/>
  <c r="R833" i="2"/>
  <c r="O832" i="2"/>
  <c r="R832" i="2"/>
  <c r="O831" i="2"/>
  <c r="R831" i="2"/>
  <c r="O830" i="2"/>
  <c r="R830" i="2"/>
  <c r="E281" i="1"/>
  <c r="E280" i="1"/>
  <c r="E279" i="1"/>
  <c r="O829" i="2"/>
  <c r="R829" i="2"/>
  <c r="O828" i="2"/>
  <c r="R828" i="2"/>
  <c r="O827" i="2"/>
  <c r="R827" i="2"/>
  <c r="O826" i="2"/>
  <c r="R826" i="2"/>
  <c r="O825" i="2"/>
  <c r="R825" i="2"/>
  <c r="O824" i="2"/>
  <c r="R824" i="2"/>
  <c r="O823" i="2"/>
  <c r="R823" i="2"/>
  <c r="O822" i="2"/>
  <c r="R822" i="2"/>
  <c r="O821" i="2"/>
  <c r="R821" i="2"/>
  <c r="O820" i="2"/>
  <c r="R820" i="2"/>
  <c r="O819" i="2"/>
  <c r="R819" i="2"/>
  <c r="O818" i="2"/>
  <c r="R818" i="2"/>
  <c r="O817" i="2"/>
  <c r="R817" i="2"/>
  <c r="O816" i="2"/>
  <c r="R816" i="2"/>
  <c r="O815" i="2"/>
  <c r="R815" i="2"/>
  <c r="O814" i="2"/>
  <c r="R814" i="2"/>
  <c r="O813" i="2"/>
  <c r="R813" i="2"/>
  <c r="O812" i="2"/>
  <c r="R812" i="2"/>
  <c r="O811" i="2"/>
  <c r="R811" i="2"/>
  <c r="O810" i="2"/>
  <c r="R810" i="2"/>
  <c r="E278" i="1"/>
  <c r="E277" i="1"/>
  <c r="E276" i="1"/>
  <c r="O809" i="2"/>
  <c r="R809" i="2"/>
  <c r="O808" i="2"/>
  <c r="R808" i="2"/>
  <c r="O807" i="2"/>
  <c r="R807" i="2"/>
  <c r="O806" i="2" l="1"/>
  <c r="R806" i="2"/>
  <c r="O805" i="2"/>
  <c r="R805" i="2"/>
  <c r="O804" i="2"/>
  <c r="R804" i="2"/>
  <c r="O803" i="2"/>
  <c r="R803" i="2"/>
  <c r="O802" i="2"/>
  <c r="R802" i="2"/>
  <c r="O801" i="2"/>
  <c r="R801" i="2"/>
  <c r="O800" i="2"/>
  <c r="R800" i="2"/>
  <c r="O799" i="2"/>
  <c r="R799" i="2"/>
  <c r="O798" i="2"/>
  <c r="R798" i="2"/>
  <c r="O797" i="2"/>
  <c r="R797" i="2"/>
  <c r="O796" i="2"/>
  <c r="R796" i="2"/>
  <c r="O795" i="2"/>
  <c r="R795" i="2"/>
  <c r="O794" i="2"/>
  <c r="R794" i="2"/>
  <c r="O793" i="2"/>
  <c r="R793" i="2"/>
  <c r="O792" i="2"/>
  <c r="R792" i="2"/>
  <c r="O791" i="2"/>
  <c r="R791" i="2"/>
  <c r="O790" i="2"/>
  <c r="R790" i="2"/>
  <c r="O789" i="2"/>
  <c r="R789" i="2"/>
  <c r="O788" i="2"/>
  <c r="R788" i="2"/>
  <c r="O787" i="2"/>
  <c r="R787" i="2"/>
  <c r="O786" i="2"/>
  <c r="R786" i="2"/>
  <c r="O591" i="2"/>
  <c r="O785" i="2" l="1"/>
  <c r="R785" i="2"/>
  <c r="O784" i="2" l="1"/>
  <c r="R784" i="2"/>
  <c r="E275" i="1"/>
  <c r="O783" i="2"/>
  <c r="R783" i="2"/>
  <c r="O782" i="2"/>
  <c r="R782" i="2"/>
  <c r="O781" i="2"/>
  <c r="R781" i="2"/>
  <c r="O780" i="2"/>
  <c r="R780" i="2"/>
  <c r="O779" i="2"/>
  <c r="R779" i="2"/>
  <c r="O778" i="2"/>
  <c r="R778" i="2"/>
  <c r="O777" i="2"/>
  <c r="R777" i="2"/>
  <c r="O776" i="2"/>
  <c r="R776" i="2"/>
  <c r="O775" i="2"/>
  <c r="R775" i="2"/>
  <c r="O774" i="2"/>
  <c r="R774" i="2"/>
  <c r="O773" i="2"/>
  <c r="R773" i="2"/>
  <c r="O772" i="2"/>
  <c r="R772" i="2"/>
  <c r="O771" i="2"/>
  <c r="R771" i="2"/>
  <c r="O770" i="2"/>
  <c r="R770" i="2"/>
  <c r="O769" i="2"/>
  <c r="R769" i="2"/>
  <c r="O768" i="2"/>
  <c r="R768" i="2"/>
  <c r="O767" i="2"/>
  <c r="R767" i="2"/>
  <c r="O766" i="2" l="1"/>
  <c r="R766" i="2"/>
  <c r="O765" i="2"/>
  <c r="R765" i="2"/>
  <c r="O764" i="2"/>
  <c r="R764" i="2"/>
  <c r="O763" i="2"/>
  <c r="R763" i="2"/>
  <c r="O762" i="2" l="1"/>
  <c r="R762" i="2"/>
  <c r="O761" i="2"/>
  <c r="R761" i="2"/>
  <c r="O760" i="2"/>
  <c r="R760" i="2"/>
  <c r="O759" i="2"/>
  <c r="R759" i="2"/>
  <c r="O758" i="2"/>
  <c r="R758" i="2"/>
  <c r="O757" i="2"/>
  <c r="R757" i="2"/>
  <c r="O756" i="2"/>
  <c r="R756" i="2"/>
  <c r="O755" i="2"/>
  <c r="R755" i="2"/>
  <c r="O754" i="2"/>
  <c r="R754" i="2"/>
  <c r="O753" i="2"/>
  <c r="R753" i="2"/>
  <c r="O752" i="2"/>
  <c r="R752" i="2"/>
  <c r="O751" i="2"/>
  <c r="R751" i="2"/>
  <c r="O750" i="2"/>
  <c r="R750" i="2"/>
  <c r="O749" i="2"/>
  <c r="R749" i="2"/>
  <c r="O748" i="2"/>
  <c r="R748" i="2"/>
  <c r="O747" i="2"/>
  <c r="R747" i="2"/>
  <c r="O746" i="2"/>
  <c r="R746" i="2"/>
  <c r="O745" i="2"/>
  <c r="R745" i="2"/>
  <c r="O744" i="2"/>
  <c r="R744" i="2"/>
  <c r="O743" i="2"/>
  <c r="R743" i="2"/>
  <c r="O742" i="2"/>
  <c r="R742" i="2"/>
  <c r="O741" i="2"/>
  <c r="R741" i="2"/>
  <c r="O740" i="2" l="1"/>
  <c r="R740" i="2"/>
  <c r="O738" i="2" l="1"/>
  <c r="O739" i="2"/>
  <c r="R739" i="2"/>
  <c r="R738" i="2"/>
  <c r="O737" i="2"/>
  <c r="R737" i="2"/>
  <c r="O736" i="2"/>
  <c r="R736" i="2"/>
  <c r="O735" i="2"/>
  <c r="R735" i="2"/>
  <c r="O734" i="2"/>
  <c r="R734" i="2"/>
  <c r="O733" i="2"/>
  <c r="R733" i="2"/>
  <c r="O732" i="2"/>
  <c r="R732" i="2"/>
  <c r="O731" i="2"/>
  <c r="R731" i="2"/>
  <c r="O730" i="2"/>
  <c r="R730" i="2"/>
  <c r="O729" i="2"/>
  <c r="R729" i="2"/>
  <c r="O728" i="2"/>
  <c r="R728" i="2"/>
  <c r="O727" i="2"/>
  <c r="R727" i="2"/>
  <c r="O726" i="2"/>
  <c r="R726" i="2"/>
  <c r="O725" i="2"/>
  <c r="R725" i="2"/>
  <c r="O724" i="2"/>
  <c r="R724" i="2"/>
  <c r="O723" i="2"/>
  <c r="R723" i="2"/>
  <c r="O722" i="2"/>
  <c r="R722" i="2"/>
  <c r="O721" i="2"/>
  <c r="R721" i="2"/>
  <c r="O720" i="2"/>
  <c r="R720" i="2"/>
  <c r="O719" i="2"/>
  <c r="R719" i="2"/>
  <c r="O718" i="2"/>
  <c r="R718" i="2"/>
  <c r="O717" i="2"/>
  <c r="R717" i="2"/>
  <c r="O716" i="2" l="1"/>
  <c r="R716" i="2"/>
  <c r="O715" i="2"/>
  <c r="R715" i="2"/>
  <c r="O714" i="2"/>
  <c r="R714" i="2"/>
  <c r="O713" i="2"/>
  <c r="R713" i="2"/>
  <c r="O712" i="2"/>
  <c r="R712" i="2"/>
  <c r="O711" i="2"/>
  <c r="R711" i="2"/>
  <c r="O710" i="2"/>
  <c r="R710" i="2"/>
  <c r="O709" i="2"/>
  <c r="R709" i="2"/>
  <c r="O708" i="2"/>
  <c r="R708" i="2"/>
  <c r="O707" i="2"/>
  <c r="R707" i="2"/>
  <c r="O706" i="2"/>
  <c r="R706" i="2"/>
  <c r="O705" i="2"/>
  <c r="R705" i="2"/>
  <c r="E274" i="1"/>
  <c r="O704" i="2"/>
  <c r="R704" i="2"/>
  <c r="O703" i="2"/>
  <c r="R703" i="2"/>
  <c r="O702" i="2"/>
  <c r="R702" i="2"/>
  <c r="O701" i="2"/>
  <c r="R701" i="2"/>
  <c r="O700" i="2"/>
  <c r="R700" i="2"/>
  <c r="O699" i="2"/>
  <c r="R699" i="2"/>
  <c r="O698" i="2"/>
  <c r="R698" i="2"/>
  <c r="O697" i="2"/>
  <c r="R697" i="2"/>
  <c r="E273" i="1"/>
  <c r="E272" i="1"/>
  <c r="O696" i="2"/>
  <c r="R696" i="2"/>
  <c r="O695" i="2"/>
  <c r="R695" i="2"/>
  <c r="O694" i="2"/>
  <c r="R694" i="2"/>
  <c r="O693" i="2"/>
  <c r="R693" i="2"/>
  <c r="O692" i="2"/>
  <c r="R692" i="2"/>
  <c r="O691" i="2"/>
  <c r="R691" i="2"/>
  <c r="O690" i="2"/>
  <c r="R690" i="2"/>
  <c r="O689" i="2"/>
  <c r="R689" i="2"/>
  <c r="O688" i="2"/>
  <c r="R688" i="2"/>
  <c r="O687" i="2"/>
  <c r="R687" i="2"/>
  <c r="O686" i="2"/>
  <c r="R686" i="2"/>
  <c r="O685" i="2"/>
  <c r="R685" i="2"/>
  <c r="O684" i="2"/>
  <c r="R684" i="2"/>
  <c r="O683" i="2"/>
  <c r="R683" i="2"/>
  <c r="O682" i="2"/>
  <c r="R682" i="2"/>
  <c r="O681" i="2"/>
  <c r="R681" i="2"/>
  <c r="O680" i="2"/>
  <c r="R680" i="2"/>
  <c r="O679" i="2"/>
  <c r="R679" i="2"/>
  <c r="O678" i="2"/>
  <c r="R678" i="2"/>
  <c r="E271" i="1"/>
  <c r="E270" i="1"/>
  <c r="E269" i="1"/>
  <c r="E268" i="1"/>
  <c r="E267" i="1"/>
  <c r="E266" i="1"/>
  <c r="E265" i="1"/>
  <c r="E264" i="1"/>
  <c r="E263" i="1"/>
  <c r="O677" i="2"/>
  <c r="R677" i="2"/>
  <c r="O676" i="2"/>
  <c r="R676" i="2"/>
  <c r="E262" i="1"/>
  <c r="E261" i="1"/>
  <c r="E260" i="1"/>
  <c r="E259" i="1"/>
  <c r="E258" i="1"/>
  <c r="E257" i="1"/>
  <c r="E256" i="1"/>
  <c r="O675" i="2"/>
  <c r="R675" i="2"/>
  <c r="O674" i="2"/>
  <c r="R674" i="2"/>
  <c r="O673" i="2"/>
  <c r="R673" i="2"/>
  <c r="O672" i="2"/>
  <c r="R672" i="2"/>
  <c r="O671" i="2"/>
  <c r="R671" i="2"/>
  <c r="O670" i="2"/>
  <c r="R670" i="2"/>
  <c r="O669" i="2"/>
  <c r="R669" i="2"/>
  <c r="O668" i="2"/>
  <c r="R668" i="2"/>
  <c r="E255" i="1"/>
  <c r="O667" i="2"/>
  <c r="R667" i="2"/>
  <c r="O666" i="2" l="1"/>
  <c r="R666" i="2"/>
  <c r="O665" i="2"/>
  <c r="R665" i="2"/>
  <c r="O664" i="2"/>
  <c r="R664" i="2"/>
  <c r="O663" i="2"/>
  <c r="R663" i="2"/>
  <c r="O662" i="2"/>
  <c r="R662" i="2"/>
  <c r="O661" i="2"/>
  <c r="R661" i="2"/>
  <c r="O660" i="2"/>
  <c r="R660" i="2"/>
  <c r="E254" i="1"/>
  <c r="O659" i="2"/>
  <c r="R659" i="2"/>
  <c r="E253" i="1"/>
  <c r="O658" i="2"/>
  <c r="R658" i="2"/>
  <c r="E252" i="1"/>
  <c r="O657" i="2"/>
  <c r="R657" i="2"/>
  <c r="O656" i="2"/>
  <c r="R656" i="2"/>
  <c r="E251" i="1"/>
  <c r="E250" i="1"/>
  <c r="O655" i="2"/>
  <c r="R655" i="2"/>
  <c r="O654" i="2"/>
  <c r="R654" i="2"/>
  <c r="O653" i="2" l="1"/>
  <c r="R653" i="2"/>
  <c r="O652" i="2"/>
  <c r="R652" i="2"/>
  <c r="O651" i="2"/>
  <c r="R651" i="2"/>
  <c r="O650" i="2"/>
  <c r="R650" i="2"/>
  <c r="O649" i="2"/>
  <c r="R649" i="2"/>
  <c r="O648" i="2"/>
  <c r="R648" i="2"/>
  <c r="O647" i="2"/>
  <c r="R647" i="2"/>
  <c r="O646" i="2"/>
  <c r="R646" i="2"/>
  <c r="O645" i="2"/>
  <c r="R645" i="2"/>
  <c r="O644" i="2"/>
  <c r="R644" i="2"/>
  <c r="O643" i="2"/>
  <c r="R643" i="2"/>
  <c r="O642" i="2"/>
  <c r="R642" i="2"/>
  <c r="R641" i="2"/>
  <c r="O641" i="2"/>
  <c r="R640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0" i="2"/>
  <c r="E249" i="1"/>
  <c r="O589" i="2"/>
  <c r="O588" i="2"/>
  <c r="O587" i="2"/>
  <c r="O586" i="2"/>
  <c r="O585" i="2"/>
  <c r="O584" i="2"/>
  <c r="O583" i="2"/>
  <c r="O582" i="2"/>
  <c r="O581" i="2"/>
  <c r="O580" i="2"/>
  <c r="O579" i="2"/>
  <c r="E248" i="1"/>
  <c r="E247" i="1"/>
  <c r="E246" i="1"/>
  <c r="E245" i="1"/>
  <c r="O578" i="2"/>
  <c r="O577" i="2"/>
  <c r="O576" i="2"/>
  <c r="O575" i="2"/>
  <c r="O574" i="2"/>
  <c r="O573" i="2"/>
  <c r="O572" i="2"/>
  <c r="E244" i="1"/>
  <c r="O571" i="2"/>
  <c r="E243" i="1"/>
  <c r="O570" i="2"/>
  <c r="O569" i="2"/>
  <c r="O568" i="2"/>
  <c r="O567" i="2"/>
  <c r="E242" i="1"/>
  <c r="E241" i="1"/>
  <c r="O566" i="2"/>
  <c r="O565" i="2"/>
  <c r="O564" i="2" l="1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I4" i="7"/>
  <c r="O518" i="2"/>
  <c r="O517" i="2"/>
  <c r="O516" i="2"/>
  <c r="O515" i="2"/>
  <c r="O514" i="2"/>
  <c r="O513" i="2" l="1"/>
  <c r="O512" i="2"/>
  <c r="O511" i="2"/>
  <c r="O510" i="2"/>
  <c r="O509" i="2"/>
  <c r="O508" i="2"/>
  <c r="O507" i="2"/>
  <c r="O506" i="2"/>
  <c r="O505" i="2"/>
  <c r="O504" i="2"/>
  <c r="O503" i="2"/>
  <c r="O502" i="2"/>
  <c r="O501" i="2"/>
  <c r="E240" i="1"/>
  <c r="O500" i="2"/>
  <c r="O499" i="2" l="1"/>
  <c r="O498" i="2"/>
  <c r="O497" i="2"/>
  <c r="O496" i="2"/>
  <c r="O495" i="2"/>
  <c r="K3" i="9"/>
  <c r="O494" i="2"/>
  <c r="O493" i="2"/>
  <c r="O492" i="2"/>
  <c r="E239" i="1"/>
  <c r="E238" i="1"/>
  <c r="E237" i="1"/>
  <c r="O491" i="2"/>
  <c r="O490" i="2"/>
  <c r="E236" i="1"/>
  <c r="O489" i="2"/>
  <c r="O488" i="2"/>
  <c r="E235" i="1"/>
  <c r="E234" i="1"/>
  <c r="O487" i="2"/>
  <c r="O486" i="2"/>
  <c r="O485" i="2"/>
  <c r="O484" i="2"/>
  <c r="O483" i="2"/>
  <c r="E233" i="1"/>
  <c r="E232" i="1"/>
  <c r="E231" i="1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E229" i="1"/>
  <c r="E230" i="1"/>
  <c r="O457" i="2"/>
  <c r="O456" i="2"/>
  <c r="O455" i="2"/>
  <c r="O454" i="2"/>
  <c r="O453" i="2"/>
  <c r="O452" i="2"/>
  <c r="O451" i="2"/>
  <c r="O450" i="2"/>
  <c r="O449" i="2"/>
  <c r="O448" i="2"/>
  <c r="O447" i="2"/>
  <c r="E228" i="1"/>
  <c r="E227" i="1"/>
  <c r="E226" i="1"/>
  <c r="E225" i="1"/>
  <c r="E224" i="1"/>
  <c r="E223" i="1"/>
  <c r="E222" i="1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E221" i="1"/>
  <c r="E220" i="1"/>
  <c r="E219" i="1"/>
  <c r="E218" i="1"/>
  <c r="E217" i="1"/>
  <c r="O432" i="2" l="1"/>
  <c r="O431" i="2"/>
  <c r="E216" i="1"/>
  <c r="O430" i="2"/>
  <c r="O429" i="2"/>
  <c r="E215" i="1"/>
  <c r="O428" i="2"/>
  <c r="O427" i="2"/>
  <c r="E214" i="1"/>
  <c r="O426" i="2"/>
  <c r="O425" i="2"/>
  <c r="E213" i="1"/>
  <c r="O424" i="2"/>
  <c r="E212" i="1"/>
  <c r="O423" i="2"/>
  <c r="O422" i="2"/>
  <c r="E211" i="1"/>
  <c r="O421" i="2"/>
  <c r="E210" i="1"/>
  <c r="O420" i="2"/>
  <c r="E209" i="1"/>
  <c r="O419" i="2" l="1"/>
  <c r="O418" i="2" l="1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E208" i="1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E207" i="1"/>
  <c r="E206" i="1"/>
  <c r="O369" i="2"/>
  <c r="O368" i="2"/>
  <c r="E205" i="1"/>
  <c r="E204" i="1"/>
  <c r="O367" i="2"/>
  <c r="E203" i="1"/>
  <c r="O366" i="2"/>
  <c r="E202" i="1"/>
  <c r="O365" i="2"/>
  <c r="E201" i="1"/>
  <c r="O364" i="2"/>
  <c r="O363" i="2"/>
  <c r="O362" i="2"/>
  <c r="O361" i="2"/>
  <c r="O360" i="2"/>
  <c r="O359" i="2"/>
  <c r="O358" i="2"/>
  <c r="O357" i="2"/>
  <c r="O356" i="2"/>
  <c r="E200" i="1"/>
  <c r="O355" i="2"/>
  <c r="E199" i="1"/>
  <c r="E198" i="1"/>
  <c r="O354" i="2"/>
  <c r="E197" i="1"/>
  <c r="O353" i="2"/>
  <c r="E196" i="1"/>
  <c r="O352" i="2"/>
  <c r="E195" i="1"/>
  <c r="O351" i="2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O350" i="2"/>
  <c r="O349" i="2" l="1"/>
  <c r="O348" i="2"/>
  <c r="O347" i="2"/>
  <c r="O346" i="2"/>
  <c r="O345" i="2"/>
  <c r="E177" i="1"/>
  <c r="O344" i="2"/>
  <c r="O343" i="2"/>
  <c r="E176" i="1"/>
  <c r="O342" i="2"/>
  <c r="O341" i="2"/>
  <c r="O340" i="2"/>
  <c r="O339" i="2"/>
  <c r="O338" i="2"/>
  <c r="O337" i="2"/>
  <c r="O336" i="2"/>
  <c r="O335" i="2"/>
  <c r="O334" i="2"/>
  <c r="O333" i="2"/>
  <c r="O332" i="2"/>
  <c r="O331" i="2"/>
  <c r="E175" i="1"/>
  <c r="O330" i="2"/>
  <c r="O329" i="2"/>
  <c r="O328" i="2"/>
  <c r="O327" i="2"/>
  <c r="E174" i="1"/>
  <c r="O326" i="2" l="1"/>
  <c r="O325" i="2"/>
  <c r="O324" i="2"/>
  <c r="O323" i="2"/>
  <c r="E173" i="1"/>
  <c r="E172" i="1"/>
  <c r="E171" i="1"/>
  <c r="E170" i="1"/>
  <c r="J132" i="6"/>
  <c r="J131" i="6"/>
  <c r="O322" i="2"/>
  <c r="E169" i="1"/>
  <c r="O321" i="2"/>
  <c r="O320" i="2"/>
  <c r="O319" i="2"/>
  <c r="E168" i="1"/>
  <c r="O318" i="2"/>
  <c r="E167" i="1"/>
  <c r="J130" i="6"/>
  <c r="J129" i="6"/>
  <c r="J128" i="6"/>
  <c r="J127" i="6"/>
  <c r="J126" i="6"/>
  <c r="J125" i="6"/>
  <c r="J124" i="6"/>
  <c r="O317" i="2"/>
  <c r="O316" i="2"/>
  <c r="O315" i="2"/>
  <c r="O314" i="2"/>
  <c r="O313" i="2"/>
  <c r="O312" i="2"/>
  <c r="O311" i="2"/>
  <c r="O310" i="2"/>
  <c r="O309" i="2"/>
  <c r="O308" i="2"/>
  <c r="O307" i="2"/>
  <c r="O306" i="2"/>
  <c r="J123" i="6"/>
  <c r="J122" i="6"/>
  <c r="J121" i="6"/>
  <c r="O305" i="2"/>
  <c r="O304" i="2"/>
  <c r="E166" i="1"/>
  <c r="E165" i="1" l="1"/>
  <c r="O303" i="2"/>
  <c r="O302" i="2"/>
  <c r="O301" i="2"/>
  <c r="O300" i="2"/>
  <c r="E164" i="1"/>
  <c r="E163" i="1"/>
  <c r="E162" i="1"/>
  <c r="E161" i="1"/>
  <c r="O299" i="2"/>
  <c r="E160" i="1"/>
  <c r="O298" i="2"/>
  <c r="E159" i="1"/>
  <c r="O297" i="2"/>
  <c r="E158" i="1"/>
  <c r="E157" i="1"/>
  <c r="O296" i="2"/>
  <c r="O295" i="2"/>
  <c r="E156" i="1"/>
  <c r="O294" i="2"/>
  <c r="O293" i="2"/>
  <c r="O292" i="2"/>
  <c r="O291" i="2"/>
  <c r="O290" i="2"/>
  <c r="O289" i="2"/>
  <c r="O288" i="2"/>
  <c r="O287" i="2"/>
  <c r="O286" i="2"/>
  <c r="O285" i="2"/>
  <c r="O284" i="2"/>
  <c r="E155" i="1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E154" i="1"/>
  <c r="E153" i="1"/>
  <c r="E152" i="1"/>
  <c r="O245" i="2"/>
  <c r="O244" i="2"/>
  <c r="O243" i="2"/>
  <c r="E151" i="1"/>
  <c r="E150" i="1"/>
  <c r="E149" i="1"/>
  <c r="E148" i="1"/>
  <c r="E147" i="1"/>
  <c r="E146" i="1"/>
  <c r="E145" i="1"/>
  <c r="E144" i="1"/>
  <c r="O242" i="2" l="1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J120" i="6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J119" i="6"/>
  <c r="J118" i="6"/>
  <c r="J117" i="6"/>
  <c r="J116" i="6"/>
  <c r="J115" i="6"/>
  <c r="J114" i="6"/>
  <c r="J113" i="6"/>
  <c r="J112" i="6"/>
  <c r="J111" i="6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E140" i="1"/>
  <c r="O155" i="2"/>
  <c r="O154" i="2"/>
  <c r="E143" i="1"/>
  <c r="E142" i="1"/>
  <c r="E141" i="1"/>
  <c r="O153" i="2"/>
  <c r="J110" i="6"/>
  <c r="J109" i="6"/>
  <c r="J108" i="6"/>
  <c r="J107" i="6"/>
  <c r="J106" i="6"/>
  <c r="J105" i="6"/>
  <c r="O152" i="2"/>
  <c r="O151" i="2"/>
  <c r="O150" i="2"/>
  <c r="O149" i="2"/>
  <c r="O148" i="2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E31" i="7" l="1"/>
  <c r="C33" i="7"/>
  <c r="C31" i="7"/>
  <c r="J45" i="6"/>
  <c r="J44" i="6"/>
  <c r="J43" i="6"/>
  <c r="J42" i="6"/>
  <c r="J41" i="6"/>
  <c r="O147" i="2"/>
  <c r="O146" i="2"/>
  <c r="E139" i="1"/>
  <c r="J40" i="6"/>
  <c r="J39" i="6"/>
  <c r="O145" i="2"/>
  <c r="O144" i="2"/>
  <c r="E138" i="1"/>
  <c r="J38" i="6"/>
  <c r="O143" i="2"/>
  <c r="E137" i="1"/>
  <c r="J37" i="6"/>
  <c r="O142" i="2"/>
  <c r="E136" i="1"/>
  <c r="E135" i="1"/>
  <c r="J36" i="6"/>
  <c r="O141" i="2"/>
  <c r="O140" i="2"/>
  <c r="O139" i="2"/>
  <c r="O138" i="2"/>
  <c r="E134" i="1"/>
  <c r="J35" i="6"/>
  <c r="O137" i="2"/>
  <c r="O136" i="2"/>
  <c r="E133" i="1"/>
  <c r="E132" i="1"/>
  <c r="O135" i="2"/>
  <c r="O134" i="2"/>
  <c r="O133" i="2"/>
  <c r="O132" i="2" l="1"/>
  <c r="O131" i="2"/>
  <c r="O130" i="2"/>
  <c r="E131" i="1"/>
  <c r="E130" i="1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9" i="6"/>
  <c r="J10" i="6"/>
  <c r="J11" i="6"/>
  <c r="J12" i="6"/>
  <c r="J13" i="6"/>
  <c r="J14" i="6"/>
  <c r="J15" i="6"/>
  <c r="J16" i="6"/>
  <c r="O129" i="2" l="1"/>
  <c r="O128" i="2"/>
  <c r="E129" i="1"/>
  <c r="E128" i="1"/>
  <c r="E127" i="1"/>
  <c r="E126" i="1"/>
  <c r="E125" i="1"/>
  <c r="E124" i="1"/>
  <c r="E123" i="1"/>
  <c r="O125" i="2"/>
  <c r="O126" i="2"/>
  <c r="O127" i="2"/>
  <c r="O115" i="2"/>
  <c r="O116" i="2"/>
  <c r="O117" i="2"/>
  <c r="O118" i="2"/>
  <c r="O119" i="2"/>
  <c r="O120" i="2"/>
  <c r="O121" i="2"/>
  <c r="O122" i="2"/>
  <c r="O123" i="2"/>
  <c r="O124" i="2"/>
  <c r="E122" i="1"/>
  <c r="E121" i="1"/>
  <c r="E120" i="1"/>
  <c r="E119" i="1"/>
  <c r="E118" i="1"/>
  <c r="E117" i="1"/>
  <c r="E116" i="1"/>
  <c r="E115" i="1"/>
  <c r="E114" i="1"/>
  <c r="E113" i="1"/>
  <c r="E112" i="1"/>
  <c r="O111" i="2"/>
  <c r="O112" i="2"/>
  <c r="O113" i="2"/>
  <c r="O114" i="2"/>
  <c r="O108" i="2"/>
  <c r="O109" i="2"/>
  <c r="O110" i="2"/>
  <c r="O101" i="2"/>
  <c r="O102" i="2"/>
  <c r="O103" i="2"/>
  <c r="O104" i="2"/>
  <c r="O105" i="2"/>
  <c r="O106" i="2"/>
  <c r="O107" i="2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O97" i="2"/>
  <c r="O98" i="2"/>
  <c r="O99" i="2"/>
  <c r="O100" i="2"/>
  <c r="O92" i="2"/>
  <c r="O93" i="2"/>
  <c r="O94" i="2"/>
  <c r="O95" i="2"/>
  <c r="O96" i="2"/>
  <c r="O91" i="2"/>
  <c r="E97" i="1"/>
  <c r="E96" i="1"/>
  <c r="E95" i="1"/>
  <c r="E94" i="1"/>
  <c r="E93" i="1"/>
  <c r="E92" i="1"/>
  <c r="E91" i="1"/>
  <c r="E90" i="1"/>
  <c r="O90" i="2"/>
  <c r="O89" i="2"/>
  <c r="O88" i="2"/>
  <c r="O87" i="2"/>
  <c r="O86" i="2"/>
  <c r="O85" i="2"/>
  <c r="O84" i="2"/>
  <c r="O83" i="2"/>
  <c r="O82" i="2"/>
  <c r="E89" i="1"/>
  <c r="E88" i="1"/>
  <c r="E87" i="1"/>
  <c r="E86" i="1"/>
  <c r="E85" i="1"/>
  <c r="E84" i="1"/>
  <c r="E83" i="1"/>
  <c r="E82" i="1"/>
  <c r="E81" i="1"/>
  <c r="O81" i="2"/>
  <c r="O80" i="2"/>
  <c r="O79" i="2"/>
  <c r="O78" i="2"/>
  <c r="O77" i="2"/>
  <c r="O76" i="2"/>
  <c r="O75" i="2"/>
  <c r="O74" i="2"/>
  <c r="O73" i="2"/>
  <c r="O72" i="2"/>
  <c r="O71" i="2"/>
  <c r="E80" i="1"/>
  <c r="D3" i="4"/>
  <c r="D4" i="4"/>
  <c r="D5" i="4"/>
  <c r="D6" i="4"/>
  <c r="D7" i="4"/>
  <c r="D8" i="4"/>
  <c r="D9" i="4"/>
  <c r="D10" i="4"/>
  <c r="D11" i="4"/>
  <c r="D12" i="4"/>
  <c r="D13" i="4"/>
  <c r="D14" i="4"/>
  <c r="E79" i="1"/>
  <c r="E78" i="1"/>
  <c r="E77" i="1"/>
  <c r="E76" i="1"/>
  <c r="E75" i="1"/>
  <c r="E74" i="1"/>
  <c r="E73" i="1"/>
  <c r="E72" i="1"/>
  <c r="E71" i="1"/>
  <c r="O70" i="2"/>
  <c r="O69" i="2"/>
  <c r="O68" i="2"/>
  <c r="O67" i="2"/>
  <c r="E70" i="1"/>
  <c r="E69" i="1"/>
  <c r="E68" i="1"/>
  <c r="E67" i="1"/>
  <c r="E66" i="1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A7" i="4"/>
  <c r="A8" i="4"/>
  <c r="A6" i="4"/>
  <c r="D2" i="4"/>
  <c r="B3" i="4"/>
  <c r="B4" i="4"/>
  <c r="B2" i="4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B290" i="1" l="1"/>
  <c r="B291" i="1"/>
  <c r="C132" i="6" s="1"/>
  <c r="B289" i="1"/>
  <c r="B134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6" i="1"/>
  <c r="B188" i="1"/>
  <c r="B189" i="1"/>
  <c r="B185" i="1"/>
  <c r="B187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6" i="1"/>
  <c r="B167" i="1"/>
  <c r="C131" i="6" s="1"/>
  <c r="B165" i="1"/>
  <c r="B164" i="1"/>
  <c r="C123" i="6" s="1"/>
  <c r="B163" i="1"/>
  <c r="B162" i="1"/>
  <c r="B161" i="1"/>
  <c r="B160" i="1"/>
  <c r="B159" i="1"/>
  <c r="B158" i="1"/>
  <c r="B157" i="1"/>
  <c r="B156" i="1"/>
  <c r="B155" i="1"/>
  <c r="B154" i="1"/>
  <c r="C120" i="6" s="1"/>
  <c r="B153" i="1"/>
  <c r="B152" i="1"/>
  <c r="B151" i="1"/>
  <c r="B150" i="1"/>
  <c r="B149" i="1"/>
  <c r="B148" i="1"/>
  <c r="B147" i="1"/>
  <c r="B146" i="1"/>
  <c r="B145" i="1"/>
  <c r="B144" i="1"/>
  <c r="C126" i="6" s="1"/>
  <c r="B143" i="1"/>
  <c r="C157" i="2" s="1"/>
  <c r="B142" i="1"/>
  <c r="C156" i="2" s="1"/>
  <c r="B141" i="1"/>
  <c r="C155" i="2" s="1"/>
  <c r="B140" i="1"/>
  <c r="C154" i="2" s="1"/>
  <c r="B139" i="1"/>
  <c r="C153" i="2" s="1"/>
  <c r="B138" i="1"/>
  <c r="C112" i="6" s="1"/>
  <c r="B137" i="1"/>
  <c r="B136" i="1"/>
  <c r="B135" i="1"/>
  <c r="B133" i="1"/>
  <c r="B132" i="1"/>
  <c r="B131" i="1"/>
  <c r="B129" i="1"/>
  <c r="C131" i="2" s="1"/>
  <c r="B127" i="1"/>
  <c r="B123" i="1"/>
  <c r="B125" i="1"/>
  <c r="B126" i="1"/>
  <c r="B128" i="1"/>
  <c r="B124" i="1"/>
  <c r="B122" i="1"/>
  <c r="B120" i="1"/>
  <c r="B97" i="1"/>
  <c r="B103" i="1"/>
  <c r="B111" i="1"/>
  <c r="C124" i="6" s="1"/>
  <c r="B113" i="1"/>
  <c r="B121" i="1"/>
  <c r="B90" i="1"/>
  <c r="B91" i="1"/>
  <c r="B105" i="1"/>
  <c r="B115" i="1"/>
  <c r="B98" i="1"/>
  <c r="B106" i="1"/>
  <c r="B93" i="1"/>
  <c r="B99" i="1"/>
  <c r="B107" i="1"/>
  <c r="B117" i="1"/>
  <c r="B114" i="1"/>
  <c r="B94" i="1"/>
  <c r="C125" i="6" s="1"/>
  <c r="B118" i="1"/>
  <c r="B88" i="1"/>
  <c r="B95" i="1"/>
  <c r="B101" i="1"/>
  <c r="B109" i="1"/>
  <c r="B119" i="1"/>
  <c r="B41" i="1"/>
  <c r="B33" i="1"/>
  <c r="C32" i="6" s="1"/>
  <c r="B25" i="1"/>
  <c r="C119" i="6" s="1"/>
  <c r="B89" i="1"/>
  <c r="B102" i="1"/>
  <c r="C129" i="6" s="1"/>
  <c r="B110" i="1"/>
  <c r="B92" i="1"/>
  <c r="B96" i="1"/>
  <c r="B100" i="1"/>
  <c r="B104" i="1"/>
  <c r="B108" i="1"/>
  <c r="B112" i="1"/>
  <c r="B116" i="1"/>
  <c r="B17" i="1"/>
  <c r="C110" i="6" s="1"/>
  <c r="B48" i="1"/>
  <c r="B24" i="1"/>
  <c r="C147" i="2" s="1"/>
  <c r="B16" i="1"/>
  <c r="B75" i="1"/>
  <c r="B49" i="1"/>
  <c r="B57" i="1"/>
  <c r="B65" i="1"/>
  <c r="B69" i="1"/>
  <c r="B73" i="1"/>
  <c r="B87" i="1"/>
  <c r="B47" i="1"/>
  <c r="B39" i="1"/>
  <c r="B31" i="1"/>
  <c r="C30" i="6" s="1"/>
  <c r="B23" i="1"/>
  <c r="C148" i="2" s="1"/>
  <c r="B15" i="1"/>
  <c r="C29" i="6" s="1"/>
  <c r="B70" i="1"/>
  <c r="B64" i="1"/>
  <c r="B40" i="1"/>
  <c r="C106" i="6" s="1"/>
  <c r="B46" i="1"/>
  <c r="B38" i="1"/>
  <c r="C115" i="6" s="1"/>
  <c r="B30" i="1"/>
  <c r="B22" i="1"/>
  <c r="B14" i="1"/>
  <c r="B51" i="1"/>
  <c r="B59" i="1"/>
  <c r="B84" i="1"/>
  <c r="B72" i="1"/>
  <c r="B45" i="1"/>
  <c r="B37" i="1"/>
  <c r="B29" i="1"/>
  <c r="B21" i="1"/>
  <c r="C118" i="6" s="1"/>
  <c r="B13" i="1"/>
  <c r="C109" i="6" s="1"/>
  <c r="B52" i="1"/>
  <c r="B60" i="1"/>
  <c r="B76" i="1"/>
  <c r="B80" i="1"/>
  <c r="B85" i="1"/>
  <c r="C127" i="6" s="1"/>
  <c r="B56" i="1"/>
  <c r="B32" i="1"/>
  <c r="B36" i="1"/>
  <c r="C116" i="6" s="1"/>
  <c r="B28" i="1"/>
  <c r="C117" i="6" s="1"/>
  <c r="B20" i="1"/>
  <c r="B12" i="1"/>
  <c r="B53" i="1"/>
  <c r="B61" i="1"/>
  <c r="B77" i="1"/>
  <c r="B86" i="1"/>
  <c r="B81" i="1"/>
  <c r="B44" i="1"/>
  <c r="B43" i="1"/>
  <c r="B35" i="1"/>
  <c r="B27" i="1"/>
  <c r="B19" i="1"/>
  <c r="C19" i="6" s="1"/>
  <c r="B11" i="1"/>
  <c r="C121" i="6" s="1"/>
  <c r="B54" i="1"/>
  <c r="B62" i="1"/>
  <c r="B68" i="1"/>
  <c r="B42" i="1"/>
  <c r="B34" i="1"/>
  <c r="B26" i="1"/>
  <c r="B18" i="1"/>
  <c r="C27" i="6" s="1"/>
  <c r="B10" i="1"/>
  <c r="B55" i="1"/>
  <c r="B63" i="1"/>
  <c r="B67" i="1"/>
  <c r="B71" i="1"/>
  <c r="B79" i="1"/>
  <c r="B50" i="1"/>
  <c r="B9" i="1"/>
  <c r="C111" i="6" s="1"/>
  <c r="B66" i="1"/>
  <c r="B8" i="1"/>
  <c r="B82" i="1"/>
  <c r="B58" i="1"/>
  <c r="B78" i="1"/>
  <c r="B74" i="1"/>
  <c r="B83" i="1"/>
  <c r="C662" i="2" l="1"/>
  <c r="C113" i="6"/>
  <c r="C640" i="2"/>
  <c r="C17" i="6"/>
  <c r="C122" i="6"/>
  <c r="C128" i="6"/>
  <c r="C130" i="6"/>
  <c r="C149" i="2"/>
  <c r="C114" i="6"/>
  <c r="C38" i="6"/>
  <c r="C144" i="2"/>
  <c r="C145" i="2"/>
  <c r="C40" i="6"/>
  <c r="C146" i="2"/>
  <c r="C130" i="2"/>
  <c r="K130" i="2" s="1"/>
  <c r="C132" i="2"/>
  <c r="C133" i="2"/>
  <c r="C134" i="2"/>
  <c r="C139" i="2"/>
  <c r="C140" i="2"/>
  <c r="C135" i="2"/>
  <c r="C136" i="2"/>
  <c r="C152" i="2"/>
  <c r="K152" i="2" s="1"/>
  <c r="C150" i="2"/>
  <c r="C8" i="2"/>
  <c r="C137" i="2"/>
  <c r="K137" i="2" s="1"/>
  <c r="C138" i="2"/>
  <c r="C9" i="6"/>
  <c r="C10" i="2"/>
  <c r="C36" i="6"/>
  <c r="C141" i="2"/>
  <c r="C151" i="2"/>
  <c r="C9" i="2"/>
  <c r="C37" i="6"/>
  <c r="C142" i="2"/>
  <c r="C143" i="2"/>
  <c r="G154" i="2"/>
  <c r="F154" i="2"/>
  <c r="E154" i="2"/>
  <c r="K154" i="2"/>
  <c r="C89" i="6"/>
  <c r="C64" i="6"/>
  <c r="C82" i="6"/>
  <c r="C97" i="6"/>
  <c r="C81" i="6"/>
  <c r="C72" i="6"/>
  <c r="C108" i="6"/>
  <c r="C67" i="6"/>
  <c r="C103" i="6"/>
  <c r="C87" i="6"/>
  <c r="C45" i="6"/>
  <c r="C52" i="6"/>
  <c r="C50" i="6"/>
  <c r="C48" i="6"/>
  <c r="C59" i="6"/>
  <c r="C46" i="6"/>
  <c r="C57" i="6"/>
  <c r="C95" i="6"/>
  <c r="C71" i="6"/>
  <c r="C55" i="6"/>
  <c r="C90" i="6"/>
  <c r="C41" i="6"/>
  <c r="C78" i="6"/>
  <c r="C66" i="6"/>
  <c r="C79" i="6"/>
  <c r="C42" i="6"/>
  <c r="C99" i="6"/>
  <c r="C75" i="6"/>
  <c r="C54" i="6"/>
  <c r="C31" i="6"/>
  <c r="C80" i="6"/>
  <c r="C68" i="6"/>
  <c r="C104" i="6"/>
  <c r="C88" i="6"/>
  <c r="C98" i="6"/>
  <c r="C74" i="6"/>
  <c r="C43" i="6"/>
  <c r="C35" i="6"/>
  <c r="C33" i="6"/>
  <c r="C96" i="6"/>
  <c r="C60" i="6"/>
  <c r="C51" i="6"/>
  <c r="C49" i="6"/>
  <c r="C56" i="6"/>
  <c r="C91" i="6"/>
  <c r="C83" i="6"/>
  <c r="C47" i="6"/>
  <c r="C53" i="6"/>
  <c r="C107" i="6"/>
  <c r="C58" i="6"/>
  <c r="C73" i="6"/>
  <c r="C65" i="6"/>
  <c r="C44" i="6"/>
  <c r="C39" i="6"/>
  <c r="C61" i="6"/>
  <c r="C76" i="6"/>
  <c r="C63" i="6"/>
  <c r="C70" i="6"/>
  <c r="C93" i="6"/>
  <c r="C77" i="6"/>
  <c r="C101" i="6"/>
  <c r="C85" i="6"/>
  <c r="C62" i="6"/>
  <c r="C94" i="6"/>
  <c r="C86" i="6"/>
  <c r="C102" i="6"/>
  <c r="C84" i="6"/>
  <c r="C100" i="6"/>
  <c r="C92" i="6"/>
  <c r="C69" i="6"/>
  <c r="C28" i="6"/>
  <c r="C105" i="6"/>
  <c r="E131" i="2"/>
  <c r="K131" i="2"/>
  <c r="G131" i="2"/>
  <c r="F131" i="2"/>
  <c r="C26" i="6"/>
  <c r="C34" i="6"/>
  <c r="C14" i="6"/>
  <c r="C23" i="6"/>
  <c r="C25" i="6"/>
  <c r="C16" i="6"/>
  <c r="C21" i="6"/>
  <c r="C12" i="6"/>
  <c r="C22" i="6"/>
  <c r="C13" i="6"/>
  <c r="C11" i="6"/>
  <c r="C20" i="6"/>
  <c r="C10" i="6"/>
  <c r="C18" i="6"/>
  <c r="C15" i="6"/>
  <c r="C24" i="6"/>
  <c r="K640" i="2" l="1"/>
  <c r="G640" i="2"/>
  <c r="E640" i="2"/>
  <c r="F640" i="2"/>
  <c r="G137" i="2"/>
  <c r="F137" i="2"/>
  <c r="F130" i="2"/>
  <c r="E130" i="2"/>
  <c r="G130" i="2"/>
  <c r="E137" i="2"/>
  <c r="E152" i="2"/>
  <c r="F152" i="2"/>
  <c r="G152" i="2"/>
  <c r="E148" i="2"/>
  <c r="K148" i="2"/>
  <c r="G148" i="2"/>
  <c r="F148" i="2"/>
  <c r="E150" i="2"/>
  <c r="K150" i="2"/>
  <c r="F150" i="2"/>
  <c r="G150" i="2"/>
  <c r="F147" i="2"/>
  <c r="G147" i="2"/>
  <c r="E147" i="2"/>
  <c r="K147" i="2"/>
  <c r="E133" i="2"/>
  <c r="F133" i="2"/>
  <c r="G133" i="2"/>
  <c r="K133" i="2"/>
  <c r="E134" i="2"/>
  <c r="F134" i="2"/>
  <c r="G134" i="2"/>
  <c r="K134" i="2"/>
  <c r="K132" i="2"/>
  <c r="G132" i="2" l="1"/>
  <c r="E132" i="2"/>
  <c r="F132" i="2"/>
  <c r="G135" i="2"/>
  <c r="K135" i="2" l="1"/>
  <c r="E135" i="2"/>
  <c r="F135" i="2"/>
  <c r="G136" i="2"/>
  <c r="K136" i="2" l="1"/>
  <c r="E136" i="2"/>
  <c r="F136" i="2"/>
  <c r="F138" i="2" l="1"/>
  <c r="E138" i="2" l="1"/>
  <c r="K138" i="2"/>
  <c r="G138" i="2"/>
  <c r="E139" i="2"/>
  <c r="K139" i="2" l="1"/>
  <c r="F139" i="2"/>
  <c r="G139" i="2"/>
  <c r="K140" i="2"/>
  <c r="G140" i="2" l="1"/>
  <c r="F140" i="2"/>
  <c r="E140" i="2"/>
  <c r="G141" i="2"/>
  <c r="E141" i="2" l="1"/>
  <c r="F141" i="2"/>
  <c r="K141" i="2"/>
  <c r="G142" i="2"/>
  <c r="F142" i="2" l="1"/>
  <c r="E142" i="2"/>
  <c r="K142" i="2"/>
  <c r="E143" i="2"/>
  <c r="F143" i="2" l="1"/>
  <c r="G143" i="2"/>
  <c r="K143" i="2"/>
  <c r="K144" i="2"/>
  <c r="G144" i="2" l="1"/>
  <c r="F144" i="2"/>
  <c r="E144" i="2"/>
  <c r="K145" i="2"/>
  <c r="E145" i="2" l="1"/>
  <c r="F145" i="2"/>
  <c r="G145" i="2"/>
  <c r="E146" i="2"/>
  <c r="G146" i="2" l="1"/>
  <c r="K146" i="2"/>
  <c r="F146" i="2"/>
  <c r="G149" i="2" l="1"/>
  <c r="F149" i="2" l="1"/>
  <c r="E149" i="2"/>
  <c r="K149" i="2"/>
  <c r="G151" i="2"/>
  <c r="E151" i="2" l="1"/>
  <c r="F151" i="2"/>
  <c r="K151" i="2"/>
  <c r="G153" i="2" l="1"/>
  <c r="E153" i="2"/>
  <c r="F153" i="2"/>
  <c r="K153" i="2"/>
  <c r="E155" i="2"/>
  <c r="F155" i="2" l="1"/>
  <c r="K155" i="2"/>
  <c r="G155" i="2"/>
  <c r="E156" i="2"/>
  <c r="F156" i="2" l="1"/>
  <c r="G156" i="2"/>
  <c r="K156" i="2"/>
  <c r="E157" i="2"/>
  <c r="F157" i="2"/>
  <c r="G157" i="2"/>
  <c r="K157" i="2" l="1"/>
  <c r="G8" i="2" l="1"/>
  <c r="F8" i="2"/>
  <c r="K8" i="2"/>
  <c r="E8" i="2"/>
  <c r="K9" i="2" l="1"/>
  <c r="F9" i="2"/>
  <c r="E9" i="2"/>
  <c r="G9" i="2"/>
  <c r="K10" i="2"/>
  <c r="E10" i="2"/>
  <c r="G10" i="2" l="1"/>
  <c r="F10" i="2"/>
  <c r="C11" i="2"/>
  <c r="G11" i="2" l="1"/>
  <c r="F11" i="2"/>
  <c r="K11" i="2"/>
  <c r="E11" i="2"/>
  <c r="C12" i="2"/>
  <c r="G12" i="2" l="1"/>
  <c r="K12" i="2"/>
  <c r="E12" i="2"/>
  <c r="F12" i="2"/>
  <c r="C13" i="2"/>
  <c r="G13" i="2" l="1"/>
  <c r="F13" i="2"/>
  <c r="E13" i="2"/>
  <c r="K13" i="2"/>
  <c r="C14" i="2"/>
  <c r="G14" i="2" l="1"/>
  <c r="K14" i="2"/>
  <c r="E14" i="2"/>
  <c r="F14" i="2"/>
  <c r="C15" i="2"/>
  <c r="F15" i="2" s="1"/>
  <c r="G15" i="2" l="1"/>
  <c r="K15" i="2"/>
  <c r="E15" i="2"/>
  <c r="C16" i="2"/>
  <c r="K16" i="2" l="1"/>
  <c r="F16" i="2"/>
  <c r="G16" i="2"/>
  <c r="E16" i="2"/>
  <c r="C17" i="2"/>
  <c r="E17" i="2" l="1"/>
  <c r="G17" i="2"/>
  <c r="K17" i="2"/>
  <c r="F17" i="2"/>
  <c r="C18" i="2"/>
  <c r="E18" i="2" l="1"/>
  <c r="F18" i="2"/>
  <c r="K18" i="2"/>
  <c r="G18" i="2"/>
  <c r="C19" i="2"/>
  <c r="F19" i="2" l="1"/>
  <c r="E19" i="2"/>
  <c r="G19" i="2"/>
  <c r="K19" i="2"/>
  <c r="C20" i="2"/>
  <c r="F20" i="2" l="1"/>
  <c r="E20" i="2"/>
  <c r="G20" i="2"/>
  <c r="K20" i="2"/>
  <c r="C21" i="2"/>
  <c r="G21" i="2" l="1"/>
  <c r="E21" i="2"/>
  <c r="F21" i="2"/>
  <c r="K21" i="2"/>
  <c r="C22" i="2"/>
  <c r="F22" i="2" l="1"/>
  <c r="G22" i="2"/>
  <c r="E22" i="2"/>
  <c r="K22" i="2"/>
  <c r="C23" i="2"/>
  <c r="G23" i="2" l="1"/>
  <c r="E23" i="2"/>
  <c r="K23" i="2"/>
  <c r="F23" i="2"/>
  <c r="C24" i="2"/>
  <c r="E24" i="2" l="1"/>
  <c r="F24" i="2"/>
  <c r="K24" i="2"/>
  <c r="G24" i="2"/>
  <c r="C25" i="2"/>
  <c r="F25" i="2" l="1"/>
  <c r="K25" i="2"/>
  <c r="G25" i="2"/>
  <c r="E25" i="2"/>
  <c r="C26" i="2"/>
  <c r="E26" i="2" s="1"/>
  <c r="K26" i="2" l="1"/>
  <c r="G26" i="2"/>
  <c r="F26" i="2"/>
  <c r="C27" i="2"/>
  <c r="F27" i="2" l="1"/>
  <c r="E27" i="2"/>
  <c r="K27" i="2"/>
  <c r="G27" i="2"/>
  <c r="C28" i="2"/>
  <c r="F28" i="2" l="1"/>
  <c r="E28" i="2"/>
  <c r="G28" i="2"/>
  <c r="K28" i="2"/>
  <c r="C29" i="2"/>
  <c r="K29" i="2" s="1"/>
  <c r="C30" i="2"/>
  <c r="G29" i="2" l="1"/>
  <c r="E29" i="2"/>
  <c r="F29" i="2"/>
  <c r="G30" i="2"/>
  <c r="K30" i="2"/>
  <c r="F30" i="2"/>
  <c r="E30" i="2"/>
  <c r="C31" i="2"/>
  <c r="G31" i="2" s="1"/>
  <c r="K31" i="2" l="1"/>
  <c r="E31" i="2"/>
  <c r="F31" i="2"/>
  <c r="C32" i="2"/>
  <c r="G32" i="2" s="1"/>
  <c r="E32" i="2" l="1"/>
  <c r="F32" i="2"/>
  <c r="K32" i="2"/>
  <c r="C33" i="2"/>
  <c r="K33" i="2" l="1"/>
  <c r="G33" i="2"/>
  <c r="F33" i="2"/>
  <c r="E33" i="2"/>
  <c r="C34" i="2"/>
  <c r="E34" i="2" s="1"/>
  <c r="G34" i="2" l="1"/>
  <c r="F34" i="2"/>
  <c r="K34" i="2"/>
  <c r="C35" i="2"/>
  <c r="G35" i="2" s="1"/>
  <c r="F35" i="2" l="1"/>
  <c r="K35" i="2"/>
  <c r="E35" i="2"/>
  <c r="C36" i="2"/>
  <c r="E36" i="2" l="1"/>
  <c r="F36" i="2"/>
  <c r="K36" i="2"/>
  <c r="G36" i="2"/>
  <c r="C37" i="2"/>
  <c r="K37" i="2" s="1"/>
  <c r="E37" i="2" l="1"/>
  <c r="G37" i="2"/>
  <c r="F37" i="2"/>
  <c r="C38" i="2"/>
  <c r="E38" i="2" l="1"/>
  <c r="G38" i="2"/>
  <c r="K38" i="2"/>
  <c r="F38" i="2"/>
  <c r="C39" i="2"/>
  <c r="F39" i="2" s="1"/>
  <c r="G39" i="2" l="1"/>
  <c r="K39" i="2"/>
  <c r="E39" i="2"/>
  <c r="C40" i="2"/>
  <c r="F40" i="2" l="1"/>
  <c r="K40" i="2"/>
  <c r="E40" i="2"/>
  <c r="G40" i="2"/>
  <c r="C41" i="2"/>
  <c r="G41" i="2" l="1"/>
  <c r="E41" i="2"/>
  <c r="K41" i="2"/>
  <c r="F41" i="2"/>
  <c r="C42" i="2"/>
  <c r="K42" i="2" l="1"/>
  <c r="F42" i="2"/>
  <c r="G42" i="2"/>
  <c r="E42" i="2"/>
  <c r="C43" i="2"/>
  <c r="F43" i="2" s="1"/>
  <c r="E43" i="2" l="1"/>
  <c r="K43" i="2"/>
  <c r="G43" i="2"/>
  <c r="C44" i="2"/>
  <c r="G44" i="2" l="1"/>
  <c r="K44" i="2"/>
  <c r="F44" i="2"/>
  <c r="E44" i="2"/>
  <c r="C45" i="2"/>
  <c r="F45" i="2" s="1"/>
  <c r="G45" i="2" l="1"/>
  <c r="K45" i="2"/>
  <c r="E45" i="2"/>
  <c r="C46" i="2"/>
  <c r="K46" i="2" s="1"/>
  <c r="E46" i="2" l="1"/>
  <c r="F46" i="2"/>
  <c r="G46" i="2"/>
  <c r="C47" i="2"/>
  <c r="F47" i="2" l="1"/>
  <c r="K47" i="2"/>
  <c r="G47" i="2"/>
  <c r="E47" i="2"/>
  <c r="C48" i="2"/>
  <c r="E48" i="2" l="1"/>
  <c r="K48" i="2"/>
  <c r="F48" i="2"/>
  <c r="G48" i="2"/>
  <c r="C49" i="2"/>
  <c r="E49" i="2" l="1"/>
  <c r="G49" i="2"/>
  <c r="F49" i="2"/>
  <c r="K49" i="2"/>
  <c r="C50" i="2"/>
  <c r="F50" i="2" s="1"/>
  <c r="K50" i="2" l="1"/>
  <c r="E50" i="2"/>
  <c r="G50" i="2"/>
  <c r="C51" i="2"/>
  <c r="F51" i="2" l="1"/>
  <c r="E51" i="2"/>
  <c r="G51" i="2"/>
  <c r="K51" i="2"/>
  <c r="C52" i="2"/>
  <c r="F52" i="2" l="1"/>
  <c r="G52" i="2"/>
  <c r="E52" i="2"/>
  <c r="K52" i="2"/>
  <c r="C53" i="2"/>
  <c r="G53" i="2" s="1"/>
  <c r="F53" i="2" l="1"/>
  <c r="E53" i="2"/>
  <c r="C54" i="2"/>
  <c r="G54" i="2" l="1"/>
  <c r="K54" i="2"/>
  <c r="E54" i="2"/>
  <c r="F54" i="2"/>
  <c r="C55" i="2"/>
  <c r="K55" i="2" s="1"/>
  <c r="F55" i="2" l="1"/>
  <c r="E55" i="2"/>
  <c r="G55" i="2"/>
  <c r="C56" i="2"/>
  <c r="K56" i="2" l="1"/>
  <c r="F56" i="2"/>
  <c r="E56" i="2"/>
  <c r="G56" i="2"/>
  <c r="C57" i="2"/>
  <c r="E57" i="2" l="1"/>
  <c r="G57" i="2"/>
  <c r="F57" i="2"/>
  <c r="K57" i="2"/>
  <c r="C58" i="2"/>
  <c r="E58" i="2" l="1"/>
  <c r="G58" i="2"/>
  <c r="K58" i="2"/>
  <c r="F58" i="2"/>
  <c r="C59" i="2"/>
  <c r="G59" i="2" s="1"/>
  <c r="F59" i="2" l="1"/>
  <c r="E59" i="2"/>
  <c r="K59" i="2"/>
  <c r="C60" i="2"/>
  <c r="G60" i="2" s="1"/>
  <c r="F60" i="2" l="1"/>
  <c r="E60" i="2"/>
  <c r="K60" i="2"/>
  <c r="C61" i="2"/>
  <c r="F61" i="2" l="1"/>
  <c r="E61" i="2"/>
  <c r="K61" i="2"/>
  <c r="G61" i="2"/>
  <c r="C62" i="2"/>
  <c r="F62" i="2" l="1"/>
  <c r="G62" i="2"/>
  <c r="E62" i="2"/>
  <c r="K62" i="2"/>
  <c r="C63" i="2"/>
  <c r="K63" i="2" l="1"/>
  <c r="G63" i="2"/>
  <c r="F63" i="2"/>
  <c r="E63" i="2"/>
  <c r="C64" i="2"/>
  <c r="F64" i="2" s="1"/>
  <c r="G64" i="2" l="1"/>
  <c r="E64" i="2"/>
  <c r="K64" i="2"/>
  <c r="C65" i="2"/>
  <c r="G65" i="2" l="1"/>
  <c r="E65" i="2"/>
  <c r="F65" i="2"/>
  <c r="K65" i="2"/>
  <c r="C66" i="2"/>
  <c r="G66" i="2" s="1"/>
  <c r="K66" i="2" l="1"/>
  <c r="F66" i="2"/>
  <c r="E66" i="2"/>
  <c r="C67" i="2"/>
  <c r="E67" i="2" s="1"/>
  <c r="K67" i="2" l="1"/>
  <c r="F67" i="2"/>
  <c r="G67" i="2"/>
  <c r="C68" i="2"/>
  <c r="G68" i="2" l="1"/>
  <c r="F68" i="2"/>
  <c r="E68" i="2"/>
  <c r="K68" i="2"/>
  <c r="C69" i="2"/>
  <c r="G69" i="2" s="1"/>
  <c r="F69" i="2" l="1"/>
  <c r="K69" i="2"/>
  <c r="E69" i="2"/>
  <c r="C70" i="2"/>
  <c r="G70" i="2" s="1"/>
  <c r="E70" i="2" l="1"/>
  <c r="K70" i="2"/>
  <c r="F70" i="2"/>
  <c r="C71" i="2"/>
  <c r="E71" i="2" l="1"/>
  <c r="G71" i="2"/>
  <c r="F71" i="2"/>
  <c r="K71" i="2"/>
  <c r="C72" i="2"/>
  <c r="F72" i="2" s="1"/>
  <c r="C73" i="2"/>
  <c r="F73" i="2" s="1"/>
  <c r="G73" i="2" l="1"/>
  <c r="E73" i="2"/>
  <c r="G72" i="2"/>
  <c r="K72" i="2"/>
  <c r="E72" i="2"/>
  <c r="K73" i="2"/>
  <c r="C74" i="2"/>
  <c r="G74" i="2" s="1"/>
  <c r="C75" i="2"/>
  <c r="E74" i="2" l="1"/>
  <c r="K74" i="2"/>
  <c r="F74" i="2"/>
  <c r="F75" i="2"/>
  <c r="E75" i="2"/>
  <c r="K75" i="2"/>
  <c r="G75" i="2"/>
  <c r="C76" i="2"/>
  <c r="G76" i="2" s="1"/>
  <c r="F76" i="2" l="1"/>
  <c r="E76" i="2"/>
  <c r="K76" i="2"/>
  <c r="C77" i="2"/>
  <c r="K77" i="2" l="1"/>
  <c r="G77" i="2"/>
  <c r="E77" i="2"/>
  <c r="F77" i="2"/>
  <c r="C78" i="2"/>
  <c r="G78" i="2" s="1"/>
  <c r="K78" i="2" l="1"/>
  <c r="F78" i="2"/>
  <c r="E78" i="2"/>
  <c r="C79" i="2"/>
  <c r="G79" i="2" l="1"/>
  <c r="F79" i="2"/>
  <c r="E79" i="2"/>
  <c r="K79" i="2"/>
  <c r="C80" i="2"/>
  <c r="K80" i="2" s="1"/>
  <c r="E80" i="2" l="1"/>
  <c r="F80" i="2"/>
  <c r="G80" i="2"/>
  <c r="C81" i="2"/>
  <c r="K81" i="2" s="1"/>
  <c r="E81" i="2" l="1"/>
  <c r="F81" i="2"/>
  <c r="G81" i="2"/>
  <c r="C82" i="2"/>
  <c r="K82" i="2" l="1"/>
  <c r="F82" i="2"/>
  <c r="G82" i="2"/>
  <c r="E82" i="2"/>
  <c r="C83" i="2"/>
  <c r="E83" i="2" l="1"/>
  <c r="F83" i="2"/>
  <c r="K83" i="2"/>
  <c r="G83" i="2"/>
  <c r="C84" i="2"/>
  <c r="E84" i="2" l="1"/>
  <c r="F84" i="2"/>
  <c r="G84" i="2"/>
  <c r="K84" i="2"/>
  <c r="C85" i="2"/>
  <c r="E85" i="2" s="1"/>
  <c r="F85" i="2" l="1"/>
  <c r="K85" i="2"/>
  <c r="G85" i="2"/>
  <c r="C86" i="2"/>
  <c r="F86" i="2" l="1"/>
  <c r="E86" i="2"/>
  <c r="K86" i="2"/>
  <c r="G86" i="2"/>
  <c r="C87" i="2"/>
  <c r="G87" i="2" l="1"/>
  <c r="K87" i="2"/>
  <c r="F87" i="2"/>
  <c r="E87" i="2"/>
  <c r="C88" i="2"/>
  <c r="E88" i="2" s="1"/>
  <c r="K88" i="2" l="1"/>
  <c r="F88" i="2"/>
  <c r="G88" i="2"/>
  <c r="C89" i="2"/>
  <c r="E89" i="2" l="1"/>
  <c r="K89" i="2"/>
  <c r="G89" i="2"/>
  <c r="F89" i="2"/>
  <c r="C90" i="2"/>
  <c r="E90" i="2" s="1"/>
  <c r="K90" i="2" l="1"/>
  <c r="G90" i="2"/>
  <c r="F90" i="2"/>
  <c r="C91" i="2"/>
  <c r="K91" i="2" l="1"/>
  <c r="F91" i="2"/>
  <c r="G91" i="2"/>
  <c r="E91" i="2"/>
  <c r="C92" i="2"/>
  <c r="G92" i="2" s="1"/>
  <c r="F92" i="2" l="1"/>
  <c r="K92" i="2"/>
  <c r="E92" i="2"/>
  <c r="C93" i="2"/>
  <c r="G93" i="2" l="1"/>
  <c r="E93" i="2"/>
  <c r="K93" i="2"/>
  <c r="F93" i="2"/>
  <c r="C94" i="2"/>
  <c r="E94" i="2" l="1"/>
  <c r="G94" i="2"/>
  <c r="K94" i="2"/>
  <c r="F94" i="2"/>
  <c r="C95" i="2"/>
  <c r="F95" i="2" l="1"/>
  <c r="G95" i="2"/>
  <c r="K95" i="2"/>
  <c r="E95" i="2"/>
  <c r="C96" i="2"/>
  <c r="E96" i="2" l="1"/>
  <c r="F96" i="2"/>
  <c r="K96" i="2"/>
  <c r="G96" i="2"/>
  <c r="C97" i="2"/>
  <c r="E97" i="2" l="1"/>
  <c r="F97" i="2"/>
  <c r="G97" i="2"/>
  <c r="K97" i="2"/>
  <c r="C98" i="2"/>
  <c r="G98" i="2" s="1"/>
  <c r="E98" i="2" l="1"/>
  <c r="F98" i="2"/>
  <c r="K98" i="2"/>
  <c r="C99" i="2"/>
  <c r="F99" i="2" l="1"/>
  <c r="K99" i="2"/>
  <c r="G99" i="2"/>
  <c r="E99" i="2"/>
  <c r="C100" i="2"/>
  <c r="F100" i="2" l="1"/>
  <c r="G100" i="2"/>
  <c r="K100" i="2"/>
  <c r="E100" i="2"/>
  <c r="C101" i="2"/>
  <c r="K101" i="2" s="1"/>
  <c r="G101" i="2" l="1"/>
  <c r="E101" i="2"/>
  <c r="F101" i="2"/>
  <c r="C102" i="2"/>
  <c r="F102" i="2" l="1"/>
  <c r="K102" i="2"/>
  <c r="E102" i="2"/>
  <c r="G102" i="2"/>
  <c r="C103" i="2"/>
  <c r="F103" i="2" s="1"/>
  <c r="G103" i="2" l="1"/>
  <c r="K103" i="2"/>
  <c r="E103" i="2"/>
  <c r="C104" i="2"/>
  <c r="F104" i="2" s="1"/>
  <c r="E104" i="2" l="1"/>
  <c r="K104" i="2"/>
  <c r="G104" i="2"/>
  <c r="C105" i="2"/>
  <c r="G105" i="2" s="1"/>
  <c r="E105" i="2" l="1"/>
  <c r="F105" i="2"/>
  <c r="K105" i="2"/>
  <c r="C106" i="2"/>
  <c r="G106" i="2" l="1"/>
  <c r="E106" i="2"/>
  <c r="K106" i="2"/>
  <c r="F106" i="2"/>
  <c r="C107" i="2"/>
  <c r="G107" i="2" l="1"/>
  <c r="E107" i="2"/>
  <c r="K107" i="2"/>
  <c r="F107" i="2"/>
  <c r="C108" i="2"/>
  <c r="K108" i="2" l="1"/>
  <c r="F108" i="2"/>
  <c r="G108" i="2"/>
  <c r="E108" i="2"/>
  <c r="C109" i="2"/>
  <c r="K109" i="2" s="1"/>
  <c r="F109" i="2" l="1"/>
  <c r="E109" i="2"/>
  <c r="G109" i="2"/>
  <c r="C110" i="2"/>
  <c r="G110" i="2" l="1"/>
  <c r="K110" i="2"/>
  <c r="F110" i="2"/>
  <c r="E110" i="2"/>
  <c r="C111" i="2"/>
  <c r="K111" i="2" s="1"/>
  <c r="E111" i="2" l="1"/>
  <c r="G111" i="2"/>
  <c r="F111" i="2"/>
  <c r="C112" i="2"/>
  <c r="K112" i="2" l="1"/>
  <c r="G112" i="2"/>
  <c r="E112" i="2"/>
  <c r="F112" i="2"/>
  <c r="C113" i="2"/>
  <c r="G113" i="2" s="1"/>
  <c r="K113" i="2" l="1"/>
  <c r="E113" i="2"/>
  <c r="F113" i="2"/>
  <c r="C114" i="2"/>
  <c r="E114" i="2" s="1"/>
  <c r="F114" i="2" l="1"/>
  <c r="G114" i="2"/>
  <c r="K114" i="2"/>
  <c r="C115" i="2"/>
  <c r="G115" i="2" s="1"/>
  <c r="E115" i="2" l="1"/>
  <c r="K115" i="2"/>
  <c r="F115" i="2"/>
  <c r="C116" i="2"/>
  <c r="K116" i="2" s="1"/>
  <c r="G116" i="2" l="1"/>
  <c r="F116" i="2"/>
  <c r="E116" i="2"/>
  <c r="C117" i="2"/>
  <c r="G117" i="2" s="1"/>
  <c r="K117" i="2" l="1"/>
  <c r="E117" i="2"/>
  <c r="F117" i="2"/>
  <c r="C118" i="2"/>
  <c r="G118" i="2" s="1"/>
  <c r="K118" i="2" l="1"/>
  <c r="E118" i="2"/>
  <c r="F118" i="2"/>
  <c r="C119" i="2"/>
  <c r="G119" i="2" s="1"/>
  <c r="F119" i="2" l="1"/>
  <c r="K119" i="2"/>
  <c r="E119" i="2"/>
  <c r="C120" i="2"/>
  <c r="F120" i="2" s="1"/>
  <c r="K120" i="2" l="1"/>
  <c r="E120" i="2"/>
  <c r="G120" i="2"/>
  <c r="C121" i="2"/>
  <c r="E121" i="2" s="1"/>
  <c r="F121" i="2" l="1"/>
  <c r="K121" i="2"/>
  <c r="G121" i="2"/>
  <c r="C122" i="2"/>
  <c r="F122" i="2" l="1"/>
  <c r="K122" i="2"/>
  <c r="E122" i="2"/>
  <c r="G122" i="2"/>
  <c r="C123" i="2"/>
  <c r="K123" i="2" s="1"/>
  <c r="E123" i="2" l="1"/>
  <c r="F123" i="2"/>
  <c r="G123" i="2"/>
  <c r="C124" i="2"/>
  <c r="G124" i="2" s="1"/>
  <c r="K124" i="2" l="1"/>
  <c r="E124" i="2"/>
  <c r="F124" i="2"/>
  <c r="C125" i="2"/>
  <c r="E125" i="2" s="1"/>
  <c r="F125" i="2" l="1"/>
  <c r="K125" i="2"/>
  <c r="G125" i="2"/>
  <c r="C126" i="2"/>
  <c r="G126" i="2" s="1"/>
  <c r="K126" i="2" l="1"/>
  <c r="E126" i="2"/>
  <c r="F126" i="2"/>
  <c r="C127" i="2"/>
  <c r="K127" i="2" s="1"/>
  <c r="F127" i="2" l="1"/>
  <c r="G127" i="2"/>
  <c r="E127" i="2"/>
  <c r="C128" i="2"/>
  <c r="G128" i="2" l="1"/>
  <c r="K128" i="2"/>
  <c r="E128" i="2"/>
  <c r="F128" i="2"/>
  <c r="C129" i="2"/>
  <c r="K129" i="2" s="1"/>
  <c r="E129" i="2" l="1"/>
  <c r="G129" i="2"/>
  <c r="F129" i="2"/>
  <c r="C158" i="2"/>
  <c r="F158" i="2" l="1"/>
  <c r="K158" i="2"/>
  <c r="E158" i="2"/>
  <c r="G158" i="2"/>
  <c r="C159" i="2"/>
  <c r="G159" i="2" s="1"/>
  <c r="K159" i="2" l="1"/>
  <c r="F159" i="2"/>
  <c r="E159" i="2"/>
  <c r="C160" i="2"/>
  <c r="F160" i="2" s="1"/>
  <c r="E160" i="2" l="1"/>
  <c r="G160" i="2"/>
  <c r="K160" i="2"/>
  <c r="C161" i="2"/>
  <c r="F161" i="2" l="1"/>
  <c r="E161" i="2"/>
  <c r="K161" i="2"/>
  <c r="G161" i="2"/>
  <c r="C162" i="2"/>
  <c r="F162" i="2" l="1"/>
  <c r="G162" i="2"/>
  <c r="E162" i="2"/>
  <c r="K162" i="2"/>
  <c r="C163" i="2"/>
  <c r="F163" i="2" s="1"/>
  <c r="K163" i="2" l="1"/>
  <c r="G163" i="2"/>
  <c r="E163" i="2"/>
  <c r="C164" i="2"/>
  <c r="K164" i="2" l="1"/>
  <c r="G164" i="2"/>
  <c r="E164" i="2"/>
  <c r="F164" i="2"/>
  <c r="C165" i="2"/>
  <c r="G165" i="2" l="1"/>
  <c r="F165" i="2"/>
  <c r="E165" i="2"/>
  <c r="K165" i="2"/>
  <c r="C166" i="2"/>
  <c r="G166" i="2" l="1"/>
  <c r="F166" i="2"/>
  <c r="E166" i="2"/>
  <c r="K166" i="2"/>
  <c r="C167" i="2"/>
  <c r="F167" i="2" s="1"/>
  <c r="K167" i="2" l="1"/>
  <c r="E167" i="2"/>
  <c r="G167" i="2"/>
  <c r="C168" i="2"/>
  <c r="E168" i="2" s="1"/>
  <c r="G168" i="2" l="1"/>
  <c r="F168" i="2"/>
  <c r="K168" i="2"/>
  <c r="C169" i="2"/>
  <c r="K169" i="2" s="1"/>
  <c r="G169" i="2" l="1"/>
  <c r="E169" i="2"/>
  <c r="F169" i="2"/>
  <c r="C170" i="2"/>
  <c r="F170" i="2" l="1"/>
  <c r="E170" i="2"/>
  <c r="K170" i="2"/>
  <c r="G170" i="2"/>
  <c r="C171" i="2"/>
  <c r="F171" i="2" l="1"/>
  <c r="K171" i="2"/>
  <c r="G171" i="2"/>
  <c r="E171" i="2"/>
  <c r="C172" i="2"/>
  <c r="K172" i="2" s="1"/>
  <c r="F172" i="2" l="1"/>
  <c r="G172" i="2"/>
  <c r="E172" i="2"/>
  <c r="C173" i="2"/>
  <c r="E173" i="2" s="1"/>
  <c r="K173" i="2" l="1"/>
  <c r="G173" i="2"/>
  <c r="F173" i="2"/>
  <c r="C174" i="2"/>
  <c r="F174" i="2" s="1"/>
  <c r="G174" i="2" l="1"/>
  <c r="E174" i="2"/>
  <c r="K174" i="2"/>
  <c r="C175" i="2"/>
  <c r="K175" i="2" s="1"/>
  <c r="G175" i="2" l="1"/>
  <c r="E175" i="2"/>
  <c r="F175" i="2"/>
  <c r="C176" i="2"/>
  <c r="F176" i="2" s="1"/>
  <c r="E176" i="2" l="1"/>
  <c r="K176" i="2"/>
  <c r="G176" i="2"/>
  <c r="C177" i="2"/>
  <c r="K177" i="2" s="1"/>
  <c r="E177" i="2" l="1"/>
  <c r="G177" i="2"/>
  <c r="F177" i="2"/>
  <c r="C178" i="2"/>
  <c r="F178" i="2" s="1"/>
  <c r="K178" i="2" l="1"/>
  <c r="G178" i="2"/>
  <c r="E178" i="2"/>
  <c r="C179" i="2"/>
  <c r="G179" i="2" s="1"/>
  <c r="K179" i="2" l="1"/>
  <c r="F179" i="2"/>
  <c r="E179" i="2"/>
  <c r="C180" i="2"/>
  <c r="E180" i="2" s="1"/>
  <c r="G180" i="2" l="1"/>
  <c r="F180" i="2"/>
  <c r="K180" i="2"/>
  <c r="C181" i="2"/>
  <c r="F181" i="2" s="1"/>
  <c r="G181" i="2" l="1"/>
  <c r="K181" i="2"/>
  <c r="E181" i="2"/>
  <c r="C182" i="2"/>
  <c r="F182" i="2" s="1"/>
  <c r="K182" i="2" l="1"/>
  <c r="G182" i="2"/>
  <c r="E182" i="2"/>
  <c r="C183" i="2"/>
  <c r="G183" i="2" s="1"/>
  <c r="E183" i="2" l="1"/>
  <c r="K183" i="2"/>
  <c r="F183" i="2"/>
  <c r="C184" i="2"/>
  <c r="F184" i="2" s="1"/>
  <c r="G184" i="2" l="1"/>
  <c r="E184" i="2"/>
  <c r="K184" i="2"/>
  <c r="C185" i="2"/>
  <c r="E185" i="2" s="1"/>
  <c r="F185" i="2" l="1"/>
  <c r="K185" i="2"/>
  <c r="G185" i="2"/>
  <c r="C186" i="2"/>
  <c r="K186" i="2" s="1"/>
  <c r="G186" i="2" l="1"/>
  <c r="F186" i="2"/>
  <c r="E186" i="2"/>
  <c r="C187" i="2"/>
  <c r="E187" i="2" l="1"/>
  <c r="G187" i="2"/>
  <c r="F187" i="2"/>
  <c r="K187" i="2"/>
  <c r="C188" i="2"/>
  <c r="K188" i="2" s="1"/>
  <c r="G188" i="2" l="1"/>
  <c r="E188" i="2"/>
  <c r="F188" i="2"/>
  <c r="C189" i="2"/>
  <c r="K189" i="2" s="1"/>
  <c r="G189" i="2" l="1"/>
  <c r="E189" i="2"/>
  <c r="F189" i="2"/>
  <c r="C190" i="2"/>
  <c r="F190" i="2" s="1"/>
  <c r="K190" i="2" l="1"/>
  <c r="E190" i="2"/>
  <c r="G190" i="2"/>
  <c r="C191" i="2"/>
  <c r="F191" i="2" s="1"/>
  <c r="E191" i="2" l="1"/>
  <c r="K191" i="2"/>
  <c r="G191" i="2"/>
  <c r="C192" i="2"/>
  <c r="G192" i="2" l="1"/>
  <c r="F192" i="2"/>
  <c r="E192" i="2"/>
  <c r="K192" i="2"/>
  <c r="C193" i="2"/>
  <c r="E193" i="2" s="1"/>
  <c r="G193" i="2" l="1"/>
  <c r="K193" i="2"/>
  <c r="F193" i="2"/>
  <c r="C194" i="2"/>
  <c r="F194" i="2" s="1"/>
  <c r="K194" i="2" l="1"/>
  <c r="E194" i="2"/>
  <c r="G194" i="2"/>
  <c r="C195" i="2"/>
  <c r="F195" i="2" s="1"/>
  <c r="E195" i="2" l="1"/>
  <c r="K195" i="2"/>
  <c r="G195" i="2"/>
  <c r="C196" i="2"/>
  <c r="K196" i="2" s="1"/>
  <c r="F196" i="2" l="1"/>
  <c r="G196" i="2"/>
  <c r="E196" i="2"/>
  <c r="C197" i="2"/>
  <c r="G197" i="2" s="1"/>
  <c r="F197" i="2" l="1"/>
  <c r="K197" i="2"/>
  <c r="E197" i="2"/>
  <c r="C198" i="2"/>
  <c r="E198" i="2" s="1"/>
  <c r="F198" i="2" l="1"/>
  <c r="G198" i="2"/>
  <c r="K198" i="2"/>
  <c r="C199" i="2"/>
  <c r="K199" i="2" s="1"/>
  <c r="F199" i="2" l="1"/>
  <c r="E199" i="2"/>
  <c r="G199" i="2"/>
  <c r="C200" i="2"/>
  <c r="G200" i="2" s="1"/>
  <c r="K200" i="2" l="1"/>
  <c r="F200" i="2"/>
  <c r="E200" i="2"/>
  <c r="C201" i="2"/>
  <c r="K201" i="2" s="1"/>
  <c r="F201" i="2" l="1"/>
  <c r="G201" i="2"/>
  <c r="E201" i="2"/>
  <c r="C202" i="2"/>
  <c r="E202" i="2" s="1"/>
  <c r="F202" i="2" l="1"/>
  <c r="K202" i="2"/>
  <c r="G202" i="2"/>
  <c r="C203" i="2"/>
  <c r="K203" i="2" s="1"/>
  <c r="F203" i="2" l="1"/>
  <c r="E203" i="2"/>
  <c r="G203" i="2"/>
  <c r="C204" i="2"/>
  <c r="E204" i="2" s="1"/>
  <c r="K204" i="2" l="1"/>
  <c r="G204" i="2"/>
  <c r="F204" i="2"/>
  <c r="C205" i="2"/>
  <c r="K205" i="2" s="1"/>
  <c r="E205" i="2" l="1"/>
  <c r="G205" i="2"/>
  <c r="F205" i="2"/>
  <c r="C206" i="2"/>
  <c r="E206" i="2" s="1"/>
  <c r="K206" i="2" l="1"/>
  <c r="F206" i="2"/>
  <c r="G206" i="2"/>
  <c r="C207" i="2"/>
  <c r="E207" i="2" s="1"/>
  <c r="G207" i="2" l="1"/>
  <c r="K207" i="2"/>
  <c r="F207" i="2"/>
  <c r="C208" i="2"/>
  <c r="E208" i="2" l="1"/>
  <c r="K208" i="2"/>
  <c r="G208" i="2"/>
  <c r="F208" i="2"/>
  <c r="C209" i="2"/>
  <c r="E209" i="2" s="1"/>
  <c r="F209" i="2" l="1"/>
  <c r="K209" i="2"/>
  <c r="G209" i="2"/>
  <c r="C210" i="2"/>
  <c r="E210" i="2" s="1"/>
  <c r="K210" i="2" l="1"/>
  <c r="G210" i="2"/>
  <c r="F210" i="2"/>
  <c r="C211" i="2"/>
  <c r="F211" i="2" s="1"/>
  <c r="E211" i="2" l="1"/>
  <c r="K211" i="2"/>
  <c r="G211" i="2"/>
  <c r="C212" i="2"/>
  <c r="E212" i="2" s="1"/>
  <c r="K212" i="2" l="1"/>
  <c r="G212" i="2"/>
  <c r="F212" i="2"/>
  <c r="C213" i="2"/>
  <c r="K213" i="2" s="1"/>
  <c r="G213" i="2" l="1"/>
  <c r="E213" i="2"/>
  <c r="F213" i="2"/>
  <c r="C214" i="2"/>
  <c r="F214" i="2" s="1"/>
  <c r="G214" i="2" l="1"/>
  <c r="K214" i="2"/>
  <c r="E214" i="2"/>
  <c r="C215" i="2"/>
  <c r="K215" i="2" s="1"/>
  <c r="G215" i="2" l="1"/>
  <c r="F215" i="2"/>
  <c r="E215" i="2"/>
  <c r="C216" i="2"/>
  <c r="E216" i="2" l="1"/>
  <c r="G216" i="2"/>
  <c r="K216" i="2"/>
  <c r="F216" i="2"/>
  <c r="C217" i="2"/>
  <c r="G217" i="2" s="1"/>
  <c r="F217" i="2" l="1"/>
  <c r="E217" i="2"/>
  <c r="K217" i="2"/>
  <c r="C218" i="2"/>
  <c r="K218" i="2" s="1"/>
  <c r="G218" i="2" l="1"/>
  <c r="F218" i="2"/>
  <c r="E218" i="2"/>
  <c r="C219" i="2"/>
  <c r="K219" i="2" l="1"/>
  <c r="F219" i="2"/>
  <c r="E219" i="2"/>
  <c r="G219" i="2"/>
  <c r="C220" i="2"/>
  <c r="E220" i="2" s="1"/>
  <c r="G220" i="2" l="1"/>
  <c r="F220" i="2"/>
  <c r="K220" i="2"/>
  <c r="C221" i="2"/>
  <c r="F221" i="2" l="1"/>
  <c r="E221" i="2"/>
  <c r="G221" i="2"/>
  <c r="K221" i="2"/>
  <c r="C222" i="2"/>
  <c r="E222" i="2" s="1"/>
  <c r="G222" i="2" l="1"/>
  <c r="F222" i="2"/>
  <c r="K222" i="2"/>
  <c r="C223" i="2"/>
  <c r="F223" i="2" s="1"/>
  <c r="E223" i="2" l="1"/>
  <c r="K223" i="2"/>
  <c r="G223" i="2"/>
  <c r="C224" i="2"/>
  <c r="F224" i="2" s="1"/>
  <c r="E224" i="2" l="1"/>
  <c r="G224" i="2"/>
  <c r="K224" i="2"/>
  <c r="C225" i="2"/>
  <c r="F225" i="2" s="1"/>
  <c r="E225" i="2" l="1"/>
  <c r="G225" i="2"/>
  <c r="K225" i="2"/>
  <c r="C226" i="2"/>
  <c r="F226" i="2" s="1"/>
  <c r="E226" i="2" l="1"/>
  <c r="K226" i="2"/>
  <c r="G226" i="2"/>
  <c r="C227" i="2"/>
  <c r="F227" i="2" s="1"/>
  <c r="E227" i="2" l="1"/>
  <c r="G227" i="2"/>
  <c r="K227" i="2"/>
  <c r="C228" i="2"/>
  <c r="G228" i="2" s="1"/>
  <c r="E228" i="2" l="1"/>
  <c r="F228" i="2"/>
  <c r="K228" i="2"/>
  <c r="C229" i="2"/>
  <c r="G229" i="2" s="1"/>
  <c r="F229" i="2" l="1"/>
  <c r="E229" i="2"/>
  <c r="K229" i="2"/>
  <c r="C230" i="2"/>
  <c r="G230" i="2" s="1"/>
  <c r="K230" i="2" l="1"/>
  <c r="E230" i="2"/>
  <c r="F230" i="2"/>
  <c r="C231" i="2"/>
  <c r="G231" i="2" s="1"/>
  <c r="E231" i="2" l="1"/>
  <c r="F231" i="2"/>
  <c r="K231" i="2"/>
  <c r="C232" i="2"/>
  <c r="K232" i="2" s="1"/>
  <c r="E232" i="2" l="1"/>
  <c r="G232" i="2"/>
  <c r="F232" i="2"/>
  <c r="C233" i="2"/>
  <c r="G233" i="2" s="1"/>
  <c r="K233" i="2" l="1"/>
  <c r="E233" i="2"/>
  <c r="F233" i="2"/>
  <c r="C234" i="2"/>
  <c r="E234" i="2" l="1"/>
  <c r="G234" i="2"/>
  <c r="K234" i="2"/>
  <c r="F234" i="2"/>
  <c r="C235" i="2"/>
  <c r="F235" i="2" s="1"/>
  <c r="K235" i="2" l="1"/>
  <c r="G235" i="2"/>
  <c r="E235" i="2"/>
  <c r="C236" i="2"/>
  <c r="G236" i="2" s="1"/>
  <c r="E236" i="2" l="1"/>
  <c r="F236" i="2"/>
  <c r="K236" i="2"/>
  <c r="C237" i="2"/>
  <c r="G237" i="2" s="1"/>
  <c r="K237" i="2" l="1"/>
  <c r="F237" i="2"/>
  <c r="E237" i="2"/>
  <c r="C238" i="2"/>
  <c r="F238" i="2" s="1"/>
  <c r="G238" i="2" l="1"/>
  <c r="E238" i="2"/>
  <c r="K238" i="2"/>
  <c r="C239" i="2"/>
  <c r="G239" i="2" s="1"/>
  <c r="E239" i="2" l="1"/>
  <c r="F239" i="2"/>
  <c r="K239" i="2"/>
  <c r="C240" i="2"/>
  <c r="E240" i="2" s="1"/>
  <c r="K240" i="2" l="1"/>
  <c r="G240" i="2"/>
  <c r="F240" i="2"/>
  <c r="C241" i="2"/>
  <c r="G241" i="2" l="1"/>
  <c r="K241" i="2"/>
  <c r="F241" i="2"/>
  <c r="E241" i="2"/>
  <c r="C242" i="2"/>
  <c r="G242" i="2" s="1"/>
  <c r="E242" i="2" l="1"/>
  <c r="K242" i="2"/>
  <c r="F242" i="2"/>
  <c r="C243" i="2"/>
  <c r="E243" i="2" l="1"/>
  <c r="F243" i="2"/>
  <c r="K243" i="2"/>
  <c r="G243" i="2"/>
  <c r="C244" i="2"/>
  <c r="E244" i="2" s="1"/>
  <c r="F244" i="2" l="1"/>
  <c r="G244" i="2"/>
  <c r="K244" i="2"/>
  <c r="C245" i="2" l="1"/>
  <c r="F245" i="2" s="1"/>
  <c r="K245" i="2" l="1"/>
  <c r="E245" i="2"/>
  <c r="G245" i="2"/>
  <c r="C246" i="2" l="1"/>
  <c r="E246" i="2" s="1"/>
  <c r="F246" i="2" l="1"/>
  <c r="K246" i="2"/>
  <c r="G246" i="2"/>
  <c r="C247" i="2"/>
  <c r="K247" i="2" s="1"/>
  <c r="E247" i="2" l="1"/>
  <c r="F247" i="2"/>
  <c r="G247" i="2"/>
  <c r="C248" i="2"/>
  <c r="G248" i="2" s="1"/>
  <c r="F248" i="2" l="1"/>
  <c r="E248" i="2"/>
  <c r="K248" i="2"/>
  <c r="C249" i="2"/>
  <c r="E249" i="2" s="1"/>
  <c r="G249" i="2" l="1"/>
  <c r="F249" i="2"/>
  <c r="K249" i="2"/>
  <c r="C250" i="2"/>
  <c r="K250" i="2" l="1"/>
  <c r="G250" i="2"/>
  <c r="E250" i="2"/>
  <c r="F250" i="2"/>
  <c r="C251" i="2"/>
  <c r="E251" i="2" s="1"/>
  <c r="K251" i="2" l="1"/>
  <c r="G251" i="2"/>
  <c r="F251" i="2"/>
  <c r="C252" i="2"/>
  <c r="K252" i="2" l="1"/>
  <c r="G252" i="2"/>
  <c r="F252" i="2"/>
  <c r="E252" i="2"/>
  <c r="C253" i="2"/>
  <c r="K253" i="2" s="1"/>
  <c r="F253" i="2" l="1"/>
  <c r="G253" i="2"/>
  <c r="E253" i="2"/>
  <c r="C254" i="2"/>
  <c r="K254" i="2" s="1"/>
  <c r="E254" i="2" l="1"/>
  <c r="G254" i="2"/>
  <c r="F254" i="2"/>
  <c r="C255" i="2"/>
  <c r="F255" i="2" s="1"/>
  <c r="E255" i="2" l="1"/>
  <c r="K255" i="2"/>
  <c r="G255" i="2"/>
  <c r="C256" i="2"/>
  <c r="K256" i="2" l="1"/>
  <c r="E256" i="2"/>
  <c r="F256" i="2"/>
  <c r="G256" i="2"/>
  <c r="C257" i="2"/>
  <c r="F257" i="2" s="1"/>
  <c r="G257" i="2" l="1"/>
  <c r="K257" i="2"/>
  <c r="E257" i="2"/>
  <c r="C258" i="2"/>
  <c r="K258" i="2" s="1"/>
  <c r="G258" i="2" l="1"/>
  <c r="F258" i="2"/>
  <c r="E258" i="2"/>
  <c r="C259" i="2"/>
  <c r="F259" i="2" s="1"/>
  <c r="K259" i="2" l="1"/>
  <c r="E259" i="2"/>
  <c r="G259" i="2"/>
  <c r="C260" i="2"/>
  <c r="E260" i="2" s="1"/>
  <c r="K260" i="2" l="1"/>
  <c r="G260" i="2"/>
  <c r="F260" i="2"/>
  <c r="C261" i="2"/>
  <c r="F261" i="2" l="1"/>
  <c r="K261" i="2"/>
  <c r="E261" i="2"/>
  <c r="G261" i="2"/>
  <c r="C262" i="2"/>
  <c r="F262" i="2" l="1"/>
  <c r="G262" i="2"/>
  <c r="E262" i="2"/>
  <c r="K262" i="2"/>
  <c r="C263" i="2"/>
  <c r="E263" i="2" l="1"/>
  <c r="K263" i="2"/>
  <c r="G263" i="2"/>
  <c r="F263" i="2"/>
  <c r="C264" i="2"/>
  <c r="E264" i="2" l="1"/>
  <c r="F264" i="2"/>
  <c r="K264" i="2"/>
  <c r="G264" i="2"/>
  <c r="C265" i="2"/>
  <c r="F265" i="2" s="1"/>
  <c r="K265" i="2" l="1"/>
  <c r="G265" i="2"/>
  <c r="E265" i="2"/>
  <c r="C266" i="2"/>
  <c r="F266" i="2" s="1"/>
  <c r="E266" i="2" l="1"/>
  <c r="K266" i="2"/>
  <c r="G266" i="2"/>
  <c r="C267" i="2"/>
  <c r="F267" i="2" s="1"/>
  <c r="G267" i="2" l="1"/>
  <c r="E267" i="2"/>
  <c r="K267" i="2"/>
  <c r="C268" i="2"/>
  <c r="E268" i="2" s="1"/>
  <c r="G268" i="2" l="1"/>
  <c r="F268" i="2"/>
  <c r="K268" i="2"/>
  <c r="C269" i="2"/>
  <c r="E269" i="2" s="1"/>
  <c r="G269" i="2" l="1"/>
  <c r="F269" i="2"/>
  <c r="K269" i="2"/>
  <c r="C270" i="2"/>
  <c r="G270" i="2" l="1"/>
  <c r="K270" i="2"/>
  <c r="E270" i="2"/>
  <c r="F270" i="2"/>
  <c r="C271" i="2"/>
  <c r="K271" i="2" s="1"/>
  <c r="G271" i="2" l="1"/>
  <c r="F271" i="2"/>
  <c r="E271" i="2"/>
  <c r="C272" i="2"/>
  <c r="F272" i="2" s="1"/>
  <c r="K272" i="2" l="1"/>
  <c r="G272" i="2"/>
  <c r="E272" i="2"/>
  <c r="C273" i="2"/>
  <c r="K273" i="2" s="1"/>
  <c r="F273" i="2" l="1"/>
  <c r="E273" i="2"/>
  <c r="G273" i="2"/>
  <c r="C274" i="2"/>
  <c r="G274" i="2" l="1"/>
  <c r="K274" i="2"/>
  <c r="E274" i="2"/>
  <c r="F274" i="2"/>
  <c r="C275" i="2"/>
  <c r="F275" i="2" l="1"/>
  <c r="G275" i="2"/>
  <c r="E275" i="2"/>
  <c r="K275" i="2"/>
  <c r="C276" i="2"/>
  <c r="G276" i="2" s="1"/>
  <c r="K276" i="2" l="1"/>
  <c r="E276" i="2"/>
  <c r="F276" i="2"/>
  <c r="C277" i="2"/>
  <c r="G277" i="2" s="1"/>
  <c r="K277" i="2" l="1"/>
  <c r="F277" i="2"/>
  <c r="E277" i="2"/>
  <c r="C278" i="2"/>
  <c r="E278" i="2" s="1"/>
  <c r="K278" i="2" l="1"/>
  <c r="G278" i="2"/>
  <c r="F278" i="2"/>
  <c r="C279" i="2"/>
  <c r="K279" i="2" s="1"/>
  <c r="E279" i="2" l="1"/>
  <c r="F279" i="2"/>
  <c r="G279" i="2"/>
  <c r="C280" i="2"/>
  <c r="K280" i="2" l="1"/>
  <c r="E280" i="2"/>
  <c r="F280" i="2"/>
  <c r="G280" i="2"/>
  <c r="C281" i="2"/>
  <c r="G281" i="2" s="1"/>
  <c r="K281" i="2" l="1"/>
  <c r="E281" i="2"/>
  <c r="F281" i="2"/>
  <c r="C282" i="2"/>
  <c r="E282" i="2" s="1"/>
  <c r="K282" i="2" l="1"/>
  <c r="G282" i="2"/>
  <c r="F282" i="2"/>
  <c r="C283" i="2"/>
  <c r="K283" i="2" s="1"/>
  <c r="G283" i="2" l="1"/>
  <c r="E283" i="2"/>
  <c r="F283" i="2"/>
  <c r="C284" i="2"/>
  <c r="K284" i="2" l="1"/>
  <c r="G284" i="2"/>
  <c r="F284" i="2"/>
  <c r="E284" i="2"/>
  <c r="C285" i="2"/>
  <c r="E285" i="2" s="1"/>
  <c r="F285" i="2" l="1"/>
  <c r="K285" i="2"/>
  <c r="G285" i="2"/>
  <c r="C286" i="2"/>
  <c r="K286" i="2" l="1"/>
  <c r="F286" i="2"/>
  <c r="E286" i="2"/>
  <c r="G286" i="2"/>
  <c r="C287" i="2"/>
  <c r="K287" i="2" s="1"/>
  <c r="G287" i="2" l="1"/>
  <c r="F287" i="2"/>
  <c r="E287" i="2"/>
  <c r="C288" i="2"/>
  <c r="E288" i="2" s="1"/>
  <c r="G288" i="2" l="1"/>
  <c r="F288" i="2"/>
  <c r="K288" i="2"/>
  <c r="C289" i="2"/>
  <c r="G289" i="2" s="1"/>
  <c r="E289" i="2" l="1"/>
  <c r="F289" i="2"/>
  <c r="K289" i="2"/>
  <c r="C290" i="2"/>
  <c r="K290" i="2" s="1"/>
  <c r="E290" i="2" l="1"/>
  <c r="F290" i="2"/>
  <c r="G290" i="2"/>
  <c r="C291" i="2"/>
  <c r="G291" i="2" s="1"/>
  <c r="F291" i="2" l="1"/>
  <c r="E291" i="2"/>
  <c r="K291" i="2"/>
  <c r="C292" i="2"/>
  <c r="G292" i="2" s="1"/>
  <c r="F292" i="2" l="1"/>
  <c r="E292" i="2"/>
  <c r="K292" i="2"/>
  <c r="C293" i="2"/>
  <c r="G293" i="2" s="1"/>
  <c r="K293" i="2" l="1"/>
  <c r="F293" i="2"/>
  <c r="E293" i="2"/>
  <c r="C294" i="2"/>
  <c r="E294" i="2" l="1"/>
  <c r="K294" i="2"/>
  <c r="G294" i="2"/>
  <c r="F294" i="2"/>
  <c r="C295" i="2"/>
  <c r="F295" i="2" l="1"/>
  <c r="K295" i="2"/>
  <c r="G295" i="2"/>
  <c r="E295" i="2"/>
  <c r="C296" i="2"/>
  <c r="E296" i="2" s="1"/>
  <c r="F296" i="2" l="1"/>
  <c r="G296" i="2"/>
  <c r="K296" i="2"/>
  <c r="C297" i="2"/>
  <c r="G297" i="2" s="1"/>
  <c r="E297" i="2" l="1"/>
  <c r="K297" i="2"/>
  <c r="F297" i="2"/>
  <c r="C298" i="2"/>
  <c r="G298" i="2" s="1"/>
  <c r="K298" i="2" l="1"/>
  <c r="E298" i="2"/>
  <c r="F298" i="2"/>
  <c r="C299" i="2"/>
  <c r="E299" i="2" s="1"/>
  <c r="K299" i="2" l="1"/>
  <c r="F299" i="2"/>
  <c r="G299" i="2"/>
  <c r="C300" i="2"/>
  <c r="K300" i="2" s="1"/>
  <c r="E300" i="2" l="1"/>
  <c r="F300" i="2"/>
  <c r="G300" i="2"/>
  <c r="C301" i="2"/>
  <c r="K301" i="2" s="1"/>
  <c r="E301" i="2" l="1"/>
  <c r="F301" i="2"/>
  <c r="G301" i="2"/>
  <c r="C302" i="2"/>
  <c r="E302" i="2" l="1"/>
  <c r="F302" i="2"/>
  <c r="G302" i="2"/>
  <c r="K302" i="2"/>
  <c r="C303" i="2"/>
  <c r="F303" i="2" s="1"/>
  <c r="K303" i="2" l="1"/>
  <c r="G303" i="2"/>
  <c r="E303" i="2"/>
  <c r="C304" i="2"/>
  <c r="F304" i="2" l="1"/>
  <c r="K304" i="2"/>
  <c r="E304" i="2"/>
  <c r="G304" i="2"/>
  <c r="C305" i="2"/>
  <c r="G305" i="2" s="1"/>
  <c r="F305" i="2" l="1"/>
  <c r="K305" i="2"/>
  <c r="E305" i="2"/>
  <c r="C306" i="2"/>
  <c r="F306" i="2" l="1"/>
  <c r="G306" i="2"/>
  <c r="K306" i="2"/>
  <c r="E306" i="2"/>
  <c r="C307" i="2"/>
  <c r="F307" i="2" l="1"/>
  <c r="G307" i="2"/>
  <c r="K307" i="2"/>
  <c r="E307" i="2"/>
  <c r="C308" i="2"/>
  <c r="F308" i="2" l="1"/>
  <c r="E308" i="2"/>
  <c r="G308" i="2"/>
  <c r="K308" i="2"/>
  <c r="C309" i="2" l="1"/>
  <c r="F309" i="2" s="1"/>
  <c r="K309" i="2" l="1"/>
  <c r="E309" i="2"/>
  <c r="G309" i="2"/>
  <c r="C310" i="2"/>
  <c r="F310" i="2" s="1"/>
  <c r="G310" i="2" l="1"/>
  <c r="E310" i="2"/>
  <c r="K310" i="2"/>
  <c r="C311" i="2"/>
  <c r="G311" i="2" s="1"/>
  <c r="F311" i="2" l="1"/>
  <c r="K311" i="2"/>
  <c r="E311" i="2"/>
  <c r="C312" i="2"/>
  <c r="F312" i="2" s="1"/>
  <c r="K312" i="2" l="1"/>
  <c r="G312" i="2"/>
  <c r="E312" i="2"/>
  <c r="C313" i="2"/>
  <c r="K313" i="2" s="1"/>
  <c r="F313" i="2" l="1"/>
  <c r="G313" i="2"/>
  <c r="E313" i="2"/>
  <c r="C314" i="2"/>
  <c r="K314" i="2" l="1"/>
  <c r="F314" i="2"/>
  <c r="G314" i="2"/>
  <c r="E314" i="2"/>
  <c r="C315" i="2"/>
  <c r="E315" i="2" s="1"/>
  <c r="G315" i="2" l="1"/>
  <c r="K315" i="2"/>
  <c r="F315" i="2"/>
  <c r="C316" i="2"/>
  <c r="K316" i="2" s="1"/>
  <c r="E316" i="2" l="1"/>
  <c r="F316" i="2"/>
  <c r="G316" i="2"/>
  <c r="C317" i="2"/>
  <c r="F317" i="2" s="1"/>
  <c r="K317" i="2" l="1"/>
  <c r="E317" i="2"/>
  <c r="G317" i="2"/>
  <c r="C318" i="2"/>
  <c r="F318" i="2" s="1"/>
  <c r="G318" i="2" l="1"/>
  <c r="K318" i="2"/>
  <c r="E318" i="2"/>
  <c r="C319" i="2"/>
  <c r="K319" i="2" l="1"/>
  <c r="E319" i="2"/>
  <c r="G319" i="2"/>
  <c r="F319" i="2"/>
  <c r="C320" i="2"/>
  <c r="G320" i="2" s="1"/>
  <c r="E320" i="2" l="1"/>
  <c r="F320" i="2"/>
  <c r="K320" i="2"/>
  <c r="C321" i="2"/>
  <c r="G321" i="2" l="1"/>
  <c r="F321" i="2"/>
  <c r="K321" i="2"/>
  <c r="E321" i="2"/>
  <c r="C322" i="2"/>
  <c r="E322" i="2" s="1"/>
  <c r="F322" i="2" l="1"/>
  <c r="G322" i="2"/>
  <c r="K322" i="2"/>
  <c r="C323" i="2"/>
  <c r="G323" i="2" s="1"/>
  <c r="F323" i="2" l="1"/>
  <c r="E323" i="2"/>
  <c r="K323" i="2"/>
  <c r="C324" i="2"/>
  <c r="F324" i="2" s="1"/>
  <c r="K324" i="2" l="1"/>
  <c r="G324" i="2"/>
  <c r="E324" i="2"/>
  <c r="C325" i="2"/>
  <c r="F325" i="2" s="1"/>
  <c r="K325" i="2" l="1"/>
  <c r="G325" i="2"/>
  <c r="E325" i="2"/>
  <c r="C326" i="2"/>
  <c r="F326" i="2" s="1"/>
  <c r="K326" i="2" l="1"/>
  <c r="E326" i="2"/>
  <c r="G326" i="2"/>
  <c r="C327" i="2" l="1"/>
  <c r="F327" i="2" s="1"/>
  <c r="E327" i="2" l="1"/>
  <c r="K327" i="2"/>
  <c r="G327" i="2"/>
  <c r="C328" i="2"/>
  <c r="G328" i="2" l="1"/>
  <c r="K328" i="2"/>
  <c r="F328" i="2"/>
  <c r="E328" i="2"/>
  <c r="C329" i="2"/>
  <c r="G329" i="2" l="1"/>
  <c r="F329" i="2"/>
  <c r="E329" i="2"/>
  <c r="K329" i="2"/>
  <c r="C330" i="2"/>
  <c r="K330" i="2" s="1"/>
  <c r="G330" i="2" l="1"/>
  <c r="E330" i="2"/>
  <c r="F330" i="2"/>
  <c r="C331" i="2"/>
  <c r="E331" i="2" l="1"/>
  <c r="F331" i="2"/>
  <c r="G331" i="2"/>
  <c r="K331" i="2"/>
  <c r="C332" i="2"/>
  <c r="K332" i="2" l="1"/>
  <c r="G332" i="2"/>
  <c r="E332" i="2"/>
  <c r="F332" i="2"/>
  <c r="C333" i="2"/>
  <c r="G333" i="2" l="1"/>
  <c r="E333" i="2"/>
  <c r="F333" i="2"/>
  <c r="K333" i="2"/>
  <c r="C334" i="2"/>
  <c r="E334" i="2" l="1"/>
  <c r="F334" i="2"/>
  <c r="G334" i="2"/>
  <c r="K334" i="2"/>
  <c r="C335" i="2"/>
  <c r="K335" i="2" l="1"/>
  <c r="F335" i="2"/>
  <c r="G335" i="2"/>
  <c r="E335" i="2"/>
  <c r="C336" i="2"/>
  <c r="K336" i="2" l="1"/>
  <c r="F336" i="2"/>
  <c r="G336" i="2"/>
  <c r="E336" i="2"/>
  <c r="C337" i="2"/>
  <c r="E337" i="2" s="1"/>
  <c r="K337" i="2" l="1"/>
  <c r="F337" i="2"/>
  <c r="G337" i="2"/>
  <c r="C338" i="2"/>
  <c r="F338" i="2" s="1"/>
  <c r="E338" i="2" l="1"/>
  <c r="K338" i="2"/>
  <c r="G338" i="2"/>
  <c r="C339" i="2"/>
  <c r="K339" i="2" l="1"/>
  <c r="F339" i="2"/>
  <c r="E339" i="2"/>
  <c r="G339" i="2"/>
  <c r="C340" i="2"/>
  <c r="F340" i="2" s="1"/>
  <c r="E340" i="2" l="1"/>
  <c r="K340" i="2"/>
  <c r="G340" i="2"/>
  <c r="C341" i="2"/>
  <c r="E341" i="2" l="1"/>
  <c r="K341" i="2"/>
  <c r="G341" i="2"/>
  <c r="F341" i="2"/>
  <c r="C342" i="2"/>
  <c r="G342" i="2" s="1"/>
  <c r="K342" i="2" l="1"/>
  <c r="E342" i="2"/>
  <c r="F342" i="2"/>
  <c r="C343" i="2"/>
  <c r="E343" i="2" s="1"/>
  <c r="G343" i="2" l="1"/>
  <c r="K343" i="2"/>
  <c r="F343" i="2"/>
  <c r="C344" i="2"/>
  <c r="G344" i="2" l="1"/>
  <c r="E344" i="2"/>
  <c r="K344" i="2"/>
  <c r="F344" i="2"/>
  <c r="C345" i="2"/>
  <c r="F345" i="2" l="1"/>
  <c r="G345" i="2"/>
  <c r="K345" i="2"/>
  <c r="E345" i="2"/>
  <c r="C346" i="2"/>
  <c r="K346" i="2" l="1"/>
  <c r="E346" i="2"/>
  <c r="G346" i="2"/>
  <c r="F346" i="2"/>
  <c r="C347" i="2"/>
  <c r="E347" i="2" l="1"/>
  <c r="F347" i="2"/>
  <c r="K347" i="2"/>
  <c r="G347" i="2"/>
  <c r="C348" i="2"/>
  <c r="F348" i="2" s="1"/>
  <c r="G348" i="2" l="1"/>
  <c r="E348" i="2"/>
  <c r="K348" i="2"/>
  <c r="C349" i="2"/>
  <c r="G349" i="2" s="1"/>
  <c r="F349" i="2" l="1"/>
  <c r="K349" i="2"/>
  <c r="E349" i="2"/>
  <c r="C350" i="2"/>
  <c r="G350" i="2" s="1"/>
  <c r="F350" i="2" l="1"/>
  <c r="K350" i="2"/>
  <c r="E350" i="2"/>
  <c r="C351" i="2"/>
  <c r="K351" i="2" s="1"/>
  <c r="E351" i="2" l="1"/>
  <c r="F351" i="2"/>
  <c r="G351" i="2"/>
  <c r="C352" i="2"/>
  <c r="K352" i="2" s="1"/>
  <c r="F352" i="2" l="1"/>
  <c r="G352" i="2"/>
  <c r="E352" i="2"/>
  <c r="C353" i="2"/>
  <c r="F353" i="2" s="1"/>
  <c r="E353" i="2" l="1"/>
  <c r="G353" i="2"/>
  <c r="K353" i="2"/>
  <c r="C354" i="2"/>
  <c r="F354" i="2" s="1"/>
  <c r="G354" i="2" l="1"/>
  <c r="K354" i="2"/>
  <c r="E354" i="2"/>
  <c r="C355" i="2"/>
  <c r="G355" i="2" s="1"/>
  <c r="K355" i="2" l="1"/>
  <c r="F355" i="2"/>
  <c r="E355" i="2"/>
  <c r="C356" i="2"/>
  <c r="G356" i="2" s="1"/>
  <c r="K356" i="2" l="1"/>
  <c r="E356" i="2"/>
  <c r="F356" i="2"/>
  <c r="C357" i="2"/>
  <c r="G357" i="2" l="1"/>
  <c r="K357" i="2"/>
  <c r="F357" i="2"/>
  <c r="E357" i="2"/>
  <c r="C358" i="2"/>
  <c r="G358" i="2" l="1"/>
  <c r="K358" i="2"/>
  <c r="F358" i="2"/>
  <c r="E358" i="2"/>
  <c r="C359" i="2"/>
  <c r="F359" i="2" s="1"/>
  <c r="G359" i="2" l="1"/>
  <c r="K359" i="2"/>
  <c r="E359" i="2"/>
  <c r="C360" i="2"/>
  <c r="K360" i="2" l="1"/>
  <c r="G360" i="2"/>
  <c r="F360" i="2"/>
  <c r="E360" i="2"/>
  <c r="C361" i="2"/>
  <c r="K361" i="2" s="1"/>
  <c r="E361" i="2" l="1"/>
  <c r="G361" i="2"/>
  <c r="F361" i="2"/>
  <c r="C362" i="2"/>
  <c r="K362" i="2" l="1"/>
  <c r="F362" i="2"/>
  <c r="E362" i="2"/>
  <c r="G362" i="2"/>
  <c r="C363" i="2"/>
  <c r="E363" i="2" s="1"/>
  <c r="K363" i="2" l="1"/>
  <c r="F363" i="2"/>
  <c r="G363" i="2"/>
  <c r="C364" i="2"/>
  <c r="E364" i="2" l="1"/>
  <c r="G364" i="2"/>
  <c r="F364" i="2"/>
  <c r="K364" i="2"/>
  <c r="C365" i="2"/>
  <c r="K365" i="2" l="1"/>
  <c r="E365" i="2"/>
  <c r="F365" i="2"/>
  <c r="G365" i="2"/>
  <c r="C366" i="2"/>
  <c r="E366" i="2" l="1"/>
  <c r="F366" i="2"/>
  <c r="G366" i="2"/>
  <c r="K366" i="2"/>
  <c r="C367" i="2"/>
  <c r="K367" i="2" l="1"/>
  <c r="E367" i="2"/>
  <c r="F367" i="2"/>
  <c r="G367" i="2"/>
  <c r="C368" i="2"/>
  <c r="K368" i="2" s="1"/>
  <c r="E368" i="2" l="1"/>
  <c r="G368" i="2"/>
  <c r="F368" i="2"/>
  <c r="C369" i="2"/>
  <c r="E369" i="2" l="1"/>
  <c r="F369" i="2"/>
  <c r="G369" i="2"/>
  <c r="K369" i="2"/>
  <c r="C370" i="2"/>
  <c r="E370" i="2" s="1"/>
  <c r="F370" i="2" l="1"/>
  <c r="G370" i="2"/>
  <c r="K370" i="2"/>
  <c r="C371" i="2"/>
  <c r="E371" i="2" l="1"/>
  <c r="F371" i="2"/>
  <c r="G371" i="2"/>
  <c r="K371" i="2"/>
  <c r="C372" i="2"/>
  <c r="G372" i="2" s="1"/>
  <c r="K372" i="2" l="1"/>
  <c r="F372" i="2"/>
  <c r="E372" i="2"/>
  <c r="C373" i="2" l="1"/>
  <c r="E373" i="2" s="1"/>
  <c r="F373" i="2" l="1"/>
  <c r="K373" i="2"/>
  <c r="G373" i="2"/>
  <c r="C374" i="2"/>
  <c r="E374" i="2" l="1"/>
  <c r="F374" i="2"/>
  <c r="G374" i="2"/>
  <c r="K374" i="2"/>
  <c r="C375" i="2"/>
  <c r="F375" i="2" s="1"/>
  <c r="E375" i="2" l="1"/>
  <c r="G375" i="2"/>
  <c r="K375" i="2"/>
  <c r="C376" i="2"/>
  <c r="G376" i="2" l="1"/>
  <c r="K376" i="2"/>
  <c r="F376" i="2"/>
  <c r="E376" i="2"/>
  <c r="C377" i="2"/>
  <c r="E377" i="2" l="1"/>
  <c r="G377" i="2"/>
  <c r="K377" i="2"/>
  <c r="F377" i="2"/>
  <c r="C378" i="2"/>
  <c r="K378" i="2" s="1"/>
  <c r="E378" i="2" l="1"/>
  <c r="F378" i="2"/>
  <c r="G378" i="2"/>
  <c r="C379" i="2"/>
  <c r="G379" i="2" s="1"/>
  <c r="K379" i="2" l="1"/>
  <c r="E379" i="2"/>
  <c r="F379" i="2"/>
  <c r="C380" i="2"/>
  <c r="F380" i="2" l="1"/>
  <c r="K380" i="2"/>
  <c r="E380" i="2"/>
  <c r="G380" i="2"/>
  <c r="C381" i="2"/>
  <c r="E381" i="2" s="1"/>
  <c r="F381" i="2" l="1"/>
  <c r="G381" i="2"/>
  <c r="K381" i="2"/>
  <c r="C382" i="2"/>
  <c r="K382" i="2" l="1"/>
  <c r="E382" i="2"/>
  <c r="F382" i="2"/>
  <c r="G382" i="2"/>
  <c r="C383" i="2"/>
  <c r="G383" i="2" l="1"/>
  <c r="K383" i="2"/>
  <c r="E383" i="2"/>
  <c r="F383" i="2"/>
  <c r="C384" i="2"/>
  <c r="F384" i="2" s="1"/>
  <c r="E384" i="2" l="1"/>
  <c r="G384" i="2"/>
  <c r="K384" i="2"/>
  <c r="C385" i="2"/>
  <c r="K385" i="2" l="1"/>
  <c r="E385" i="2"/>
  <c r="F385" i="2"/>
  <c r="G385" i="2"/>
  <c r="C386" i="2"/>
  <c r="K386" i="2" s="1"/>
  <c r="E386" i="2" l="1"/>
  <c r="G386" i="2"/>
  <c r="F386" i="2"/>
  <c r="C387" i="2"/>
  <c r="E387" i="2" s="1"/>
  <c r="G387" i="2" l="1"/>
  <c r="F387" i="2"/>
  <c r="K387" i="2"/>
  <c r="C388" i="2"/>
  <c r="E388" i="2" l="1"/>
  <c r="F388" i="2"/>
  <c r="G388" i="2"/>
  <c r="K388" i="2"/>
  <c r="C389" i="2"/>
  <c r="K389" i="2" l="1"/>
  <c r="E389" i="2"/>
  <c r="F389" i="2"/>
  <c r="G389" i="2"/>
  <c r="C390" i="2"/>
  <c r="E390" i="2" s="1"/>
  <c r="F390" i="2" l="1"/>
  <c r="G390" i="2"/>
  <c r="K390" i="2"/>
  <c r="C391" i="2"/>
  <c r="F391" i="2" s="1"/>
  <c r="G391" i="2" l="1"/>
  <c r="E391" i="2"/>
  <c r="K391" i="2"/>
  <c r="C392" i="2"/>
  <c r="F392" i="2" l="1"/>
  <c r="G392" i="2"/>
  <c r="K392" i="2"/>
  <c r="E392" i="2"/>
  <c r="C393" i="2"/>
  <c r="F393" i="2" l="1"/>
  <c r="G393" i="2"/>
  <c r="K393" i="2"/>
  <c r="E393" i="2"/>
  <c r="C394" i="2"/>
  <c r="E394" i="2" l="1"/>
  <c r="F394" i="2"/>
  <c r="G394" i="2"/>
  <c r="K394" i="2"/>
  <c r="C395" i="2"/>
  <c r="E395" i="2" l="1"/>
  <c r="G395" i="2"/>
  <c r="K395" i="2"/>
  <c r="F395" i="2"/>
  <c r="C396" i="2"/>
  <c r="F396" i="2" l="1"/>
  <c r="K396" i="2"/>
  <c r="G396" i="2"/>
  <c r="E396" i="2"/>
  <c r="C397" i="2"/>
  <c r="E397" i="2" l="1"/>
  <c r="G397" i="2"/>
  <c r="F397" i="2"/>
  <c r="K397" i="2"/>
  <c r="C398" i="2"/>
  <c r="K398" i="2" s="1"/>
  <c r="E398" i="2" l="1"/>
  <c r="G398" i="2"/>
  <c r="F398" i="2"/>
  <c r="C399" i="2"/>
  <c r="F399" i="2" l="1"/>
  <c r="G399" i="2"/>
  <c r="E399" i="2"/>
  <c r="K399" i="2"/>
  <c r="C400" i="2"/>
  <c r="G400" i="2" s="1"/>
  <c r="E400" i="2" l="1"/>
  <c r="K400" i="2"/>
  <c r="F400" i="2"/>
  <c r="C401" i="2"/>
  <c r="K401" i="2" s="1"/>
  <c r="E401" i="2" l="1"/>
  <c r="F401" i="2"/>
  <c r="G401" i="2"/>
  <c r="C402" i="2"/>
  <c r="E402" i="2" l="1"/>
  <c r="F402" i="2"/>
  <c r="G402" i="2"/>
  <c r="K402" i="2"/>
  <c r="C403" i="2"/>
  <c r="F403" i="2" l="1"/>
  <c r="E403" i="2"/>
  <c r="G403" i="2"/>
  <c r="K403" i="2"/>
  <c r="C404" i="2"/>
  <c r="K404" i="2" s="1"/>
  <c r="G404" i="2" l="1"/>
  <c r="E404" i="2"/>
  <c r="F404" i="2"/>
  <c r="C405" i="2"/>
  <c r="E405" i="2" l="1"/>
  <c r="K405" i="2"/>
  <c r="F405" i="2"/>
  <c r="G405" i="2"/>
  <c r="C406" i="2"/>
  <c r="G406" i="2" l="1"/>
  <c r="E406" i="2"/>
  <c r="K406" i="2"/>
  <c r="F406" i="2"/>
  <c r="C407" i="2"/>
  <c r="G407" i="2" l="1"/>
  <c r="F407" i="2"/>
  <c r="K407" i="2"/>
  <c r="E407" i="2"/>
  <c r="C408" i="2"/>
  <c r="K408" i="2" l="1"/>
  <c r="E408" i="2"/>
  <c r="G408" i="2"/>
  <c r="F408" i="2"/>
  <c r="C409" i="2"/>
  <c r="E409" i="2" l="1"/>
  <c r="G409" i="2"/>
  <c r="K409" i="2"/>
  <c r="F409" i="2"/>
  <c r="C410" i="2"/>
  <c r="F410" i="2" l="1"/>
  <c r="K410" i="2"/>
  <c r="E410" i="2"/>
  <c r="G410" i="2"/>
  <c r="C411" i="2"/>
  <c r="E411" i="2" s="1"/>
  <c r="F411" i="2" l="1"/>
  <c r="K411" i="2"/>
  <c r="G411" i="2"/>
  <c r="C412" i="2"/>
  <c r="K412" i="2" s="1"/>
  <c r="E412" i="2" l="1"/>
  <c r="G412" i="2"/>
  <c r="F412" i="2"/>
  <c r="C413" i="2" l="1"/>
  <c r="E413" i="2" l="1"/>
  <c r="G413" i="2"/>
  <c r="K413" i="2"/>
  <c r="F413" i="2"/>
  <c r="C414" i="2"/>
  <c r="E414" i="2" l="1"/>
  <c r="F414" i="2"/>
  <c r="K414" i="2"/>
  <c r="G414" i="2"/>
  <c r="C415" i="2"/>
  <c r="F415" i="2" l="1"/>
  <c r="E415" i="2"/>
  <c r="G415" i="2"/>
  <c r="K415" i="2"/>
  <c r="C416" i="2"/>
  <c r="F416" i="2" s="1"/>
  <c r="K416" i="2" l="1"/>
  <c r="E416" i="2"/>
  <c r="G416" i="2"/>
  <c r="C417" i="2"/>
  <c r="F417" i="2" s="1"/>
  <c r="E417" i="2" l="1"/>
  <c r="K417" i="2"/>
  <c r="G417" i="2"/>
  <c r="C418" i="2"/>
  <c r="E418" i="2" s="1"/>
  <c r="F418" i="2" l="1"/>
  <c r="G418" i="2"/>
  <c r="K418" i="2"/>
  <c r="C419" i="2"/>
  <c r="K419" i="2" l="1"/>
  <c r="E419" i="2"/>
  <c r="F419" i="2"/>
  <c r="G419" i="2"/>
  <c r="C420" i="2"/>
  <c r="G420" i="2" s="1"/>
  <c r="K420" i="2" l="1"/>
  <c r="E420" i="2"/>
  <c r="F420" i="2"/>
  <c r="C421" i="2"/>
  <c r="F421" i="2" s="1"/>
  <c r="K421" i="2" l="1"/>
  <c r="G421" i="2"/>
  <c r="E421" i="2"/>
  <c r="C422" i="2"/>
  <c r="E422" i="2" l="1"/>
  <c r="F422" i="2"/>
  <c r="G422" i="2"/>
  <c r="K422" i="2"/>
  <c r="C423" i="2"/>
  <c r="G423" i="2" s="1"/>
  <c r="F423" i="2" l="1"/>
  <c r="K423" i="2"/>
  <c r="E423" i="2"/>
  <c r="C424" i="2"/>
  <c r="F424" i="2" l="1"/>
  <c r="G424" i="2"/>
  <c r="K424" i="2"/>
  <c r="E424" i="2"/>
  <c r="C425" i="2" l="1"/>
  <c r="E425" i="2" s="1"/>
  <c r="G425" i="2" l="1"/>
  <c r="K425" i="2"/>
  <c r="F425" i="2"/>
  <c r="C426" i="2"/>
  <c r="F426" i="2" s="1"/>
  <c r="E426" i="2" l="1"/>
  <c r="G426" i="2"/>
  <c r="K426" i="2"/>
  <c r="C427" i="2"/>
  <c r="F427" i="2" l="1"/>
  <c r="G427" i="2"/>
  <c r="E427" i="2"/>
  <c r="K427" i="2"/>
  <c r="C428" i="2"/>
  <c r="F428" i="2" s="1"/>
  <c r="G428" i="2" l="1"/>
  <c r="E428" i="2"/>
  <c r="K428" i="2"/>
  <c r="C429" i="2"/>
  <c r="E429" i="2" l="1"/>
  <c r="F429" i="2"/>
  <c r="K429" i="2"/>
  <c r="G429" i="2"/>
  <c r="C430" i="2"/>
  <c r="G430" i="2" s="1"/>
  <c r="K430" i="2" l="1"/>
  <c r="F430" i="2"/>
  <c r="E430" i="2"/>
  <c r="C431" i="2"/>
  <c r="K431" i="2" l="1"/>
  <c r="E431" i="2"/>
  <c r="F431" i="2"/>
  <c r="G431" i="2"/>
  <c r="C432" i="2"/>
  <c r="E432" i="2" s="1"/>
  <c r="F432" i="2" l="1"/>
  <c r="G432" i="2"/>
  <c r="K432" i="2"/>
  <c r="C433" i="2"/>
  <c r="K433" i="2" s="1"/>
  <c r="E433" i="2" l="1"/>
  <c r="G433" i="2"/>
  <c r="F433" i="2"/>
  <c r="C434" i="2"/>
  <c r="G434" i="2" l="1"/>
  <c r="K434" i="2"/>
  <c r="E434" i="2"/>
  <c r="F434" i="2"/>
  <c r="C435" i="2"/>
  <c r="F435" i="2" l="1"/>
  <c r="G435" i="2"/>
  <c r="K435" i="2"/>
  <c r="E435" i="2"/>
  <c r="C436" i="2"/>
  <c r="K436" i="2" s="1"/>
  <c r="G436" i="2" l="1"/>
  <c r="E436" i="2"/>
  <c r="F436" i="2"/>
  <c r="C437" i="2"/>
  <c r="E437" i="2" s="1"/>
  <c r="K437" i="2" l="1"/>
  <c r="G437" i="2"/>
  <c r="F437" i="2"/>
  <c r="C438" i="2"/>
  <c r="E438" i="2" l="1"/>
  <c r="F438" i="2"/>
  <c r="K438" i="2"/>
  <c r="G438" i="2"/>
  <c r="C439" i="2"/>
  <c r="K439" i="2" l="1"/>
  <c r="F439" i="2"/>
  <c r="E439" i="2"/>
  <c r="G439" i="2"/>
  <c r="C440" i="2"/>
  <c r="G440" i="2" l="1"/>
  <c r="K440" i="2"/>
  <c r="E440" i="2"/>
  <c r="F440" i="2"/>
  <c r="C441" i="2"/>
  <c r="E441" i="2" l="1"/>
  <c r="F441" i="2"/>
  <c r="G441" i="2"/>
  <c r="K441" i="2"/>
  <c r="C442" i="2"/>
  <c r="E442" i="2" l="1"/>
  <c r="F442" i="2"/>
  <c r="K442" i="2"/>
  <c r="G442" i="2"/>
  <c r="C443" i="2"/>
  <c r="F443" i="2" l="1"/>
  <c r="G443" i="2"/>
  <c r="K443" i="2"/>
  <c r="E443" i="2"/>
  <c r="C444" i="2"/>
  <c r="G444" i="2" l="1"/>
  <c r="K444" i="2"/>
  <c r="E444" i="2"/>
  <c r="F444" i="2"/>
  <c r="C445" i="2"/>
  <c r="G445" i="2" l="1"/>
  <c r="K445" i="2"/>
  <c r="E445" i="2"/>
  <c r="F445" i="2"/>
  <c r="C446" i="2"/>
  <c r="K446" i="2" l="1"/>
  <c r="G446" i="2"/>
  <c r="E446" i="2"/>
  <c r="F446" i="2"/>
  <c r="C447" i="2"/>
  <c r="K447" i="2" l="1"/>
  <c r="E447" i="2"/>
  <c r="G447" i="2"/>
  <c r="F447" i="2"/>
  <c r="C448" i="2"/>
  <c r="E448" i="2" l="1"/>
  <c r="F448" i="2"/>
  <c r="K448" i="2"/>
  <c r="G448" i="2"/>
  <c r="C449" i="2"/>
  <c r="E449" i="2" l="1"/>
  <c r="F449" i="2"/>
  <c r="K449" i="2"/>
  <c r="G449" i="2"/>
  <c r="C450" i="2"/>
  <c r="E450" i="2" l="1"/>
  <c r="F450" i="2"/>
  <c r="G450" i="2"/>
  <c r="K450" i="2"/>
  <c r="C451" i="2"/>
  <c r="G451" i="2" l="1"/>
  <c r="K451" i="2"/>
  <c r="E451" i="2"/>
  <c r="F451" i="2"/>
  <c r="C452" i="2"/>
  <c r="E452" i="2" l="1"/>
  <c r="G452" i="2"/>
  <c r="F452" i="2"/>
  <c r="K452" i="2"/>
  <c r="C453" i="2"/>
  <c r="K453" i="2" l="1"/>
  <c r="E453" i="2"/>
  <c r="F453" i="2"/>
  <c r="G453" i="2"/>
  <c r="C454" i="2"/>
  <c r="K454" i="2" l="1"/>
  <c r="E454" i="2"/>
  <c r="G454" i="2"/>
  <c r="F454" i="2"/>
  <c r="C455" i="2"/>
  <c r="F455" i="2" l="1"/>
  <c r="G455" i="2"/>
  <c r="K455" i="2"/>
  <c r="E455" i="2"/>
  <c r="C456" i="2"/>
  <c r="K456" i="2" l="1"/>
  <c r="E456" i="2"/>
  <c r="F456" i="2"/>
  <c r="G456" i="2"/>
  <c r="C457" i="2"/>
  <c r="G457" i="2" l="1"/>
  <c r="F457" i="2"/>
  <c r="E457" i="2"/>
  <c r="K457" i="2"/>
  <c r="C458" i="2"/>
  <c r="E458" i="2" l="1"/>
  <c r="F458" i="2"/>
  <c r="K458" i="2"/>
  <c r="G458" i="2"/>
  <c r="C459" i="2"/>
  <c r="G459" i="2" l="1"/>
  <c r="K459" i="2"/>
  <c r="E459" i="2"/>
  <c r="F459" i="2"/>
  <c r="C460" i="2"/>
  <c r="G460" i="2" l="1"/>
  <c r="F460" i="2"/>
  <c r="K460" i="2"/>
  <c r="E460" i="2"/>
  <c r="C461" i="2"/>
  <c r="E461" i="2" l="1"/>
  <c r="K461" i="2"/>
  <c r="F461" i="2"/>
  <c r="G461" i="2"/>
  <c r="C462" i="2"/>
  <c r="K462" i="2" l="1"/>
  <c r="E462" i="2"/>
  <c r="F462" i="2"/>
  <c r="G462" i="2"/>
  <c r="C463" i="2"/>
  <c r="G463" i="2" l="1"/>
  <c r="K463" i="2"/>
  <c r="E463" i="2"/>
  <c r="F463" i="2"/>
  <c r="C464" i="2"/>
  <c r="G464" i="2" l="1"/>
  <c r="K464" i="2"/>
  <c r="E464" i="2"/>
  <c r="F464" i="2"/>
  <c r="C465" i="2"/>
  <c r="G465" i="2" s="1"/>
  <c r="K465" i="2" l="1"/>
  <c r="F465" i="2"/>
  <c r="E465" i="2"/>
  <c r="C466" i="2"/>
  <c r="F466" i="2" l="1"/>
  <c r="G466" i="2"/>
  <c r="K466" i="2"/>
  <c r="E466" i="2"/>
  <c r="C467" i="2"/>
  <c r="E467" i="2" l="1"/>
  <c r="K467" i="2"/>
  <c r="F467" i="2"/>
  <c r="G467" i="2"/>
  <c r="C468" i="2"/>
  <c r="G468" i="2" l="1"/>
  <c r="K468" i="2"/>
  <c r="F468" i="2"/>
  <c r="E468" i="2"/>
  <c r="C469" i="2"/>
  <c r="K469" i="2" l="1"/>
  <c r="F469" i="2"/>
  <c r="E469" i="2"/>
  <c r="G469" i="2"/>
  <c r="C470" i="2"/>
  <c r="F470" i="2" l="1"/>
  <c r="E470" i="2"/>
  <c r="K470" i="2"/>
  <c r="G470" i="2"/>
  <c r="C471" i="2"/>
  <c r="F471" i="2" l="1"/>
  <c r="G471" i="2"/>
  <c r="E471" i="2"/>
  <c r="K471" i="2"/>
  <c r="C472" i="2"/>
  <c r="E472" i="2" l="1"/>
  <c r="G472" i="2"/>
  <c r="K472" i="2"/>
  <c r="F472" i="2"/>
  <c r="C473" i="2"/>
  <c r="F473" i="2" l="1"/>
  <c r="G473" i="2"/>
  <c r="K473" i="2"/>
  <c r="E473" i="2"/>
  <c r="C474" i="2"/>
  <c r="G474" i="2" l="1"/>
  <c r="K474" i="2"/>
  <c r="F474" i="2"/>
  <c r="E474" i="2"/>
  <c r="C475" i="2"/>
  <c r="F475" i="2" l="1"/>
  <c r="G475" i="2"/>
  <c r="E475" i="2"/>
  <c r="K475" i="2"/>
  <c r="C476" i="2"/>
  <c r="K476" i="2" l="1"/>
  <c r="E476" i="2"/>
  <c r="F476" i="2"/>
  <c r="G476" i="2"/>
  <c r="C477" i="2"/>
  <c r="K477" i="2" l="1"/>
  <c r="F477" i="2"/>
  <c r="E477" i="2"/>
  <c r="G477" i="2"/>
  <c r="C478" i="2"/>
  <c r="G478" i="2" l="1"/>
  <c r="E478" i="2"/>
  <c r="F478" i="2"/>
  <c r="K478" i="2"/>
  <c r="C479" i="2"/>
  <c r="F479" i="2" l="1"/>
  <c r="G479" i="2"/>
  <c r="K479" i="2"/>
  <c r="E479" i="2"/>
  <c r="C480" i="2"/>
  <c r="F480" i="2" l="1"/>
  <c r="G480" i="2"/>
  <c r="E480" i="2"/>
  <c r="K480" i="2"/>
  <c r="C481" i="2"/>
  <c r="E481" i="2" l="1"/>
  <c r="F481" i="2"/>
  <c r="G481" i="2"/>
  <c r="K481" i="2"/>
  <c r="C482" i="2"/>
  <c r="G482" i="2" s="1"/>
  <c r="E482" i="2" l="1"/>
  <c r="K482" i="2"/>
  <c r="F482" i="2"/>
  <c r="C483" i="2"/>
  <c r="G483" i="2" l="1"/>
  <c r="K483" i="2"/>
  <c r="E483" i="2"/>
  <c r="F483" i="2"/>
  <c r="C484" i="2"/>
  <c r="K484" i="2" s="1"/>
  <c r="F484" i="2" l="1"/>
  <c r="E484" i="2"/>
  <c r="G484" i="2"/>
  <c r="C485" i="2"/>
  <c r="F485" i="2" l="1"/>
  <c r="G485" i="2"/>
  <c r="K485" i="2"/>
  <c r="E485" i="2"/>
  <c r="C486" i="2"/>
  <c r="F486" i="2" l="1"/>
  <c r="G486" i="2"/>
  <c r="K486" i="2"/>
  <c r="E486" i="2"/>
  <c r="C487" i="2"/>
  <c r="K487" i="2" l="1"/>
  <c r="F487" i="2"/>
  <c r="G487" i="2"/>
  <c r="E487" i="2"/>
  <c r="C488" i="2"/>
  <c r="G488" i="2" l="1"/>
  <c r="K488" i="2"/>
  <c r="E488" i="2"/>
  <c r="F488" i="2"/>
  <c r="C489" i="2"/>
  <c r="E489" i="2" l="1"/>
  <c r="G489" i="2"/>
  <c r="F489" i="2"/>
  <c r="K489" i="2"/>
  <c r="C490" i="2"/>
  <c r="F490" i="2" l="1"/>
  <c r="G490" i="2"/>
  <c r="K490" i="2"/>
  <c r="E490" i="2"/>
  <c r="C491" i="2"/>
  <c r="G491" i="2" s="1"/>
  <c r="K491" i="2" l="1"/>
  <c r="F491" i="2"/>
  <c r="E491" i="2"/>
  <c r="C492" i="2"/>
  <c r="E492" i="2" l="1"/>
  <c r="F492" i="2"/>
  <c r="K492" i="2"/>
  <c r="G492" i="2"/>
  <c r="C493" i="2"/>
  <c r="K493" i="2" l="1"/>
  <c r="G493" i="2"/>
  <c r="E493" i="2"/>
  <c r="F493" i="2"/>
  <c r="C494" i="2"/>
  <c r="G494" i="2" l="1"/>
  <c r="K494" i="2"/>
  <c r="E494" i="2"/>
  <c r="F494" i="2"/>
  <c r="C495" i="2" l="1"/>
  <c r="K495" i="2" l="1"/>
  <c r="E495" i="2"/>
  <c r="G495" i="2"/>
  <c r="F495" i="2"/>
  <c r="C496" i="2"/>
  <c r="K496" i="2" s="1"/>
  <c r="E496" i="2" l="1"/>
  <c r="F496" i="2"/>
  <c r="G496" i="2"/>
  <c r="C497" i="2" l="1"/>
  <c r="F497" i="2" l="1"/>
  <c r="G497" i="2"/>
  <c r="K497" i="2"/>
  <c r="E497" i="2"/>
  <c r="C498" i="2"/>
  <c r="F498" i="2" l="1"/>
  <c r="G498" i="2"/>
  <c r="K498" i="2"/>
  <c r="E498" i="2"/>
  <c r="C499" i="2"/>
  <c r="K499" i="2" s="1"/>
  <c r="E499" i="2" l="1"/>
  <c r="F499" i="2"/>
  <c r="G499" i="2"/>
  <c r="C500" i="2"/>
  <c r="G500" i="2" l="1"/>
  <c r="E500" i="2"/>
  <c r="F500" i="2"/>
  <c r="K500" i="2"/>
  <c r="C501" i="2"/>
  <c r="E501" i="2" l="1"/>
  <c r="K501" i="2"/>
  <c r="F501" i="2"/>
  <c r="G501" i="2"/>
  <c r="C502" i="2"/>
  <c r="E502" i="2" l="1"/>
  <c r="G502" i="2"/>
  <c r="F502" i="2"/>
  <c r="K502" i="2"/>
  <c r="C503" i="2"/>
  <c r="E503" i="2" l="1"/>
  <c r="F503" i="2"/>
  <c r="G503" i="2"/>
  <c r="K503" i="2"/>
  <c r="C504" i="2"/>
  <c r="F504" i="2" l="1"/>
  <c r="K504" i="2"/>
  <c r="G504" i="2"/>
  <c r="E504" i="2"/>
  <c r="C505" i="2"/>
  <c r="E505" i="2" l="1"/>
  <c r="F505" i="2"/>
  <c r="G505" i="2"/>
  <c r="K505" i="2"/>
  <c r="C506" i="2"/>
  <c r="F506" i="2" s="1"/>
  <c r="K506" i="2" l="1"/>
  <c r="E506" i="2"/>
  <c r="G506" i="2"/>
  <c r="C507" i="2"/>
  <c r="K507" i="2" s="1"/>
  <c r="E507" i="2" l="1"/>
  <c r="F507" i="2"/>
  <c r="G507" i="2"/>
  <c r="C508" i="2"/>
  <c r="E508" i="2" l="1"/>
  <c r="F508" i="2"/>
  <c r="G508" i="2"/>
  <c r="K508" i="2"/>
  <c r="C509" i="2"/>
  <c r="K509" i="2" l="1"/>
  <c r="F509" i="2"/>
  <c r="E509" i="2"/>
  <c r="G509" i="2"/>
  <c r="C510" i="2"/>
  <c r="G510" i="2" l="1"/>
  <c r="K510" i="2"/>
  <c r="F510" i="2"/>
  <c r="E510" i="2"/>
  <c r="C511" i="2"/>
  <c r="F511" i="2" l="1"/>
  <c r="K511" i="2"/>
  <c r="G511" i="2"/>
  <c r="E511" i="2"/>
  <c r="C512" i="2"/>
  <c r="K512" i="2" s="1"/>
  <c r="E512" i="2" l="1"/>
  <c r="F512" i="2"/>
  <c r="G512" i="2"/>
  <c r="C513" i="2" l="1"/>
  <c r="F513" i="2" s="1"/>
  <c r="E513" i="2" l="1"/>
  <c r="G513" i="2"/>
  <c r="K513" i="2"/>
  <c r="C514" i="2"/>
  <c r="G514" i="2" l="1"/>
  <c r="K514" i="2"/>
  <c r="F514" i="2"/>
  <c r="E514" i="2"/>
  <c r="C515" i="2"/>
  <c r="F515" i="2" l="1"/>
  <c r="E515" i="2"/>
  <c r="G515" i="2"/>
  <c r="K515" i="2"/>
  <c r="C516" i="2"/>
  <c r="G516" i="2" l="1"/>
  <c r="E516" i="2"/>
  <c r="F516" i="2"/>
  <c r="K516" i="2"/>
  <c r="C517" i="2"/>
  <c r="K517" i="2" l="1"/>
  <c r="E517" i="2"/>
  <c r="F517" i="2"/>
  <c r="G517" i="2"/>
  <c r="C518" i="2"/>
  <c r="K518" i="2" l="1"/>
  <c r="F518" i="2"/>
  <c r="G518" i="2"/>
  <c r="E518" i="2"/>
  <c r="C519" i="2"/>
  <c r="G519" i="2" l="1"/>
  <c r="K519" i="2"/>
  <c r="E519" i="2"/>
  <c r="F519" i="2"/>
  <c r="C520" i="2"/>
  <c r="E520" i="2" l="1"/>
  <c r="K520" i="2"/>
  <c r="F520" i="2"/>
  <c r="G520" i="2"/>
  <c r="C521" i="2"/>
  <c r="E521" i="2" l="1"/>
  <c r="K521" i="2"/>
  <c r="G521" i="2"/>
  <c r="F521" i="2"/>
  <c r="C522" i="2"/>
  <c r="G522" i="2" l="1"/>
  <c r="K522" i="2"/>
  <c r="E522" i="2"/>
  <c r="F522" i="2"/>
  <c r="C523" i="2"/>
  <c r="K523" i="2" s="1"/>
  <c r="E523" i="2" l="1"/>
  <c r="F523" i="2"/>
  <c r="G523" i="2"/>
  <c r="C524" i="2"/>
  <c r="K524" i="2" l="1"/>
  <c r="E524" i="2"/>
  <c r="F524" i="2"/>
  <c r="G524" i="2"/>
  <c r="C525" i="2"/>
  <c r="K525" i="2" l="1"/>
  <c r="F525" i="2"/>
  <c r="E525" i="2"/>
  <c r="G525" i="2"/>
  <c r="C526" i="2"/>
  <c r="K526" i="2" s="1"/>
  <c r="F526" i="2" l="1"/>
  <c r="E526" i="2"/>
  <c r="G526" i="2"/>
  <c r="C527" i="2"/>
  <c r="F527" i="2" l="1"/>
  <c r="G527" i="2"/>
  <c r="K527" i="2"/>
  <c r="E527" i="2"/>
  <c r="C528" i="2"/>
  <c r="K528" i="2" l="1"/>
  <c r="E528" i="2"/>
  <c r="F528" i="2"/>
  <c r="G528" i="2"/>
  <c r="C529" i="2"/>
  <c r="F529" i="2" l="1"/>
  <c r="E529" i="2"/>
  <c r="K529" i="2"/>
  <c r="G529" i="2"/>
  <c r="C530" i="2"/>
  <c r="G530" i="2" s="1"/>
  <c r="F530" i="2" l="1"/>
  <c r="E530" i="2"/>
  <c r="K530" i="2"/>
  <c r="C531" i="2"/>
  <c r="G531" i="2" l="1"/>
  <c r="K531" i="2"/>
  <c r="E531" i="2"/>
  <c r="F531" i="2"/>
  <c r="C532" i="2"/>
  <c r="K532" i="2" s="1"/>
  <c r="E532" i="2" l="1"/>
  <c r="F532" i="2"/>
  <c r="G532" i="2"/>
  <c r="C533" i="2" l="1"/>
  <c r="K533" i="2" l="1"/>
  <c r="F533" i="2"/>
  <c r="E533" i="2"/>
  <c r="G533" i="2"/>
  <c r="C534" i="2"/>
  <c r="K534" i="2" l="1"/>
  <c r="E534" i="2"/>
  <c r="F534" i="2"/>
  <c r="G534" i="2"/>
  <c r="C535" i="2"/>
  <c r="G535" i="2" l="1"/>
  <c r="F535" i="2"/>
  <c r="K535" i="2"/>
  <c r="E535" i="2"/>
  <c r="C536" i="2"/>
  <c r="E536" i="2" s="1"/>
  <c r="F536" i="2" l="1"/>
  <c r="G536" i="2"/>
  <c r="K536" i="2"/>
  <c r="C537" i="2"/>
  <c r="K537" i="2" s="1"/>
  <c r="E537" i="2" l="1"/>
  <c r="F537" i="2"/>
  <c r="G537" i="2"/>
  <c r="C538" i="2"/>
  <c r="G538" i="2" s="1"/>
  <c r="K538" i="2" l="1"/>
  <c r="E538" i="2"/>
  <c r="F538" i="2"/>
  <c r="C539" i="2"/>
  <c r="K539" i="2" l="1"/>
  <c r="E539" i="2"/>
  <c r="F539" i="2"/>
  <c r="G539" i="2"/>
  <c r="C540" i="2"/>
  <c r="F540" i="2" l="1"/>
  <c r="G540" i="2"/>
  <c r="K540" i="2"/>
  <c r="E540" i="2"/>
  <c r="C541" i="2"/>
  <c r="G541" i="2" s="1"/>
  <c r="E541" i="2" l="1"/>
  <c r="K541" i="2"/>
  <c r="F541" i="2"/>
  <c r="C542" i="2"/>
  <c r="E542" i="2" s="1"/>
  <c r="F542" i="2" l="1"/>
  <c r="K542" i="2"/>
  <c r="G542" i="2"/>
  <c r="C543" i="2"/>
  <c r="F543" i="2" s="1"/>
  <c r="G543" i="2" l="1"/>
  <c r="K543" i="2"/>
  <c r="E543" i="2"/>
  <c r="C544" i="2"/>
  <c r="K544" i="2" l="1"/>
  <c r="E544" i="2"/>
  <c r="F544" i="2"/>
  <c r="G544" i="2"/>
  <c r="C545" i="2"/>
  <c r="G545" i="2" l="1"/>
  <c r="K545" i="2"/>
  <c r="F545" i="2"/>
  <c r="E545" i="2"/>
  <c r="C546" i="2"/>
  <c r="F546" i="2" l="1"/>
  <c r="G546" i="2"/>
  <c r="K546" i="2"/>
  <c r="E546" i="2"/>
  <c r="C547" i="2"/>
  <c r="K547" i="2" l="1"/>
  <c r="F547" i="2"/>
  <c r="E547" i="2"/>
  <c r="G547" i="2"/>
  <c r="C548" i="2"/>
  <c r="K548" i="2" l="1"/>
  <c r="E548" i="2"/>
  <c r="F548" i="2"/>
  <c r="G548" i="2"/>
  <c r="C549" i="2"/>
  <c r="K549" i="2" l="1"/>
  <c r="E549" i="2"/>
  <c r="F549" i="2"/>
  <c r="G549" i="2"/>
  <c r="C550" i="2"/>
  <c r="G550" i="2" l="1"/>
  <c r="F550" i="2"/>
  <c r="E550" i="2"/>
  <c r="K550" i="2"/>
  <c r="C551" i="2"/>
  <c r="E551" i="2" l="1"/>
  <c r="G551" i="2"/>
  <c r="F551" i="2"/>
  <c r="K551" i="2"/>
  <c r="C552" i="2"/>
  <c r="E552" i="2" l="1"/>
  <c r="G552" i="2"/>
  <c r="F552" i="2"/>
  <c r="K552" i="2"/>
  <c r="C553" i="2"/>
  <c r="F553" i="2" l="1"/>
  <c r="G553" i="2"/>
  <c r="K553" i="2"/>
  <c r="E553" i="2"/>
  <c r="C554" i="2"/>
  <c r="E554" i="2" l="1"/>
  <c r="F554" i="2"/>
  <c r="K554" i="2"/>
  <c r="G554" i="2"/>
  <c r="C555" i="2"/>
  <c r="F555" i="2" s="1"/>
  <c r="G555" i="2" l="1"/>
  <c r="K555" i="2"/>
  <c r="E555" i="2"/>
  <c r="C556" i="2"/>
  <c r="E556" i="2" l="1"/>
  <c r="K556" i="2"/>
  <c r="G556" i="2"/>
  <c r="F556" i="2"/>
  <c r="C557" i="2"/>
  <c r="F557" i="2" l="1"/>
  <c r="G557" i="2"/>
  <c r="K557" i="2"/>
  <c r="E557" i="2"/>
  <c r="C558" i="2"/>
  <c r="K558" i="2" l="1"/>
  <c r="E558" i="2"/>
  <c r="F558" i="2"/>
  <c r="G558" i="2"/>
  <c r="C559" i="2"/>
  <c r="F559" i="2" l="1"/>
  <c r="G559" i="2"/>
  <c r="K559" i="2"/>
  <c r="E559" i="2"/>
  <c r="C560" i="2"/>
  <c r="E560" i="2" l="1"/>
  <c r="K560" i="2"/>
  <c r="F560" i="2"/>
  <c r="G560" i="2"/>
  <c r="C561" i="2"/>
  <c r="G561" i="2" l="1"/>
  <c r="E561" i="2"/>
  <c r="K561" i="2"/>
  <c r="F561" i="2"/>
  <c r="C562" i="2"/>
  <c r="K562" i="2" l="1"/>
  <c r="E562" i="2"/>
  <c r="G562" i="2"/>
  <c r="F562" i="2"/>
  <c r="C563" i="2"/>
  <c r="E563" i="2" l="1"/>
  <c r="F563" i="2"/>
  <c r="G563" i="2"/>
  <c r="K563" i="2"/>
  <c r="C564" i="2"/>
  <c r="K564" i="2" s="1"/>
  <c r="E564" i="2" l="1"/>
  <c r="F564" i="2"/>
  <c r="G564" i="2"/>
  <c r="C565" i="2"/>
  <c r="K565" i="2" l="1"/>
  <c r="E565" i="2"/>
  <c r="G565" i="2"/>
  <c r="F565" i="2"/>
  <c r="C566" i="2"/>
  <c r="F566" i="2" l="1"/>
  <c r="K566" i="2"/>
  <c r="G566" i="2"/>
  <c r="E566" i="2"/>
  <c r="C567" i="2"/>
  <c r="F567" i="2" l="1"/>
  <c r="G567" i="2"/>
  <c r="K567" i="2"/>
  <c r="E567" i="2"/>
  <c r="C568" i="2"/>
  <c r="F568" i="2" s="1"/>
  <c r="K568" i="2" l="1"/>
  <c r="E568" i="2"/>
  <c r="G568" i="2"/>
  <c r="C569" i="2"/>
  <c r="F569" i="2" l="1"/>
  <c r="K569" i="2"/>
  <c r="E569" i="2"/>
  <c r="G569" i="2"/>
  <c r="C570" i="2"/>
  <c r="E570" i="2" s="1"/>
  <c r="F570" i="2" l="1"/>
  <c r="G570" i="2"/>
  <c r="K570" i="2"/>
  <c r="C571" i="2"/>
  <c r="K571" i="2" s="1"/>
  <c r="E571" i="2" l="1"/>
  <c r="F571" i="2"/>
  <c r="G571" i="2"/>
  <c r="C572" i="2"/>
  <c r="K572" i="2" l="1"/>
  <c r="E572" i="2"/>
  <c r="G572" i="2"/>
  <c r="F572" i="2"/>
  <c r="C573" i="2"/>
  <c r="G573" i="2" l="1"/>
  <c r="E573" i="2"/>
  <c r="K573" i="2"/>
  <c r="F573" i="2"/>
  <c r="C574" i="2"/>
  <c r="K574" i="2" l="1"/>
  <c r="F574" i="2"/>
  <c r="G574" i="2"/>
  <c r="E574" i="2"/>
  <c r="C575" i="2"/>
  <c r="F575" i="2" l="1"/>
  <c r="G575" i="2"/>
  <c r="E575" i="2"/>
  <c r="K575" i="2"/>
  <c r="C576" i="2"/>
  <c r="K576" i="2" l="1"/>
  <c r="G576" i="2"/>
  <c r="E576" i="2"/>
  <c r="F576" i="2"/>
  <c r="C577" i="2"/>
  <c r="G577" i="2" l="1"/>
  <c r="F577" i="2"/>
  <c r="E577" i="2"/>
  <c r="K577" i="2"/>
  <c r="C578" i="2"/>
  <c r="F578" i="2" s="1"/>
  <c r="E578" i="2" l="1"/>
  <c r="G578" i="2"/>
  <c r="K578" i="2"/>
  <c r="C579" i="2"/>
  <c r="G579" i="2" s="1"/>
  <c r="K579" i="2" l="1"/>
  <c r="E579" i="2"/>
  <c r="F579" i="2"/>
  <c r="C580" i="2"/>
  <c r="E580" i="2" l="1"/>
  <c r="G580" i="2"/>
  <c r="K580" i="2"/>
  <c r="F580" i="2"/>
  <c r="C581" i="2"/>
  <c r="K581" i="2" l="1"/>
  <c r="F581" i="2"/>
  <c r="E581" i="2"/>
  <c r="G581" i="2"/>
  <c r="C582" i="2"/>
  <c r="F582" i="2" l="1"/>
  <c r="K582" i="2"/>
  <c r="G582" i="2"/>
  <c r="E582" i="2"/>
  <c r="C583" i="2"/>
  <c r="F583" i="2" l="1"/>
  <c r="G583" i="2"/>
  <c r="K583" i="2"/>
  <c r="E583" i="2"/>
  <c r="C584" i="2"/>
  <c r="E584" i="2" l="1"/>
  <c r="F584" i="2"/>
  <c r="G584" i="2"/>
  <c r="K584" i="2"/>
  <c r="C585" i="2"/>
  <c r="K585" i="2" s="1"/>
  <c r="E585" i="2" l="1"/>
  <c r="G585" i="2"/>
  <c r="F585" i="2"/>
  <c r="C586" i="2"/>
  <c r="E586" i="2" s="1"/>
  <c r="G586" i="2" l="1"/>
  <c r="K586" i="2"/>
  <c r="F586" i="2"/>
  <c r="C587" i="2"/>
  <c r="E587" i="2" l="1"/>
  <c r="K587" i="2"/>
  <c r="F587" i="2"/>
  <c r="G587" i="2"/>
  <c r="C588" i="2"/>
  <c r="K588" i="2" s="1"/>
  <c r="E588" i="2" l="1"/>
  <c r="F588" i="2"/>
  <c r="G588" i="2"/>
  <c r="C589" i="2"/>
  <c r="E589" i="2" l="1"/>
  <c r="F589" i="2"/>
  <c r="G589" i="2"/>
  <c r="K589" i="2"/>
  <c r="C590" i="2" l="1"/>
  <c r="G590" i="2" s="1"/>
  <c r="E590" i="2" l="1"/>
  <c r="F590" i="2"/>
  <c r="K590" i="2"/>
  <c r="C591" i="2"/>
  <c r="E591" i="2" l="1"/>
  <c r="K591" i="2"/>
  <c r="F591" i="2"/>
  <c r="G591" i="2"/>
  <c r="C592" i="2"/>
  <c r="K592" i="2" s="1"/>
  <c r="E592" i="2" l="1"/>
  <c r="G592" i="2"/>
  <c r="F592" i="2"/>
  <c r="C593" i="2"/>
  <c r="F593" i="2" s="1"/>
  <c r="K593" i="2" l="1"/>
  <c r="G593" i="2"/>
  <c r="E593" i="2"/>
  <c r="C594" i="2"/>
  <c r="G594" i="2" l="1"/>
  <c r="K594" i="2"/>
  <c r="E594" i="2"/>
  <c r="F594" i="2"/>
  <c r="C595" i="2"/>
  <c r="E595" i="2" s="1"/>
  <c r="F595" i="2" l="1"/>
  <c r="K595" i="2"/>
  <c r="G595" i="2"/>
  <c r="C596" i="2"/>
  <c r="G596" i="2" s="1"/>
  <c r="K596" i="2" l="1"/>
  <c r="F596" i="2"/>
  <c r="E596" i="2"/>
  <c r="C597" i="2"/>
  <c r="K597" i="2" s="1"/>
  <c r="E597" i="2" l="1"/>
  <c r="F597" i="2"/>
  <c r="G597" i="2"/>
  <c r="C598" i="2"/>
  <c r="E598" i="2" l="1"/>
  <c r="K598" i="2"/>
  <c r="F598" i="2"/>
  <c r="G598" i="2"/>
  <c r="C599" i="2"/>
  <c r="E599" i="2" s="1"/>
  <c r="F599" i="2" l="1"/>
  <c r="G599" i="2"/>
  <c r="K599" i="2"/>
  <c r="C600" i="2"/>
  <c r="F600" i="2" l="1"/>
  <c r="G600" i="2"/>
  <c r="K600" i="2"/>
  <c r="E600" i="2"/>
  <c r="C601" i="2"/>
  <c r="E601" i="2" s="1"/>
  <c r="F601" i="2" l="1"/>
  <c r="G601" i="2"/>
  <c r="K601" i="2"/>
  <c r="C602" i="2"/>
  <c r="F602" i="2" s="1"/>
  <c r="G602" i="2" l="1"/>
  <c r="K602" i="2"/>
  <c r="E602" i="2"/>
  <c r="C603" i="2"/>
  <c r="E603" i="2" s="1"/>
  <c r="K603" i="2" l="1"/>
  <c r="G603" i="2"/>
  <c r="F603" i="2"/>
  <c r="C604" i="2"/>
  <c r="G604" i="2" l="1"/>
  <c r="K604" i="2"/>
  <c r="E604" i="2"/>
  <c r="F604" i="2"/>
  <c r="C605" i="2"/>
  <c r="K605" i="2" s="1"/>
  <c r="E605" i="2" l="1"/>
  <c r="F605" i="2"/>
  <c r="G605" i="2"/>
  <c r="C606" i="2"/>
  <c r="F606" i="2" s="1"/>
  <c r="G606" i="2" l="1"/>
  <c r="K606" i="2"/>
  <c r="E606" i="2"/>
  <c r="C607" i="2"/>
  <c r="K607" i="2" l="1"/>
  <c r="E607" i="2"/>
  <c r="F607" i="2"/>
  <c r="G607" i="2"/>
  <c r="C608" i="2"/>
  <c r="K608" i="2" s="1"/>
  <c r="E608" i="2" l="1"/>
  <c r="G608" i="2"/>
  <c r="F608" i="2"/>
  <c r="C609" i="2"/>
  <c r="F609" i="2" l="1"/>
  <c r="G609" i="2"/>
  <c r="K609" i="2"/>
  <c r="E609" i="2"/>
  <c r="C610" i="2"/>
  <c r="K610" i="2" l="1"/>
  <c r="G610" i="2"/>
  <c r="E610" i="2"/>
  <c r="F610" i="2"/>
  <c r="C611" i="2"/>
  <c r="F611" i="2" l="1"/>
  <c r="K611" i="2"/>
  <c r="E611" i="2"/>
  <c r="G611" i="2"/>
  <c r="C612" i="2"/>
  <c r="G612" i="2" l="1"/>
  <c r="F612" i="2"/>
  <c r="E612" i="2"/>
  <c r="K612" i="2"/>
  <c r="C613" i="2"/>
  <c r="K613" i="2" l="1"/>
  <c r="G613" i="2"/>
  <c r="F613" i="2"/>
  <c r="E613" i="2"/>
  <c r="C614" i="2"/>
  <c r="G614" i="2" l="1"/>
  <c r="E614" i="2"/>
  <c r="F614" i="2"/>
  <c r="K614" i="2"/>
  <c r="C615" i="2"/>
  <c r="G615" i="2" l="1"/>
  <c r="E615" i="2"/>
  <c r="F615" i="2"/>
  <c r="K615" i="2"/>
  <c r="C616" i="2"/>
  <c r="K616" i="2" s="1"/>
  <c r="E616" i="2" l="1"/>
  <c r="F616" i="2"/>
  <c r="G616" i="2"/>
  <c r="C617" i="2"/>
  <c r="E617" i="2" s="1"/>
  <c r="K617" i="2" l="1"/>
  <c r="G617" i="2"/>
  <c r="F617" i="2"/>
  <c r="C618" i="2"/>
  <c r="F618" i="2" l="1"/>
  <c r="K618" i="2"/>
  <c r="G618" i="2"/>
  <c r="E618" i="2"/>
  <c r="C619" i="2"/>
  <c r="K619" i="2" s="1"/>
  <c r="G619" i="2" l="1"/>
  <c r="E619" i="2"/>
  <c r="F619" i="2"/>
  <c r="C620" i="2"/>
  <c r="G620" i="2" s="1"/>
  <c r="K620" i="2" l="1"/>
  <c r="F620" i="2"/>
  <c r="E620" i="2"/>
  <c r="C621" i="2"/>
  <c r="G621" i="2" s="1"/>
  <c r="E621" i="2" l="1"/>
  <c r="K621" i="2"/>
  <c r="F621" i="2"/>
  <c r="C622" i="2"/>
  <c r="G622" i="2" s="1"/>
  <c r="K622" i="2" l="1"/>
  <c r="E622" i="2"/>
  <c r="F622" i="2"/>
  <c r="C623" i="2"/>
  <c r="K623" i="2" l="1"/>
  <c r="E623" i="2"/>
  <c r="F623" i="2"/>
  <c r="G623" i="2"/>
  <c r="C624" i="2"/>
  <c r="F624" i="2" l="1"/>
  <c r="E624" i="2"/>
  <c r="K624" i="2"/>
  <c r="G624" i="2"/>
  <c r="C625" i="2"/>
  <c r="G625" i="2" l="1"/>
  <c r="E625" i="2"/>
  <c r="K625" i="2"/>
  <c r="F625" i="2"/>
  <c r="C626" i="2"/>
  <c r="K626" i="2" l="1"/>
  <c r="F626" i="2"/>
  <c r="G626" i="2"/>
  <c r="E626" i="2"/>
  <c r="C627" i="2"/>
  <c r="F627" i="2" l="1"/>
  <c r="G627" i="2"/>
  <c r="K627" i="2"/>
  <c r="E627" i="2"/>
  <c r="C628" i="2"/>
  <c r="G628" i="2" l="1"/>
  <c r="F628" i="2"/>
  <c r="K628" i="2"/>
  <c r="E628" i="2"/>
  <c r="C629" i="2"/>
  <c r="G629" i="2" l="1"/>
  <c r="F629" i="2"/>
  <c r="K629" i="2"/>
  <c r="E629" i="2"/>
  <c r="C630" i="2"/>
  <c r="K630" i="2" s="1"/>
  <c r="G630" i="2" l="1"/>
  <c r="F630" i="2"/>
  <c r="E630" i="2"/>
  <c r="C631" i="2"/>
  <c r="E631" i="2" s="1"/>
  <c r="F631" i="2" l="1"/>
  <c r="K631" i="2"/>
  <c r="G631" i="2"/>
  <c r="C632" i="2"/>
  <c r="K632" i="2" s="1"/>
  <c r="E632" i="2" l="1"/>
  <c r="F632" i="2"/>
  <c r="G632" i="2"/>
  <c r="C633" i="2"/>
  <c r="F633" i="2" l="1"/>
  <c r="G633" i="2"/>
  <c r="E633" i="2"/>
  <c r="K633" i="2"/>
  <c r="C634" i="2"/>
  <c r="E634" i="2" l="1"/>
  <c r="G634" i="2"/>
  <c r="K634" i="2"/>
  <c r="F634" i="2"/>
  <c r="C635" i="2"/>
  <c r="E635" i="2" l="1"/>
  <c r="K635" i="2"/>
  <c r="F635" i="2"/>
  <c r="G635" i="2"/>
  <c r="C636" i="2"/>
  <c r="F636" i="2" l="1"/>
  <c r="K636" i="2"/>
  <c r="G636" i="2"/>
  <c r="E636" i="2"/>
  <c r="C637" i="2"/>
  <c r="K637" i="2" s="1"/>
  <c r="E637" i="2" l="1"/>
  <c r="F637" i="2"/>
  <c r="G637" i="2"/>
  <c r="C638" i="2"/>
  <c r="F638" i="2" s="1"/>
  <c r="G638" i="2" l="1"/>
  <c r="K638" i="2"/>
  <c r="E638" i="2"/>
  <c r="C639" i="2"/>
  <c r="F639" i="2" l="1"/>
  <c r="G639" i="2"/>
  <c r="K639" i="2"/>
  <c r="E639" i="2"/>
  <c r="C641" i="2"/>
  <c r="E641" i="2" s="1"/>
  <c r="K641" i="2" l="1"/>
  <c r="F641" i="2"/>
  <c r="G641" i="2"/>
  <c r="C642" i="2"/>
  <c r="F642" i="2" s="1"/>
  <c r="G642" i="2" l="1"/>
  <c r="K642" i="2"/>
  <c r="E642" i="2"/>
  <c r="C643" i="2"/>
  <c r="K643" i="2" s="1"/>
  <c r="F643" i="2" l="1"/>
  <c r="G643" i="2"/>
  <c r="E643" i="2"/>
  <c r="C644" i="2"/>
  <c r="K644" i="2" s="1"/>
  <c r="E644" i="2" l="1"/>
  <c r="G644" i="2"/>
  <c r="F644" i="2"/>
  <c r="C645" i="2"/>
  <c r="F645" i="2" s="1"/>
  <c r="G645" i="2" l="1"/>
  <c r="K645" i="2"/>
  <c r="E645" i="2"/>
  <c r="C646" i="2"/>
  <c r="K646" i="2" s="1"/>
  <c r="E646" i="2" l="1"/>
  <c r="F646" i="2"/>
  <c r="G646" i="2"/>
  <c r="C647" i="2"/>
  <c r="G647" i="2" s="1"/>
  <c r="K647" i="2" l="1"/>
  <c r="E647" i="2"/>
  <c r="F647" i="2"/>
  <c r="C648" i="2"/>
  <c r="K648" i="2" s="1"/>
  <c r="F648" i="2" l="1"/>
  <c r="E648" i="2"/>
  <c r="G648" i="2"/>
  <c r="C649" i="2"/>
  <c r="F649" i="2" l="1"/>
  <c r="G649" i="2"/>
  <c r="E649" i="2"/>
  <c r="K649" i="2"/>
  <c r="C650" i="2"/>
  <c r="K650" i="2" s="1"/>
  <c r="E650" i="2" l="1"/>
  <c r="F650" i="2"/>
  <c r="G650" i="2"/>
  <c r="C651" i="2"/>
  <c r="G651" i="2" s="1"/>
  <c r="E651" i="2" l="1"/>
  <c r="K651" i="2"/>
  <c r="F651" i="2"/>
  <c r="C652" i="2"/>
  <c r="K652" i="2" s="1"/>
  <c r="F652" i="2" l="1"/>
  <c r="E652" i="2"/>
  <c r="G652" i="2"/>
  <c r="C653" i="2"/>
  <c r="G653" i="2" s="1"/>
  <c r="K653" i="2" l="1"/>
  <c r="E653" i="2"/>
  <c r="F653" i="2"/>
  <c r="C654" i="2"/>
  <c r="G654" i="2" l="1"/>
  <c r="K654" i="2"/>
  <c r="F654" i="2"/>
  <c r="E654" i="2"/>
  <c r="C655" i="2"/>
  <c r="E655" i="2" l="1"/>
  <c r="G655" i="2"/>
  <c r="F655" i="2"/>
  <c r="K655" i="2"/>
  <c r="C656" i="2"/>
  <c r="F656" i="2" l="1"/>
  <c r="K656" i="2"/>
  <c r="E656" i="2"/>
  <c r="G656" i="2"/>
  <c r="C657" i="2"/>
  <c r="E657" i="2" l="1"/>
  <c r="F657" i="2"/>
  <c r="G657" i="2"/>
  <c r="K657" i="2"/>
  <c r="C658" i="2"/>
  <c r="F658" i="2" l="1"/>
  <c r="K658" i="2"/>
  <c r="G658" i="2"/>
  <c r="E658" i="2"/>
  <c r="C659" i="2"/>
  <c r="E659" i="2" l="1"/>
  <c r="F659" i="2"/>
  <c r="G659" i="2"/>
  <c r="K659" i="2"/>
  <c r="C660" i="2"/>
  <c r="F660" i="2" l="1"/>
  <c r="G660" i="2"/>
  <c r="K660" i="2"/>
  <c r="E660" i="2"/>
  <c r="C661" i="2"/>
  <c r="K661" i="2" l="1"/>
  <c r="G661" i="2"/>
  <c r="E661" i="2"/>
  <c r="F661" i="2"/>
  <c r="E662" i="2" l="1"/>
  <c r="K662" i="2"/>
  <c r="G662" i="2"/>
  <c r="F662" i="2"/>
  <c r="C663" i="2"/>
  <c r="G663" i="2" l="1"/>
  <c r="K663" i="2"/>
  <c r="F663" i="2"/>
  <c r="E663" i="2"/>
  <c r="C664" i="2"/>
  <c r="K664" i="2" s="1"/>
  <c r="E664" i="2" l="1"/>
  <c r="F664" i="2"/>
  <c r="G664" i="2"/>
  <c r="C665" i="2"/>
  <c r="G665" i="2" s="1"/>
  <c r="K665" i="2" l="1"/>
  <c r="E665" i="2"/>
  <c r="F665" i="2"/>
  <c r="C666" i="2"/>
  <c r="K666" i="2" s="1"/>
  <c r="E666" i="2" l="1"/>
  <c r="G666" i="2"/>
  <c r="F666" i="2"/>
  <c r="C667" i="2"/>
  <c r="F667" i="2" s="1"/>
  <c r="K667" i="2" l="1"/>
  <c r="G667" i="2"/>
  <c r="E667" i="2"/>
  <c r="C668" i="2"/>
  <c r="K668" i="2" l="1"/>
  <c r="E668" i="2"/>
  <c r="F668" i="2"/>
  <c r="G668" i="2"/>
  <c r="C669" i="2"/>
  <c r="K669" i="2" s="1"/>
  <c r="E669" i="2" l="1"/>
  <c r="F669" i="2"/>
  <c r="G669" i="2"/>
  <c r="C670" i="2"/>
  <c r="F670" i="2" s="1"/>
  <c r="E670" i="2" l="1"/>
  <c r="K670" i="2"/>
  <c r="G670" i="2"/>
  <c r="C671" i="2"/>
  <c r="G671" i="2" s="1"/>
  <c r="E671" i="2" l="1"/>
  <c r="K671" i="2"/>
  <c r="F671" i="2"/>
  <c r="C672" i="2"/>
  <c r="E672" i="2" s="1"/>
  <c r="G672" i="2" l="1"/>
  <c r="F672" i="2"/>
  <c r="K672" i="2"/>
  <c r="C673" i="2" l="1"/>
  <c r="K673" i="2" s="1"/>
  <c r="E673" i="2" l="1"/>
  <c r="F673" i="2"/>
  <c r="G673" i="2"/>
  <c r="C674" i="2"/>
  <c r="E674" i="2" l="1"/>
  <c r="F674" i="2"/>
  <c r="K674" i="2"/>
  <c r="G674" i="2"/>
  <c r="C675" i="2"/>
  <c r="E675" i="2" l="1"/>
  <c r="F675" i="2"/>
  <c r="G675" i="2"/>
  <c r="K675" i="2"/>
  <c r="C676" i="2"/>
  <c r="G676" i="2" s="1"/>
  <c r="E676" i="2" l="1"/>
  <c r="F676" i="2"/>
  <c r="K676" i="2"/>
  <c r="C677" i="2"/>
  <c r="K677" i="2" s="1"/>
  <c r="E677" i="2" l="1"/>
  <c r="F677" i="2"/>
  <c r="G677" i="2"/>
  <c r="C678" i="2"/>
  <c r="K678" i="2" l="1"/>
  <c r="E678" i="2"/>
  <c r="F678" i="2"/>
  <c r="G678" i="2"/>
  <c r="C679" i="2"/>
  <c r="E679" i="2" l="1"/>
  <c r="F679" i="2"/>
  <c r="G679" i="2"/>
  <c r="K679" i="2"/>
  <c r="C680" i="2"/>
  <c r="F680" i="2" l="1"/>
  <c r="G680" i="2"/>
  <c r="K680" i="2"/>
  <c r="E680" i="2"/>
  <c r="C681" i="2"/>
  <c r="F681" i="2" l="1"/>
  <c r="K681" i="2"/>
  <c r="G681" i="2"/>
  <c r="E681" i="2"/>
  <c r="C682" i="2"/>
  <c r="E682" i="2" l="1"/>
  <c r="G682" i="2"/>
  <c r="K682" i="2"/>
  <c r="F682" i="2"/>
  <c r="C683" i="2"/>
  <c r="G683" i="2" l="1"/>
  <c r="K683" i="2"/>
  <c r="E683" i="2"/>
  <c r="F683" i="2"/>
  <c r="C684" i="2"/>
  <c r="G684" i="2" l="1"/>
  <c r="F684" i="2"/>
  <c r="K684" i="2"/>
  <c r="E684" i="2"/>
  <c r="C685" i="2"/>
  <c r="E685" i="2" l="1"/>
  <c r="G685" i="2"/>
  <c r="K685" i="2"/>
  <c r="F685" i="2"/>
  <c r="C686" i="2"/>
  <c r="K686" i="2" l="1"/>
  <c r="F686" i="2"/>
  <c r="G686" i="2"/>
  <c r="E686" i="2"/>
  <c r="C687" i="2"/>
  <c r="G687" i="2" s="1"/>
  <c r="K687" i="2" l="1"/>
  <c r="E687" i="2"/>
  <c r="F687" i="2"/>
  <c r="C688" i="2"/>
  <c r="G688" i="2" l="1"/>
  <c r="K688" i="2"/>
  <c r="E688" i="2"/>
  <c r="F688" i="2"/>
  <c r="C689" i="2"/>
  <c r="E689" i="2" l="1"/>
  <c r="K689" i="2"/>
  <c r="F689" i="2"/>
  <c r="G689" i="2"/>
  <c r="C690" i="2"/>
  <c r="F690" i="2" l="1"/>
  <c r="G690" i="2"/>
  <c r="K690" i="2"/>
  <c r="E690" i="2"/>
  <c r="C691" i="2"/>
  <c r="F691" i="2" l="1"/>
  <c r="K691" i="2"/>
  <c r="E691" i="2"/>
  <c r="G691" i="2"/>
  <c r="C692" i="2"/>
  <c r="E692" i="2" l="1"/>
  <c r="G692" i="2"/>
  <c r="F692" i="2"/>
  <c r="K692" i="2"/>
  <c r="C693" i="2"/>
  <c r="E693" i="2" l="1"/>
  <c r="F693" i="2"/>
  <c r="G693" i="2"/>
  <c r="K693" i="2"/>
  <c r="C694" i="2"/>
  <c r="E694" i="2" l="1"/>
  <c r="K694" i="2"/>
  <c r="G694" i="2"/>
  <c r="F694" i="2"/>
  <c r="C695" i="2"/>
  <c r="F695" i="2" l="1"/>
  <c r="K695" i="2"/>
  <c r="G695" i="2"/>
  <c r="E695" i="2"/>
  <c r="C696" i="2"/>
  <c r="K696" i="2" s="1"/>
  <c r="E696" i="2" l="1"/>
  <c r="F696" i="2"/>
  <c r="G696" i="2"/>
  <c r="C697" i="2"/>
  <c r="K697" i="2" l="1"/>
  <c r="F697" i="2"/>
  <c r="E697" i="2"/>
  <c r="G697" i="2"/>
  <c r="C698" i="2"/>
  <c r="K698" i="2" l="1"/>
  <c r="F698" i="2"/>
  <c r="E698" i="2"/>
  <c r="G698" i="2"/>
  <c r="C699" i="2" l="1"/>
  <c r="G699" i="2" s="1"/>
  <c r="K699" i="2" l="1"/>
  <c r="E699" i="2"/>
  <c r="F699" i="2"/>
  <c r="C700" i="2"/>
  <c r="F700" i="2" l="1"/>
  <c r="G700" i="2"/>
  <c r="K700" i="2"/>
  <c r="E700" i="2"/>
  <c r="C701" i="2"/>
  <c r="E701" i="2" l="1"/>
  <c r="F701" i="2"/>
  <c r="K701" i="2"/>
  <c r="G701" i="2"/>
  <c r="C702" i="2"/>
  <c r="F702" i="2" l="1"/>
  <c r="E702" i="2"/>
  <c r="G702" i="2"/>
  <c r="K702" i="2"/>
  <c r="C703" i="2"/>
  <c r="G703" i="2" l="1"/>
  <c r="F703" i="2"/>
  <c r="K703" i="2"/>
  <c r="E703" i="2"/>
  <c r="C704" i="2"/>
  <c r="F704" i="2" l="1"/>
  <c r="K704" i="2"/>
  <c r="G704" i="2"/>
  <c r="E704" i="2"/>
  <c r="C705" i="2"/>
  <c r="E705" i="2" l="1"/>
  <c r="F705" i="2"/>
  <c r="G705" i="2"/>
  <c r="K705" i="2"/>
  <c r="C706" i="2"/>
  <c r="F706" i="2" l="1"/>
  <c r="K706" i="2"/>
  <c r="E706" i="2"/>
  <c r="G706" i="2"/>
  <c r="C707" i="2"/>
  <c r="F707" i="2" l="1"/>
  <c r="G707" i="2"/>
  <c r="E707" i="2"/>
  <c r="K707" i="2"/>
  <c r="C708" i="2"/>
  <c r="E708" i="2" s="1"/>
  <c r="F708" i="2" l="1"/>
  <c r="G708" i="2"/>
  <c r="K708" i="2"/>
  <c r="C709" i="2"/>
  <c r="G709" i="2" l="1"/>
  <c r="K709" i="2"/>
  <c r="E709" i="2"/>
  <c r="F709" i="2"/>
  <c r="C710" i="2"/>
  <c r="E710" i="2" s="1"/>
  <c r="K710" i="2" l="1"/>
  <c r="F710" i="2"/>
  <c r="G710" i="2"/>
  <c r="C711" i="2"/>
  <c r="K711" i="2" l="1"/>
  <c r="G711" i="2"/>
  <c r="F711" i="2"/>
  <c r="E711" i="2"/>
  <c r="C712" i="2"/>
  <c r="G712" i="2" l="1"/>
  <c r="E712" i="2"/>
  <c r="K712" i="2"/>
  <c r="F712" i="2"/>
  <c r="C713" i="2"/>
  <c r="E713" i="2" l="1"/>
  <c r="G713" i="2"/>
  <c r="F713" i="2"/>
  <c r="K713" i="2"/>
  <c r="C714" i="2"/>
  <c r="F714" i="2" l="1"/>
  <c r="K714" i="2"/>
  <c r="G714" i="2"/>
  <c r="E714" i="2"/>
  <c r="C715" i="2"/>
  <c r="E715" i="2" l="1"/>
  <c r="K715" i="2"/>
  <c r="F715" i="2"/>
  <c r="G715" i="2"/>
  <c r="C716" i="2"/>
  <c r="K716" i="2" l="1"/>
  <c r="G716" i="2"/>
  <c r="F716" i="2"/>
  <c r="E716" i="2"/>
  <c r="C717" i="2"/>
  <c r="G717" i="2" l="1"/>
  <c r="E717" i="2"/>
  <c r="K717" i="2"/>
  <c r="F717" i="2"/>
  <c r="C718" i="2"/>
  <c r="F718" i="2" s="1"/>
  <c r="K718" i="2" l="1"/>
  <c r="E718" i="2"/>
  <c r="G718" i="2"/>
  <c r="C719" i="2"/>
  <c r="G719" i="2" l="1"/>
  <c r="F719" i="2"/>
  <c r="E719" i="2"/>
  <c r="K719" i="2"/>
  <c r="C720" i="2"/>
  <c r="F720" i="2" s="1"/>
  <c r="E720" i="2" l="1"/>
  <c r="K720" i="2"/>
  <c r="G720" i="2"/>
  <c r="C721" i="2"/>
  <c r="K721" i="2" l="1"/>
  <c r="F721" i="2"/>
  <c r="E721" i="2"/>
  <c r="G721" i="2"/>
  <c r="C722" i="2"/>
  <c r="K722" i="2" l="1"/>
  <c r="F722" i="2"/>
  <c r="E722" i="2"/>
  <c r="G722" i="2"/>
  <c r="C723" i="2"/>
  <c r="K723" i="2" l="1"/>
  <c r="F723" i="2"/>
  <c r="G723" i="2"/>
  <c r="E723" i="2"/>
  <c r="C724" i="2"/>
  <c r="G724" i="2" l="1"/>
  <c r="K724" i="2"/>
  <c r="F724" i="2"/>
  <c r="E724" i="2"/>
  <c r="C725" i="2"/>
  <c r="K725" i="2" l="1"/>
  <c r="E725" i="2"/>
  <c r="G725" i="2"/>
  <c r="F725" i="2"/>
  <c r="C726" i="2"/>
  <c r="E726" i="2" l="1"/>
  <c r="F726" i="2"/>
  <c r="G726" i="2"/>
  <c r="K726" i="2"/>
  <c r="C727" i="2"/>
  <c r="E727" i="2" l="1"/>
  <c r="F727" i="2"/>
  <c r="G727" i="2"/>
  <c r="K727" i="2"/>
  <c r="C728" i="2"/>
  <c r="F728" i="2" l="1"/>
  <c r="K728" i="2"/>
  <c r="G728" i="2"/>
  <c r="E728" i="2"/>
  <c r="C729" i="2"/>
  <c r="K729" i="2" l="1"/>
  <c r="E729" i="2"/>
  <c r="F729" i="2"/>
  <c r="G729" i="2"/>
  <c r="C730" i="2"/>
  <c r="E730" i="2" l="1"/>
  <c r="G730" i="2"/>
  <c r="K730" i="2"/>
  <c r="F730" i="2"/>
  <c r="C731" i="2"/>
  <c r="G731" i="2" s="1"/>
  <c r="F731" i="2" l="1"/>
  <c r="K731" i="2"/>
  <c r="E731" i="2"/>
  <c r="C732" i="2"/>
  <c r="E732" i="2" s="1"/>
  <c r="F732" i="2" l="1"/>
  <c r="G732" i="2"/>
  <c r="K732" i="2"/>
  <c r="C733" i="2"/>
  <c r="F733" i="2" l="1"/>
  <c r="G733" i="2"/>
  <c r="K733" i="2"/>
  <c r="E733" i="2"/>
  <c r="C734" i="2"/>
  <c r="E734" i="2" l="1"/>
  <c r="F734" i="2"/>
  <c r="G734" i="2"/>
  <c r="K734" i="2"/>
  <c r="C735" i="2"/>
  <c r="G735" i="2" l="1"/>
  <c r="E735" i="2"/>
  <c r="F735" i="2"/>
  <c r="K735" i="2"/>
  <c r="C736" i="2"/>
  <c r="F736" i="2" s="1"/>
  <c r="K736" i="2" l="1"/>
  <c r="G736" i="2"/>
  <c r="E736" i="2"/>
  <c r="C737" i="2"/>
  <c r="E737" i="2" l="1"/>
  <c r="G737" i="2"/>
  <c r="K737" i="2"/>
  <c r="F737" i="2"/>
  <c r="C738" i="2"/>
  <c r="F738" i="2" l="1"/>
  <c r="G738" i="2"/>
  <c r="K738" i="2"/>
  <c r="E738" i="2"/>
  <c r="C739" i="2"/>
  <c r="E739" i="2" l="1"/>
  <c r="G739" i="2"/>
  <c r="F739" i="2"/>
  <c r="K739" i="2"/>
  <c r="C740" i="2"/>
  <c r="G740" i="2" l="1"/>
  <c r="E740" i="2"/>
  <c r="F740" i="2"/>
  <c r="K740" i="2"/>
  <c r="C741" i="2"/>
  <c r="F741" i="2" l="1"/>
  <c r="G741" i="2"/>
  <c r="K741" i="2"/>
  <c r="E741" i="2"/>
  <c r="C742" i="2"/>
  <c r="G742" i="2" l="1"/>
  <c r="E742" i="2"/>
  <c r="K742" i="2"/>
  <c r="F742" i="2"/>
  <c r="C743" i="2"/>
  <c r="K743" i="2" l="1"/>
  <c r="F743" i="2"/>
  <c r="E743" i="2"/>
  <c r="G743" i="2"/>
  <c r="C744" i="2"/>
  <c r="K744" i="2" l="1"/>
  <c r="G744" i="2"/>
  <c r="F744" i="2"/>
  <c r="E744" i="2"/>
  <c r="C745" i="2"/>
  <c r="E745" i="2" l="1"/>
  <c r="G745" i="2"/>
  <c r="K745" i="2"/>
  <c r="F745" i="2"/>
  <c r="C746" i="2"/>
  <c r="K746" i="2" l="1"/>
  <c r="G746" i="2"/>
  <c r="E746" i="2"/>
  <c r="F746" i="2"/>
  <c r="C747" i="2"/>
  <c r="K747" i="2" l="1"/>
  <c r="F747" i="2"/>
  <c r="G747" i="2"/>
  <c r="E747" i="2"/>
  <c r="C748" i="2"/>
  <c r="K748" i="2" s="1"/>
  <c r="E748" i="2" l="1"/>
  <c r="F748" i="2"/>
  <c r="G748" i="2"/>
  <c r="C749" i="2"/>
  <c r="G749" i="2" l="1"/>
  <c r="K749" i="2"/>
  <c r="E749" i="2"/>
  <c r="F749" i="2"/>
  <c r="C750" i="2"/>
  <c r="F750" i="2" l="1"/>
  <c r="G750" i="2"/>
  <c r="K750" i="2"/>
  <c r="E750" i="2"/>
  <c r="C751" i="2"/>
  <c r="K751" i="2" l="1"/>
  <c r="E751" i="2"/>
  <c r="F751" i="2"/>
  <c r="G751" i="2"/>
  <c r="C752" i="2"/>
  <c r="E752" i="2" l="1"/>
  <c r="F752" i="2"/>
  <c r="G752" i="2"/>
  <c r="K752" i="2"/>
  <c r="C753" i="2"/>
  <c r="G753" i="2" l="1"/>
  <c r="F753" i="2"/>
  <c r="E753" i="2"/>
  <c r="K753" i="2"/>
  <c r="C754" i="2"/>
  <c r="E754" i="2" l="1"/>
  <c r="G754" i="2"/>
  <c r="F754" i="2"/>
  <c r="K754" i="2"/>
  <c r="C755" i="2"/>
  <c r="G755" i="2" l="1"/>
  <c r="F755" i="2"/>
  <c r="K755" i="2"/>
  <c r="E755" i="2"/>
  <c r="C756" i="2"/>
  <c r="E756" i="2" s="1"/>
  <c r="F756" i="2" l="1"/>
  <c r="K756" i="2"/>
  <c r="G756" i="2"/>
  <c r="C757" i="2"/>
  <c r="G757" i="2" l="1"/>
  <c r="K757" i="2"/>
  <c r="E757" i="2"/>
  <c r="F757" i="2"/>
  <c r="C758" i="2"/>
  <c r="K758" i="2" l="1"/>
  <c r="E758" i="2"/>
  <c r="G758" i="2"/>
  <c r="F758" i="2"/>
  <c r="C759" i="2"/>
  <c r="F759" i="2" l="1"/>
  <c r="K759" i="2"/>
  <c r="E759" i="2"/>
  <c r="G759" i="2"/>
  <c r="C760" i="2"/>
  <c r="E760" i="2" l="1"/>
  <c r="F760" i="2"/>
  <c r="G760" i="2"/>
  <c r="K760" i="2"/>
  <c r="C761" i="2"/>
  <c r="E761" i="2" s="1"/>
  <c r="K761" i="2" l="1"/>
  <c r="G761" i="2"/>
  <c r="F761" i="2"/>
  <c r="C762" i="2"/>
  <c r="K762" i="2" s="1"/>
  <c r="E762" i="2" l="1"/>
  <c r="F762" i="2"/>
  <c r="G762" i="2"/>
  <c r="C763" i="2"/>
  <c r="K763" i="2" l="1"/>
  <c r="G763" i="2"/>
  <c r="E763" i="2"/>
  <c r="F763" i="2"/>
  <c r="C764" i="2"/>
  <c r="K764" i="2" l="1"/>
  <c r="E764" i="2"/>
  <c r="G764" i="2"/>
  <c r="F764" i="2"/>
  <c r="C765" i="2"/>
  <c r="E765" i="2" l="1"/>
  <c r="G765" i="2"/>
  <c r="F765" i="2"/>
  <c r="K765" i="2"/>
  <c r="C766" i="2"/>
  <c r="F766" i="2" l="1"/>
  <c r="K766" i="2"/>
  <c r="E766" i="2"/>
  <c r="G766" i="2"/>
  <c r="C767" i="2"/>
  <c r="G767" i="2" l="1"/>
  <c r="F767" i="2"/>
  <c r="K767" i="2"/>
  <c r="E767" i="2"/>
  <c r="C768" i="2"/>
  <c r="F768" i="2" l="1"/>
  <c r="E768" i="2"/>
  <c r="G768" i="2"/>
  <c r="K768" i="2"/>
  <c r="C769" i="2"/>
  <c r="K769" i="2" l="1"/>
  <c r="F769" i="2"/>
  <c r="G769" i="2"/>
  <c r="E769" i="2"/>
  <c r="C770" i="2"/>
  <c r="E770" i="2" l="1"/>
  <c r="K770" i="2"/>
  <c r="F770" i="2"/>
  <c r="G770" i="2"/>
  <c r="C771" i="2"/>
  <c r="G771" i="2" l="1"/>
  <c r="F771" i="2"/>
  <c r="K771" i="2"/>
  <c r="E771" i="2"/>
  <c r="C772" i="2"/>
  <c r="E772" i="2" l="1"/>
  <c r="F772" i="2"/>
  <c r="G772" i="2"/>
  <c r="K772" i="2"/>
  <c r="C773" i="2"/>
  <c r="G773" i="2" l="1"/>
  <c r="E773" i="2"/>
  <c r="F773" i="2"/>
  <c r="K773" i="2"/>
  <c r="C774" i="2"/>
  <c r="E774" i="2" l="1"/>
  <c r="G774" i="2"/>
  <c r="K774" i="2"/>
  <c r="F774" i="2"/>
  <c r="C775" i="2" l="1"/>
  <c r="G775" i="2" s="1"/>
  <c r="K775" i="2" l="1"/>
  <c r="F775" i="2"/>
  <c r="E775" i="2"/>
  <c r="C776" i="2"/>
  <c r="E776" i="2" l="1"/>
  <c r="F776" i="2"/>
  <c r="K776" i="2"/>
  <c r="G776" i="2"/>
  <c r="C777" i="2"/>
  <c r="G777" i="2" l="1"/>
  <c r="K777" i="2"/>
  <c r="E777" i="2"/>
  <c r="F777" i="2"/>
  <c r="C778" i="2"/>
  <c r="F778" i="2" l="1"/>
  <c r="E778" i="2"/>
  <c r="G778" i="2"/>
  <c r="K778" i="2"/>
  <c r="C779" i="2"/>
  <c r="E779" i="2" l="1"/>
  <c r="G779" i="2"/>
  <c r="F779" i="2"/>
  <c r="K779" i="2"/>
  <c r="C780" i="2"/>
  <c r="E780" i="2" l="1"/>
  <c r="K780" i="2"/>
  <c r="F780" i="2"/>
  <c r="G780" i="2"/>
  <c r="C781" i="2"/>
  <c r="K781" i="2" l="1"/>
  <c r="F781" i="2"/>
  <c r="G781" i="2"/>
  <c r="E781" i="2"/>
  <c r="C782" i="2"/>
  <c r="F782" i="2" l="1"/>
  <c r="K782" i="2"/>
  <c r="G782" i="2"/>
  <c r="E782" i="2"/>
  <c r="C783" i="2"/>
  <c r="K783" i="2" l="1"/>
  <c r="G783" i="2"/>
  <c r="F783" i="2"/>
  <c r="E783" i="2"/>
  <c r="C784" i="2"/>
  <c r="E784" i="2" s="1"/>
  <c r="K784" i="2" l="1"/>
  <c r="F784" i="2"/>
  <c r="G784" i="2"/>
  <c r="C785" i="2"/>
  <c r="G785" i="2" s="1"/>
  <c r="F785" i="2" l="1"/>
  <c r="K785" i="2"/>
  <c r="E785" i="2"/>
  <c r="C786" i="2" l="1"/>
  <c r="K786" i="2" l="1"/>
  <c r="G786" i="2"/>
  <c r="E786" i="2"/>
  <c r="F786" i="2"/>
  <c r="C787" i="2"/>
  <c r="K787" i="2" l="1"/>
  <c r="G787" i="2"/>
  <c r="F787" i="2"/>
  <c r="E787" i="2"/>
  <c r="C788" i="2"/>
  <c r="F788" i="2" s="1"/>
  <c r="G788" i="2" l="1"/>
  <c r="K788" i="2"/>
  <c r="E788" i="2"/>
  <c r="C789" i="2"/>
  <c r="G789" i="2" s="1"/>
  <c r="K789" i="2" l="1"/>
  <c r="E789" i="2"/>
  <c r="F789" i="2"/>
  <c r="C790" i="2"/>
  <c r="K790" i="2" l="1"/>
  <c r="F790" i="2"/>
  <c r="G790" i="2"/>
  <c r="E790" i="2"/>
  <c r="C791" i="2"/>
  <c r="E791" i="2" l="1"/>
  <c r="K791" i="2"/>
  <c r="F791" i="2"/>
  <c r="G791" i="2"/>
  <c r="C792" i="2"/>
  <c r="E792" i="2" l="1"/>
  <c r="K792" i="2"/>
  <c r="F792" i="2"/>
  <c r="G792" i="2"/>
  <c r="C793" i="2"/>
  <c r="F793" i="2" s="1"/>
  <c r="E793" i="2" l="1"/>
  <c r="G793" i="2"/>
  <c r="K793" i="2"/>
  <c r="C794" i="2"/>
  <c r="K794" i="2" l="1"/>
  <c r="G794" i="2"/>
  <c r="E794" i="2"/>
  <c r="F794" i="2"/>
  <c r="C795" i="2"/>
  <c r="E795" i="2" l="1"/>
  <c r="G795" i="2"/>
  <c r="K795" i="2"/>
  <c r="F795" i="2"/>
  <c r="C796" i="2"/>
  <c r="K796" i="2" l="1"/>
  <c r="F796" i="2"/>
  <c r="E796" i="2"/>
  <c r="G796" i="2"/>
  <c r="C797" i="2"/>
  <c r="E797" i="2" l="1"/>
  <c r="K797" i="2"/>
  <c r="G797" i="2"/>
  <c r="F797" i="2"/>
  <c r="C798" i="2"/>
  <c r="F798" i="2" l="1"/>
  <c r="K798" i="2"/>
  <c r="G798" i="2"/>
  <c r="E798" i="2"/>
  <c r="C799" i="2"/>
  <c r="K799" i="2" l="1"/>
  <c r="E799" i="2"/>
  <c r="G799" i="2"/>
  <c r="F799" i="2"/>
  <c r="C800" i="2"/>
  <c r="G800" i="2" l="1"/>
  <c r="E800" i="2"/>
  <c r="F800" i="2"/>
  <c r="K800" i="2"/>
  <c r="C801" i="2"/>
  <c r="K801" i="2" l="1"/>
  <c r="G801" i="2"/>
  <c r="E801" i="2"/>
  <c r="F801" i="2"/>
  <c r="C802" i="2"/>
  <c r="F802" i="2" l="1"/>
  <c r="E802" i="2"/>
  <c r="G802" i="2"/>
  <c r="K802" i="2"/>
  <c r="C803" i="2"/>
  <c r="E803" i="2" l="1"/>
  <c r="F803" i="2"/>
  <c r="G803" i="2"/>
  <c r="K803" i="2"/>
  <c r="C804" i="2"/>
  <c r="F804" i="2" l="1"/>
  <c r="G804" i="2"/>
  <c r="K804" i="2"/>
  <c r="E804" i="2"/>
  <c r="C805" i="2"/>
  <c r="K805" i="2" l="1"/>
  <c r="F805" i="2"/>
  <c r="G805" i="2"/>
  <c r="E805" i="2"/>
  <c r="C806" i="2"/>
  <c r="G806" i="2" l="1"/>
  <c r="K806" i="2"/>
  <c r="E806" i="2"/>
  <c r="F806" i="2"/>
  <c r="C807" i="2"/>
  <c r="K807" i="2" s="1"/>
  <c r="E807" i="2" l="1"/>
  <c r="G807" i="2"/>
  <c r="F807" i="2"/>
  <c r="C808" i="2"/>
  <c r="E808" i="2" s="1"/>
  <c r="F808" i="2" l="1"/>
  <c r="G808" i="2"/>
  <c r="K808" i="2"/>
  <c r="C809" i="2"/>
  <c r="E809" i="2" s="1"/>
  <c r="G809" i="2" l="1"/>
  <c r="K809" i="2"/>
  <c r="F809" i="2"/>
  <c r="C810" i="2"/>
  <c r="E810" i="2" l="1"/>
  <c r="G810" i="2"/>
  <c r="F810" i="2"/>
  <c r="K810" i="2"/>
  <c r="C811" i="2"/>
  <c r="F811" i="2" l="1"/>
  <c r="G811" i="2"/>
  <c r="K811" i="2"/>
  <c r="E811" i="2"/>
  <c r="C812" i="2"/>
  <c r="G812" i="2" l="1"/>
  <c r="E812" i="2"/>
  <c r="F812" i="2"/>
  <c r="K812" i="2"/>
  <c r="C813" i="2"/>
  <c r="F813" i="2" l="1"/>
  <c r="G813" i="2"/>
  <c r="K813" i="2"/>
  <c r="E813" i="2"/>
  <c r="C814" i="2"/>
  <c r="K814" i="2" l="1"/>
  <c r="G814" i="2"/>
  <c r="E814" i="2"/>
  <c r="F814" i="2"/>
  <c r="C815" i="2" l="1"/>
  <c r="G815" i="2" l="1"/>
  <c r="F815" i="2"/>
  <c r="K815" i="2"/>
  <c r="E815" i="2"/>
  <c r="C816" i="2"/>
  <c r="K816" i="2" l="1"/>
  <c r="E816" i="2"/>
  <c r="G816" i="2"/>
  <c r="F816" i="2"/>
  <c r="C817" i="2"/>
  <c r="G817" i="2" s="1"/>
  <c r="F817" i="2" l="1"/>
  <c r="K817" i="2"/>
  <c r="E817" i="2"/>
  <c r="C818" i="2"/>
  <c r="F818" i="2" l="1"/>
  <c r="G818" i="2"/>
  <c r="K818" i="2"/>
  <c r="E818" i="2"/>
  <c r="C819" i="2"/>
  <c r="E819" i="2" l="1"/>
  <c r="F819" i="2"/>
  <c r="K819" i="2"/>
  <c r="G819" i="2"/>
  <c r="C820" i="2"/>
  <c r="G820" i="2" l="1"/>
  <c r="F820" i="2"/>
  <c r="K820" i="2"/>
  <c r="E820" i="2"/>
  <c r="C821" i="2"/>
  <c r="K821" i="2" l="1"/>
  <c r="F821" i="2"/>
  <c r="G821" i="2"/>
  <c r="E821" i="2"/>
  <c r="C822" i="2"/>
  <c r="K822" i="2" l="1"/>
  <c r="E822" i="2"/>
  <c r="G822" i="2"/>
  <c r="F822" i="2"/>
  <c r="C823" i="2"/>
  <c r="F823" i="2" l="1"/>
  <c r="G823" i="2"/>
  <c r="E823" i="2"/>
  <c r="K823" i="2"/>
  <c r="C824" i="2"/>
  <c r="F824" i="2" l="1"/>
  <c r="G824" i="2"/>
  <c r="E824" i="2"/>
  <c r="K824" i="2"/>
  <c r="C825" i="2"/>
  <c r="E825" i="2" l="1"/>
  <c r="F825" i="2"/>
  <c r="G825" i="2"/>
  <c r="K825" i="2"/>
  <c r="C826" i="2"/>
  <c r="K826" i="2" l="1"/>
  <c r="G826" i="2"/>
  <c r="E826" i="2"/>
  <c r="F826" i="2"/>
  <c r="C827" i="2"/>
  <c r="E827" i="2" l="1"/>
  <c r="F827" i="2"/>
  <c r="K827" i="2"/>
  <c r="G827" i="2"/>
  <c r="C828" i="2"/>
  <c r="K828" i="2" s="1"/>
  <c r="E828" i="2" l="1"/>
  <c r="F828" i="2"/>
  <c r="G828" i="2"/>
  <c r="C829" i="2"/>
  <c r="K829" i="2" l="1"/>
  <c r="F829" i="2"/>
  <c r="G829" i="2"/>
  <c r="E829" i="2"/>
  <c r="C830" i="2"/>
  <c r="E830" i="2" l="1"/>
  <c r="F830" i="2"/>
  <c r="G830" i="2"/>
  <c r="K830" i="2"/>
  <c r="C831" i="2"/>
  <c r="K831" i="2" l="1"/>
  <c r="E831" i="2"/>
  <c r="F831" i="2"/>
  <c r="G831" i="2"/>
  <c r="C832" i="2"/>
  <c r="G832" i="2" l="1"/>
  <c r="E832" i="2"/>
  <c r="F832" i="2"/>
  <c r="K832" i="2"/>
  <c r="C833" i="2"/>
  <c r="E833" i="2" l="1"/>
  <c r="F833" i="2"/>
  <c r="G833" i="2"/>
  <c r="K833" i="2"/>
  <c r="C834" i="2" l="1"/>
  <c r="E834" i="2" l="1"/>
  <c r="K834" i="2"/>
  <c r="F834" i="2"/>
  <c r="G834" i="2"/>
  <c r="C835" i="2"/>
  <c r="E835" i="2" s="1"/>
  <c r="F835" i="2" l="1"/>
  <c r="G835" i="2"/>
  <c r="K835" i="2"/>
  <c r="C836" i="2"/>
  <c r="G836" i="2" l="1"/>
  <c r="F836" i="2"/>
  <c r="K836" i="2"/>
  <c r="E836" i="2"/>
  <c r="C837" i="2"/>
  <c r="G837" i="2" l="1"/>
  <c r="K837" i="2"/>
  <c r="E837" i="2"/>
  <c r="F837" i="2"/>
  <c r="C838" i="2"/>
  <c r="K838" i="2" l="1"/>
  <c r="E838" i="2"/>
  <c r="F838" i="2"/>
  <c r="G838" i="2"/>
  <c r="C839" i="2"/>
  <c r="E839" i="2" l="1"/>
  <c r="K839" i="2"/>
  <c r="F839" i="2"/>
  <c r="G839" i="2"/>
  <c r="C840" i="2"/>
  <c r="K840" i="2" l="1"/>
  <c r="F840" i="2"/>
  <c r="E840" i="2"/>
  <c r="G840" i="2"/>
  <c r="C841" i="2"/>
  <c r="E841" i="2" l="1"/>
  <c r="F841" i="2"/>
  <c r="G841" i="2"/>
  <c r="K841" i="2"/>
  <c r="C842" i="2"/>
  <c r="F842" i="2" l="1"/>
  <c r="G842" i="2"/>
  <c r="K842" i="2"/>
  <c r="E842" i="2"/>
  <c r="C843" i="2"/>
  <c r="E843" i="2" s="1"/>
  <c r="K843" i="2" l="1"/>
  <c r="F843" i="2"/>
  <c r="G843" i="2"/>
  <c r="C844" i="2"/>
  <c r="E844" i="2" l="1"/>
  <c r="G844" i="2"/>
  <c r="K844" i="2"/>
  <c r="F844" i="2"/>
  <c r="C845" i="2"/>
  <c r="E845" i="2" l="1"/>
  <c r="F845" i="2"/>
  <c r="K845" i="2"/>
  <c r="G845" i="2"/>
  <c r="C846" i="2"/>
  <c r="K846" i="2" l="1"/>
  <c r="E846" i="2"/>
  <c r="G846" i="2"/>
  <c r="F846" i="2"/>
  <c r="C847" i="2"/>
  <c r="K847" i="2" l="1"/>
  <c r="F847" i="2"/>
  <c r="G847" i="2"/>
  <c r="E847" i="2"/>
  <c r="C848" i="2"/>
  <c r="G848" i="2" l="1"/>
  <c r="K848" i="2"/>
  <c r="F848" i="2"/>
  <c r="E848" i="2"/>
  <c r="C849" i="2"/>
  <c r="F849" i="2" l="1"/>
  <c r="G849" i="2"/>
  <c r="E849" i="2"/>
  <c r="K849" i="2"/>
  <c r="C850" i="2"/>
  <c r="G850" i="2" l="1"/>
  <c r="E850" i="2"/>
  <c r="K850" i="2"/>
  <c r="F850" i="2"/>
  <c r="C851" i="2"/>
  <c r="K851" i="2" l="1"/>
  <c r="E851" i="2"/>
  <c r="F851" i="2"/>
  <c r="G851" i="2"/>
  <c r="C852" i="2"/>
  <c r="G852" i="2" s="1"/>
  <c r="K852" i="2" l="1"/>
  <c r="E852" i="2"/>
  <c r="F852" i="2"/>
  <c r="C853" i="2"/>
  <c r="E853" i="2" l="1"/>
  <c r="F853" i="2"/>
  <c r="G853" i="2"/>
  <c r="K853" i="2"/>
  <c r="C854" i="2"/>
  <c r="F854" i="2" s="1"/>
  <c r="G854" i="2" l="1"/>
  <c r="K854" i="2"/>
  <c r="E854" i="2"/>
  <c r="C855" i="2"/>
  <c r="F855" i="2" s="1"/>
  <c r="G855" i="2" l="1"/>
  <c r="E855" i="2"/>
  <c r="K855" i="2"/>
  <c r="C856" i="2"/>
  <c r="F856" i="2" s="1"/>
  <c r="K856" i="2" l="1"/>
  <c r="G856" i="2"/>
  <c r="E856" i="2"/>
  <c r="C857" i="2"/>
  <c r="K857" i="2" l="1"/>
  <c r="E857" i="2"/>
  <c r="G857" i="2"/>
  <c r="F857" i="2"/>
  <c r="C858" i="2"/>
  <c r="G858" i="2" l="1"/>
  <c r="E858" i="2"/>
  <c r="K858" i="2"/>
  <c r="F858" i="2"/>
  <c r="C859" i="2"/>
  <c r="K859" i="2" l="1"/>
  <c r="E859" i="2"/>
  <c r="F859" i="2"/>
  <c r="G859" i="2"/>
  <c r="C860" i="2"/>
  <c r="F860" i="2" l="1"/>
  <c r="G860" i="2"/>
  <c r="K860" i="2"/>
  <c r="E860" i="2"/>
  <c r="C862" i="2"/>
  <c r="K862" i="2" s="1"/>
  <c r="F862" i="2" l="1"/>
  <c r="E862" i="2"/>
  <c r="G862" i="2"/>
  <c r="C861" i="2"/>
  <c r="E861" i="2" l="1"/>
  <c r="K861" i="2"/>
  <c r="G861" i="2"/>
  <c r="F861" i="2"/>
  <c r="C863" i="2"/>
  <c r="G863" i="2" s="1"/>
  <c r="E863" i="2" l="1"/>
  <c r="K863" i="2"/>
  <c r="F863" i="2"/>
  <c r="C864" i="2"/>
  <c r="F864" i="2" l="1"/>
  <c r="K864" i="2"/>
  <c r="E864" i="2"/>
  <c r="G864" i="2"/>
  <c r="C865" i="2"/>
  <c r="K865" i="2" l="1"/>
  <c r="G865" i="2"/>
  <c r="E865" i="2"/>
  <c r="F865" i="2"/>
  <c r="C866" i="2"/>
  <c r="E866" i="2" l="1"/>
  <c r="F866" i="2"/>
  <c r="G866" i="2"/>
  <c r="K866" i="2"/>
  <c r="C867" i="2"/>
  <c r="G867" i="2" l="1"/>
  <c r="K867" i="2"/>
  <c r="E867" i="2"/>
  <c r="F867" i="2"/>
  <c r="C868" i="2"/>
  <c r="K868" i="2" l="1"/>
  <c r="G868" i="2"/>
  <c r="E868" i="2"/>
  <c r="F868" i="2"/>
  <c r="C869" i="2"/>
  <c r="E869" i="2" l="1"/>
  <c r="F869" i="2"/>
  <c r="G869" i="2"/>
  <c r="K869" i="2"/>
  <c r="C870" i="2"/>
  <c r="G870" i="2" l="1"/>
  <c r="K870" i="2"/>
  <c r="E870" i="2"/>
  <c r="F870" i="2"/>
  <c r="C871" i="2"/>
  <c r="G871" i="2" l="1"/>
  <c r="K871" i="2"/>
  <c r="F871" i="2"/>
  <c r="E871" i="2"/>
  <c r="C872" i="2"/>
  <c r="E872" i="2" s="1"/>
  <c r="G872" i="2" l="1"/>
  <c r="F872" i="2"/>
  <c r="K872" i="2"/>
  <c r="C873" i="2"/>
  <c r="G873" i="2" l="1"/>
  <c r="F873" i="2"/>
  <c r="E873" i="2"/>
  <c r="K873" i="2"/>
  <c r="C874" i="2"/>
  <c r="E874" i="2" l="1"/>
  <c r="G874" i="2"/>
  <c r="K874" i="2"/>
  <c r="F874" i="2"/>
  <c r="C875" i="2"/>
  <c r="E875" i="2" l="1"/>
  <c r="F875" i="2"/>
  <c r="G875" i="2"/>
  <c r="K875" i="2"/>
  <c r="C876" i="2"/>
  <c r="E876" i="2" l="1"/>
  <c r="F876" i="2"/>
  <c r="G876" i="2"/>
  <c r="K876" i="2"/>
  <c r="C877" i="2"/>
  <c r="K877" i="2" l="1"/>
  <c r="E877" i="2"/>
  <c r="F877" i="2"/>
  <c r="G877" i="2"/>
  <c r="C878" i="2"/>
  <c r="G878" i="2" l="1"/>
  <c r="K878" i="2"/>
  <c r="F878" i="2"/>
  <c r="E878" i="2"/>
  <c r="C879" i="2"/>
  <c r="E879" i="2" l="1"/>
  <c r="F879" i="2"/>
  <c r="K879" i="2"/>
  <c r="G879" i="2"/>
  <c r="C880" i="2"/>
  <c r="E880" i="2" l="1"/>
  <c r="G880" i="2"/>
  <c r="F880" i="2"/>
  <c r="K880" i="2"/>
  <c r="C881" i="2"/>
  <c r="F881" i="2" l="1"/>
  <c r="G881" i="2"/>
  <c r="K881" i="2"/>
  <c r="E881" i="2"/>
  <c r="C882" i="2"/>
  <c r="E882" i="2" l="1"/>
  <c r="F882" i="2"/>
  <c r="G882" i="2"/>
  <c r="K882" i="2"/>
  <c r="C883" i="2"/>
  <c r="K883" i="2" l="1"/>
  <c r="E883" i="2"/>
  <c r="F883" i="2"/>
  <c r="G883" i="2"/>
  <c r="C884" i="2"/>
  <c r="E884" i="2" l="1"/>
  <c r="F884" i="2"/>
  <c r="K884" i="2"/>
  <c r="G884" i="2"/>
  <c r="C885" i="2"/>
  <c r="K885" i="2" s="1"/>
  <c r="F885" i="2" l="1"/>
  <c r="G885" i="2"/>
  <c r="E885" i="2"/>
  <c r="C886" i="2" l="1"/>
  <c r="K886" i="2" s="1"/>
  <c r="F886" i="2" l="1"/>
  <c r="G886" i="2"/>
  <c r="E886" i="2"/>
  <c r="C887" i="2"/>
  <c r="F887" i="2" l="1"/>
  <c r="E887" i="2"/>
  <c r="G887" i="2"/>
  <c r="K887" i="2"/>
  <c r="C888" i="2"/>
  <c r="E888" i="2" l="1"/>
  <c r="F888" i="2"/>
  <c r="G888" i="2"/>
  <c r="K888" i="2"/>
  <c r="C889" i="2"/>
  <c r="F889" i="2" s="1"/>
  <c r="E889" i="2" l="1"/>
  <c r="G889" i="2"/>
  <c r="K889" i="2"/>
  <c r="C890" i="2"/>
  <c r="G890" i="2" l="1"/>
  <c r="E890" i="2"/>
  <c r="K890" i="2"/>
  <c r="F890" i="2"/>
  <c r="C891" i="2"/>
  <c r="E891" i="2" l="1"/>
  <c r="K891" i="2"/>
  <c r="G891" i="2"/>
  <c r="F891" i="2"/>
  <c r="C892" i="2"/>
  <c r="G892" i="2" s="1"/>
  <c r="E892" i="2" l="1"/>
  <c r="K892" i="2"/>
  <c r="F892" i="2"/>
  <c r="C893" i="2" l="1"/>
  <c r="E893" i="2" s="1"/>
  <c r="F893" i="2" l="1"/>
  <c r="K893" i="2"/>
  <c r="G893" i="2"/>
  <c r="C894" i="2"/>
  <c r="F894" i="2" l="1"/>
  <c r="G894" i="2"/>
  <c r="K894" i="2"/>
  <c r="E894" i="2"/>
  <c r="C895" i="2"/>
  <c r="F895" i="2" l="1"/>
  <c r="K895" i="2"/>
  <c r="G895" i="2"/>
  <c r="E895" i="2"/>
  <c r="K186" i="1"/>
  <c r="H186" i="1" s="1"/>
  <c r="K77" i="1"/>
  <c r="I77" i="1" s="1"/>
  <c r="K282" i="1"/>
  <c r="H872" i="2" s="1"/>
  <c r="K211" i="1"/>
  <c r="H423" i="2" s="1"/>
  <c r="K168" i="1"/>
  <c r="H168" i="1" s="1"/>
  <c r="K47" i="1"/>
  <c r="H47" i="2" s="1"/>
  <c r="K75" i="1"/>
  <c r="I75" i="1" s="1"/>
  <c r="K135" i="1"/>
  <c r="I135" i="1" s="1"/>
  <c r="K84" i="1"/>
  <c r="H84" i="1" s="1"/>
  <c r="K128" i="1"/>
  <c r="H128" i="2" s="1"/>
  <c r="K268" i="1"/>
  <c r="I268" i="1" s="1"/>
  <c r="K147" i="1"/>
  <c r="H147" i="1" s="1"/>
  <c r="K202" i="1"/>
  <c r="I202" i="1" s="1"/>
  <c r="K258" i="1"/>
  <c r="I258" i="1" s="1"/>
  <c r="K203" i="1"/>
  <c r="H367" i="2" s="1"/>
  <c r="K218" i="1"/>
  <c r="H442" i="2" s="1"/>
  <c r="K193" i="1"/>
  <c r="I193" i="1" s="1"/>
  <c r="K182" i="1"/>
  <c r="H182" i="1" s="1"/>
  <c r="K190" i="1"/>
  <c r="H190" i="1" s="1"/>
  <c r="K278" i="1"/>
  <c r="H828" i="2" s="1"/>
  <c r="K96" i="1"/>
  <c r="I96" i="1" s="1"/>
  <c r="K180" i="1"/>
  <c r="I180" i="1" s="1"/>
  <c r="K95" i="1"/>
  <c r="H95" i="1" s="1"/>
  <c r="K79" i="1"/>
  <c r="K171" i="1"/>
  <c r="I171" i="1" s="1"/>
  <c r="K228" i="1"/>
  <c r="H228" i="1" s="1"/>
  <c r="K29" i="1"/>
  <c r="H29" i="1" s="1"/>
  <c r="K177" i="1"/>
  <c r="H177" i="1" s="1"/>
  <c r="K140" i="1"/>
  <c r="H154" i="2" s="1"/>
  <c r="K223" i="1"/>
  <c r="H223" i="1" s="1"/>
  <c r="K104" i="1"/>
  <c r="H104" i="2" s="1"/>
  <c r="K280" i="1"/>
  <c r="I280" i="1" s="1"/>
  <c r="K267" i="1"/>
  <c r="I267" i="1" s="1"/>
  <c r="K179" i="1"/>
  <c r="H383" i="2" s="1"/>
  <c r="K221" i="1"/>
  <c r="I221" i="1" s="1"/>
  <c r="K54" i="1"/>
  <c r="K150" i="1"/>
  <c r="H408" i="2" s="1"/>
  <c r="K151" i="1"/>
  <c r="K201" i="1"/>
  <c r="I201" i="1" s="1"/>
  <c r="K56" i="1"/>
  <c r="K270" i="1"/>
  <c r="H695" i="2" s="1"/>
  <c r="K206" i="1"/>
  <c r="K114" i="1"/>
  <c r="H114" i="1" s="1"/>
  <c r="K130" i="1"/>
  <c r="K59" i="1"/>
  <c r="H59" i="2" s="1"/>
  <c r="K43" i="1"/>
  <c r="H43" i="1" s="1"/>
  <c r="K159" i="1"/>
  <c r="I159" i="1" s="1"/>
  <c r="K98" i="1"/>
  <c r="H98" i="2" s="1"/>
  <c r="K33" i="1"/>
  <c r="H34" i="2" s="1"/>
  <c r="K160" i="1"/>
  <c r="I160" i="1" s="1"/>
  <c r="K32" i="1"/>
  <c r="H33" i="2" s="1"/>
  <c r="K169" i="1"/>
  <c r="H323" i="2" s="1"/>
  <c r="K65" i="1"/>
  <c r="H65" i="2" s="1"/>
  <c r="K116" i="1"/>
  <c r="K35" i="1"/>
  <c r="I35" i="1" s="1"/>
  <c r="K31" i="1"/>
  <c r="H587" i="2" s="1"/>
  <c r="K131" i="1"/>
  <c r="H131" i="1" s="1"/>
  <c r="K233" i="1"/>
  <c r="I233" i="1" s="1"/>
  <c r="K45" i="1"/>
  <c r="H375" i="2" s="1"/>
  <c r="K58" i="1"/>
  <c r="K81" i="1"/>
  <c r="I81" i="1" s="1"/>
  <c r="K230" i="1"/>
  <c r="K74" i="1"/>
  <c r="H74" i="1" s="1"/>
  <c r="K100" i="1"/>
  <c r="K127" i="1"/>
  <c r="I127" i="1" s="1"/>
  <c r="K90" i="1"/>
  <c r="H90" i="1" s="1"/>
  <c r="K108" i="1"/>
  <c r="H108" i="1" s="1"/>
  <c r="K213" i="1"/>
  <c r="I213" i="1" s="1"/>
  <c r="K117" i="1"/>
  <c r="H117" i="1" s="1"/>
  <c r="K226" i="1"/>
  <c r="I226" i="1" s="1"/>
  <c r="K244" i="1"/>
  <c r="K195" i="1"/>
  <c r="I195" i="1" s="1"/>
  <c r="K178" i="1"/>
  <c r="K257" i="1"/>
  <c r="I257" i="1" s="1"/>
  <c r="K290" i="1"/>
  <c r="H290" i="1" s="1"/>
  <c r="K64" i="1"/>
  <c r="K137" i="1"/>
  <c r="H144" i="2" s="1"/>
  <c r="K149" i="1"/>
  <c r="H407" i="2" s="1"/>
  <c r="K10" i="1"/>
  <c r="H10" i="1" s="1"/>
  <c r="K170" i="1"/>
  <c r="I170" i="1" s="1"/>
  <c r="K101" i="1"/>
  <c r="H314" i="2" s="1"/>
  <c r="K16" i="1"/>
  <c r="H271" i="2" s="1"/>
  <c r="K61" i="1"/>
  <c r="H61" i="2" s="1"/>
  <c r="K281" i="1"/>
  <c r="H866" i="2" s="1"/>
  <c r="K288" i="1"/>
  <c r="I288" i="1" s="1"/>
  <c r="K122" i="1"/>
  <c r="H122" i="2" s="1"/>
  <c r="K291" i="1"/>
  <c r="I291" i="1" s="1"/>
  <c r="K87" i="1"/>
  <c r="H87" i="2" s="1"/>
  <c r="K261" i="1"/>
  <c r="I261" i="1" s="1"/>
  <c r="K72" i="1"/>
  <c r="I72" i="1" s="1"/>
  <c r="K156" i="1"/>
  <c r="H295" i="2" s="1"/>
  <c r="K260" i="1"/>
  <c r="K263" i="1"/>
  <c r="K266" i="1"/>
  <c r="I266" i="1" s="1"/>
  <c r="K272" i="1"/>
  <c r="I272" i="1" s="1"/>
  <c r="K192" i="1"/>
  <c r="I192" i="1" s="1"/>
  <c r="K94" i="1"/>
  <c r="K204" i="1"/>
  <c r="I204" i="1" s="1"/>
  <c r="K279" i="1"/>
  <c r="H279" i="1" s="1"/>
  <c r="K259" i="1"/>
  <c r="H683" i="2" s="1"/>
  <c r="K265" i="1"/>
  <c r="H265" i="1" s="1"/>
  <c r="K277" i="1"/>
  <c r="K187" i="1"/>
  <c r="K69" i="1"/>
  <c r="I69" i="1" s="1"/>
  <c r="K53" i="1"/>
  <c r="I53" i="1" s="1"/>
  <c r="K153" i="1"/>
  <c r="H153" i="1" s="1"/>
  <c r="K68" i="1"/>
  <c r="H68" i="2" s="1"/>
  <c r="K214" i="1"/>
  <c r="H428" i="2" s="1"/>
  <c r="K163" i="1"/>
  <c r="H302" i="2" s="1"/>
  <c r="K66" i="1"/>
  <c r="K30" i="1"/>
  <c r="H31" i="2" s="1"/>
  <c r="K51" i="1"/>
  <c r="K70" i="1"/>
  <c r="H70" i="1" s="1"/>
  <c r="K285" i="1"/>
  <c r="I285" i="1" s="1"/>
  <c r="K26" i="1"/>
  <c r="I26" i="1" s="1"/>
  <c r="K97" i="1"/>
  <c r="H97" i="1" s="1"/>
  <c r="K146" i="1"/>
  <c r="H404" i="2" s="1"/>
  <c r="K99" i="1"/>
  <c r="H99" i="2" s="1"/>
  <c r="K158" i="1"/>
  <c r="I158" i="1" s="1"/>
  <c r="K271" i="1"/>
  <c r="I271" i="1" s="1"/>
  <c r="K144" i="1"/>
  <c r="H310" i="2" s="1"/>
  <c r="K105" i="1"/>
  <c r="I105" i="1" s="1"/>
  <c r="K253" i="1"/>
  <c r="H659" i="2" s="1"/>
  <c r="K85" i="1"/>
  <c r="I85" i="1" s="1"/>
  <c r="K229" i="1"/>
  <c r="H229" i="1" s="1"/>
  <c r="K17" i="1"/>
  <c r="H159" i="2" s="1"/>
  <c r="K225" i="1"/>
  <c r="H225" i="1" s="1"/>
  <c r="K212" i="1"/>
  <c r="H425" i="2" s="1"/>
  <c r="K189" i="1"/>
  <c r="H189" i="1" s="1"/>
  <c r="K289" i="1"/>
  <c r="H879" i="2" s="1"/>
  <c r="K67" i="1"/>
  <c r="H67" i="1" s="1"/>
  <c r="K273" i="1"/>
  <c r="H832" i="2" s="1"/>
  <c r="K88" i="1"/>
  <c r="H88" i="2" s="1"/>
  <c r="K48" i="1"/>
  <c r="H361" i="2" s="1"/>
  <c r="K22" i="1"/>
  <c r="H22" i="2" s="1"/>
  <c r="K210" i="1"/>
  <c r="H456" i="2" s="1"/>
  <c r="K25" i="1"/>
  <c r="H257" i="2" s="1"/>
  <c r="K102" i="1"/>
  <c r="H102" i="2" s="1"/>
  <c r="K18" i="1"/>
  <c r="H264" i="2" s="1"/>
  <c r="K134" i="1"/>
  <c r="H139" i="2" s="1"/>
  <c r="K188" i="1"/>
  <c r="H188" i="1" s="1"/>
  <c r="K141" i="1"/>
  <c r="H141" i="1" s="1"/>
  <c r="K164" i="1"/>
  <c r="H802" i="2" s="1"/>
  <c r="K184" i="1"/>
  <c r="H392" i="2" s="1"/>
  <c r="K152" i="1"/>
  <c r="H422" i="2" s="1"/>
  <c r="K274" i="1"/>
  <c r="H807" i="2" s="1"/>
  <c r="K227" i="1"/>
  <c r="H227" i="1" s="1"/>
  <c r="K142" i="1"/>
  <c r="H142" i="1" s="1"/>
  <c r="K167" i="1"/>
  <c r="I167" i="1" s="1"/>
  <c r="K107" i="1"/>
  <c r="H107" i="1" s="1"/>
  <c r="K166" i="1"/>
  <c r="H633" i="2" s="1"/>
  <c r="K42" i="1"/>
  <c r="H42" i="1" s="1"/>
  <c r="K129" i="1"/>
  <c r="H131" i="2" s="1"/>
  <c r="K103" i="1"/>
  <c r="H508" i="2" s="1"/>
  <c r="K275" i="1"/>
  <c r="H275" i="1" s="1"/>
  <c r="K91" i="1"/>
  <c r="H91" i="1" s="1"/>
  <c r="K28" i="1"/>
  <c r="H232" i="2" s="1"/>
  <c r="K46" i="1"/>
  <c r="H358" i="2" s="1"/>
  <c r="K157" i="1"/>
  <c r="I157" i="1" s="1"/>
  <c r="K93" i="1"/>
  <c r="I93" i="1" s="1"/>
  <c r="K112" i="1"/>
  <c r="H112" i="1" s="1"/>
  <c r="K9" i="1"/>
  <c r="H233" i="2" s="1"/>
  <c r="K39" i="1"/>
  <c r="H227" i="2" s="1"/>
  <c r="K109" i="1"/>
  <c r="H109" i="1" s="1"/>
  <c r="K19" i="1"/>
  <c r="I19" i="1" s="1"/>
  <c r="K124" i="1"/>
  <c r="I124" i="1" s="1"/>
  <c r="K78" i="1"/>
  <c r="I78" i="1" s="1"/>
  <c r="K120" i="1"/>
  <c r="H120" i="1" s="1"/>
  <c r="K11" i="1"/>
  <c r="H11" i="1" s="1"/>
  <c r="K217" i="1"/>
  <c r="H217" i="1" s="1"/>
  <c r="K197" i="1"/>
  <c r="I197" i="1" s="1"/>
  <c r="K196" i="1"/>
  <c r="I196" i="1" s="1"/>
  <c r="K139" i="1"/>
  <c r="I139" i="1" s="1"/>
  <c r="K62" i="1"/>
  <c r="H439" i="2" s="1"/>
  <c r="K145" i="1"/>
  <c r="H145" i="1" s="1"/>
  <c r="K209" i="1"/>
  <c r="H420" i="2" s="1"/>
  <c r="K216" i="1"/>
  <c r="H216" i="1" s="1"/>
  <c r="K242" i="1"/>
  <c r="H570" i="2" s="1"/>
  <c r="K220" i="1"/>
  <c r="H438" i="2" s="1"/>
  <c r="K208" i="1"/>
  <c r="H419" i="2" s="1"/>
  <c r="K205" i="1"/>
  <c r="I205" i="1" s="1"/>
  <c r="K92" i="1"/>
  <c r="H412" i="2" s="1"/>
  <c r="K13" i="1"/>
  <c r="H13" i="1" s="1"/>
  <c r="K106" i="1"/>
  <c r="H106" i="2" s="1"/>
  <c r="K27" i="1"/>
  <c r="H467" i="2" s="1"/>
  <c r="K57" i="1"/>
  <c r="I57" i="1" s="1"/>
  <c r="K86" i="1"/>
  <c r="H86" i="2" s="1"/>
  <c r="K126" i="1"/>
  <c r="I126" i="1" s="1"/>
  <c r="K110" i="1"/>
  <c r="H110" i="1" s="1"/>
  <c r="K232" i="1"/>
  <c r="I232" i="1" s="1"/>
  <c r="K123" i="1"/>
  <c r="H123" i="2" s="1"/>
  <c r="K24" i="1"/>
  <c r="H147" i="2" s="1"/>
  <c r="K286" i="1"/>
  <c r="H876" i="2" s="1"/>
  <c r="K83" i="1"/>
  <c r="I83" i="1" s="1"/>
  <c r="K89" i="1"/>
  <c r="H89" i="1" s="1"/>
  <c r="K219" i="1"/>
  <c r="H437" i="2" s="1"/>
  <c r="K133" i="1"/>
  <c r="H133" i="1" s="1"/>
  <c r="K132" i="1"/>
  <c r="H135" i="2" s="1"/>
  <c r="K194" i="1"/>
  <c r="I194" i="1" s="1"/>
  <c r="K52" i="1"/>
  <c r="H52" i="1" s="1"/>
  <c r="K172" i="1"/>
  <c r="I172" i="1" s="1"/>
  <c r="K14" i="1"/>
  <c r="H14" i="1" s="1"/>
  <c r="K73" i="1"/>
  <c r="I73" i="1" s="1"/>
  <c r="K41" i="1"/>
  <c r="H606" i="2" s="1"/>
  <c r="K248" i="1"/>
  <c r="H717" i="2" s="1"/>
  <c r="K138" i="1"/>
  <c r="H202" i="2" s="1"/>
  <c r="K121" i="1"/>
  <c r="H121" i="1" s="1"/>
  <c r="K21" i="1"/>
  <c r="H230" i="2" s="1"/>
  <c r="K240" i="1"/>
  <c r="H838" i="2" s="1"/>
  <c r="K183" i="1"/>
  <c r="H183" i="1" s="1"/>
  <c r="K231" i="1"/>
  <c r="H231" i="1" s="1"/>
  <c r="K269" i="1"/>
  <c r="H693" i="2" s="1"/>
  <c r="K238" i="1"/>
  <c r="H492" i="2" s="1"/>
  <c r="K155" i="1"/>
  <c r="H155" i="1" s="1"/>
  <c r="K207" i="1"/>
  <c r="H517" i="2" s="1"/>
  <c r="K284" i="1"/>
  <c r="H284" i="1" s="1"/>
  <c r="K44" i="1"/>
  <c r="I44" i="1" s="1"/>
  <c r="K222" i="1"/>
  <c r="I222" i="1" s="1"/>
  <c r="K251" i="1"/>
  <c r="H729" i="2" s="1"/>
  <c r="K262" i="1"/>
  <c r="H262" i="1" s="1"/>
  <c r="K23" i="1"/>
  <c r="H23" i="1" s="1"/>
  <c r="K82" i="1"/>
  <c r="H82" i="1" s="1"/>
  <c r="K63" i="1"/>
  <c r="I63" i="1" s="1"/>
  <c r="K239" i="1"/>
  <c r="I239" i="1" s="1"/>
  <c r="K125" i="1"/>
  <c r="H515" i="2" s="1"/>
  <c r="K215" i="1"/>
  <c r="H431" i="2" s="1"/>
  <c r="K236" i="1"/>
  <c r="I236" i="1" s="1"/>
  <c r="K283" i="1"/>
  <c r="I283" i="1" s="1"/>
  <c r="K136" i="1"/>
  <c r="H143" i="2" s="1"/>
  <c r="K143" i="1"/>
  <c r="H558" i="2" s="1"/>
  <c r="K254" i="1"/>
  <c r="I254" i="1" s="1"/>
  <c r="K165" i="1"/>
  <c r="H304" i="2" s="1"/>
  <c r="K40" i="1"/>
  <c r="H638" i="2" s="1"/>
  <c r="K12" i="1"/>
  <c r="H246" i="2" s="1"/>
  <c r="K76" i="1"/>
  <c r="I76" i="1" s="1"/>
  <c r="K243" i="1"/>
  <c r="H573" i="2" s="1"/>
  <c r="K36" i="1"/>
  <c r="H260" i="2" s="1"/>
  <c r="K181" i="1"/>
  <c r="H181" i="1" s="1"/>
  <c r="K174" i="1"/>
  <c r="H432" i="2" s="1"/>
  <c r="K161" i="1"/>
  <c r="H161" i="1" s="1"/>
  <c r="K235" i="1"/>
  <c r="I235" i="1" s="1"/>
  <c r="K50" i="1"/>
  <c r="H50" i="2" s="1"/>
  <c r="K60" i="1"/>
  <c r="H60" i="1" s="1"/>
  <c r="K247" i="1"/>
  <c r="H247" i="1" s="1"/>
  <c r="K191" i="1"/>
  <c r="H399" i="2" s="1"/>
  <c r="K255" i="1"/>
  <c r="I255" i="1" s="1"/>
  <c r="K237" i="1"/>
  <c r="H237" i="1" s="1"/>
  <c r="K55" i="1"/>
  <c r="I55" i="1" s="1"/>
  <c r="K224" i="1"/>
  <c r="H224" i="1" s="1"/>
  <c r="K249" i="1"/>
  <c r="H698" i="2" s="1"/>
  <c r="K287" i="1"/>
  <c r="I287" i="1" s="1"/>
  <c r="K173" i="1"/>
  <c r="H326" i="2" s="1"/>
  <c r="K198" i="1"/>
  <c r="H503" i="2" s="1"/>
  <c r="K119" i="1"/>
  <c r="I119" i="1" s="1"/>
  <c r="K80" i="1"/>
  <c r="H80" i="1" s="1"/>
  <c r="K8" i="1"/>
  <c r="I8" i="1" s="1"/>
  <c r="K148" i="1"/>
  <c r="I148" i="1" s="1"/>
  <c r="K241" i="1"/>
  <c r="H567" i="2" s="1"/>
  <c r="K154" i="1"/>
  <c r="I154" i="1" s="1"/>
  <c r="K176" i="1"/>
  <c r="H776" i="2" s="1"/>
  <c r="K115" i="1"/>
  <c r="H115" i="1" s="1"/>
  <c r="K49" i="1"/>
  <c r="I49" i="1" s="1"/>
  <c r="K185" i="1"/>
  <c r="I185" i="1" s="1"/>
  <c r="K37" i="1"/>
  <c r="H38" i="2" s="1"/>
  <c r="K276" i="1"/>
  <c r="I276" i="1" s="1"/>
  <c r="K113" i="1"/>
  <c r="H113" i="2" s="1"/>
  <c r="K199" i="1"/>
  <c r="H199" i="1" s="1"/>
  <c r="K200" i="1"/>
  <c r="I200" i="1" s="1"/>
  <c r="K162" i="1"/>
  <c r="H162" i="1" s="1"/>
  <c r="K38" i="1"/>
  <c r="H714" i="2" s="1"/>
  <c r="K234" i="1"/>
  <c r="H511" i="2" s="1"/>
  <c r="K264" i="1"/>
  <c r="H264" i="1" s="1"/>
  <c r="K71" i="1"/>
  <c r="H71" i="2" s="1"/>
  <c r="K250" i="1"/>
  <c r="H250" i="1" s="1"/>
  <c r="K20" i="1"/>
  <c r="H20" i="2" s="1"/>
  <c r="K245" i="1"/>
  <c r="I245" i="1" s="1"/>
  <c r="K246" i="1"/>
  <c r="H580" i="2" s="1"/>
  <c r="K175" i="1"/>
  <c r="H459" i="2" s="1"/>
  <c r="K111" i="1"/>
  <c r="H316" i="2" s="1"/>
  <c r="K256" i="1"/>
  <c r="H256" i="1" s="1"/>
  <c r="K34" i="1"/>
  <c r="H576" i="2" s="1"/>
  <c r="K252" i="1"/>
  <c r="H716" i="2" s="1"/>
  <c r="K15" i="1"/>
  <c r="H258" i="2" s="1"/>
  <c r="K118" i="1"/>
  <c r="H118" i="2" s="1"/>
  <c r="C896" i="2"/>
  <c r="G896" i="2" s="1"/>
  <c r="H132" i="2" l="1"/>
  <c r="H130" i="1"/>
  <c r="H584" i="2"/>
  <c r="H585" i="2"/>
  <c r="H345" i="2"/>
  <c r="H443" i="2"/>
  <c r="H616" i="2"/>
  <c r="H711" i="2"/>
  <c r="H471" i="2"/>
  <c r="H342" i="2"/>
  <c r="H354" i="2"/>
  <c r="H347" i="2"/>
  <c r="H283" i="1"/>
  <c r="H219" i="2"/>
  <c r="H364" i="2"/>
  <c r="H742" i="2"/>
  <c r="I289" i="1"/>
  <c r="H198" i="1"/>
  <c r="H808" i="2"/>
  <c r="I243" i="1"/>
  <c r="H82" i="2"/>
  <c r="H577" i="2"/>
  <c r="H650" i="2"/>
  <c r="H138" i="2"/>
  <c r="H403" i="2"/>
  <c r="I241" i="1"/>
  <c r="H255" i="1"/>
  <c r="H294" i="2"/>
  <c r="H121" i="2"/>
  <c r="H137" i="2"/>
  <c r="I249" i="1"/>
  <c r="H644" i="2"/>
  <c r="H896" i="2"/>
  <c r="I256" i="1"/>
  <c r="H756" i="2"/>
  <c r="H565" i="2"/>
  <c r="H433" i="2"/>
  <c r="H763" i="2"/>
  <c r="H69" i="2"/>
  <c r="H299" i="2"/>
  <c r="E896" i="2"/>
  <c r="H513" i="2"/>
  <c r="H527" i="2"/>
  <c r="H553" i="2"/>
  <c r="H406" i="2"/>
  <c r="H164" i="2"/>
  <c r="H434" i="2"/>
  <c r="H854" i="2"/>
  <c r="H25" i="1"/>
  <c r="H339" i="2"/>
  <c r="H712" i="2"/>
  <c r="H160" i="2"/>
  <c r="H521" i="2"/>
  <c r="H671" i="2"/>
  <c r="H57" i="2"/>
  <c r="H306" i="2"/>
  <c r="H103" i="2"/>
  <c r="H397" i="2"/>
  <c r="H781" i="2"/>
  <c r="I155" i="1"/>
  <c r="I220" i="1"/>
  <c r="I70" i="1"/>
  <c r="I45" i="1"/>
  <c r="H34" i="1"/>
  <c r="H512" i="2"/>
  <c r="H665" i="2"/>
  <c r="H148" i="1"/>
  <c r="H669" i="2"/>
  <c r="I50" i="1"/>
  <c r="H221" i="2"/>
  <c r="I82" i="1"/>
  <c r="H765" i="2"/>
  <c r="H189" i="2"/>
  <c r="H895" i="2"/>
  <c r="H73" i="2"/>
  <c r="H463" i="2"/>
  <c r="H126" i="1"/>
  <c r="H502" i="2"/>
  <c r="H274" i="1"/>
  <c r="H192" i="1"/>
  <c r="H35" i="2"/>
  <c r="H496" i="2"/>
  <c r="H667" i="2"/>
  <c r="H293" i="2"/>
  <c r="H125" i="2"/>
  <c r="H516" i="2"/>
  <c r="H483" i="2"/>
  <c r="I21" i="1"/>
  <c r="H248" i="1"/>
  <c r="I133" i="1"/>
  <c r="I24" i="1"/>
  <c r="H106" i="1"/>
  <c r="H445" i="2"/>
  <c r="I152" i="1"/>
  <c r="H21" i="2"/>
  <c r="H171" i="1"/>
  <c r="H348" i="2"/>
  <c r="I162" i="1"/>
  <c r="H831" i="2"/>
  <c r="H825" i="2"/>
  <c r="I183" i="1"/>
  <c r="I13" i="1"/>
  <c r="I91" i="1"/>
  <c r="H107" i="2"/>
  <c r="I184" i="1"/>
  <c r="H537" i="2"/>
  <c r="H334" i="2"/>
  <c r="H811" i="2"/>
  <c r="H174" i="1"/>
  <c r="H651" i="2"/>
  <c r="H873" i="2"/>
  <c r="H500" i="2"/>
  <c r="H817" i="2"/>
  <c r="H57" i="1"/>
  <c r="I242" i="1"/>
  <c r="H421" i="2"/>
  <c r="H146" i="1"/>
  <c r="H710" i="2"/>
  <c r="K896" i="2"/>
  <c r="H760" i="2"/>
  <c r="H509" i="2"/>
  <c r="H129" i="2"/>
  <c r="H460" i="2"/>
  <c r="H165" i="1"/>
  <c r="H126" i="2"/>
  <c r="H196" i="1"/>
  <c r="H256" i="2"/>
  <c r="I189" i="1"/>
  <c r="H105" i="2"/>
  <c r="I146" i="1"/>
  <c r="H414" i="2"/>
  <c r="I215" i="1"/>
  <c r="H639" i="2"/>
  <c r="I27" i="1"/>
  <c r="H208" i="1"/>
  <c r="H157" i="1"/>
  <c r="H400" i="2"/>
  <c r="B37" i="7" a="1"/>
  <c r="B37" i="7" s="1"/>
  <c r="B10" i="7" a="1"/>
  <c r="B10" i="7" s="1"/>
  <c r="H724" i="2"/>
  <c r="H855" i="2"/>
  <c r="I246" i="1"/>
  <c r="H615" i="2"/>
  <c r="H207" i="2"/>
  <c r="H154" i="1"/>
  <c r="H8" i="1"/>
  <c r="H448" i="2"/>
  <c r="H777" i="2"/>
  <c r="H268" i="2"/>
  <c r="H76" i="1"/>
  <c r="H731" i="2"/>
  <c r="H806" i="2"/>
  <c r="H518" i="2"/>
  <c r="H861" i="2"/>
  <c r="H890" i="2"/>
  <c r="H41" i="1"/>
  <c r="H272" i="2"/>
  <c r="H351" i="2"/>
  <c r="H232" i="1"/>
  <c r="I208" i="1"/>
  <c r="I216" i="1"/>
  <c r="H153" i="2"/>
  <c r="I109" i="1"/>
  <c r="I275" i="1"/>
  <c r="H819" i="2"/>
  <c r="H170" i="1"/>
  <c r="H43" i="2"/>
  <c r="H398" i="2"/>
  <c r="F896" i="2"/>
  <c r="H373" i="2"/>
  <c r="H249" i="1"/>
  <c r="I247" i="1"/>
  <c r="H489" i="2"/>
  <c r="H559" i="2"/>
  <c r="H231" i="2"/>
  <c r="I12" i="1"/>
  <c r="H514" i="2"/>
  <c r="H723" i="2"/>
  <c r="H793" i="2"/>
  <c r="H891" i="2"/>
  <c r="H206" i="2"/>
  <c r="H476" i="2"/>
  <c r="H663" i="2"/>
  <c r="H212" i="2"/>
  <c r="H486" i="2"/>
  <c r="H158" i="2"/>
  <c r="H11" i="2"/>
  <c r="H46" i="1"/>
  <c r="H775" i="2"/>
  <c r="H18" i="1"/>
  <c r="H210" i="1"/>
  <c r="H772" i="2"/>
  <c r="H67" i="2"/>
  <c r="H253" i="1"/>
  <c r="I61" i="1"/>
  <c r="H324" i="2"/>
  <c r="H887" i="2"/>
  <c r="H253" i="2"/>
  <c r="H150" i="1"/>
  <c r="H288" i="2"/>
  <c r="H119" i="1"/>
  <c r="H372" i="2"/>
  <c r="H330" i="2"/>
  <c r="H254" i="1"/>
  <c r="H727" i="2"/>
  <c r="I14" i="1"/>
  <c r="H846" i="2"/>
  <c r="H823" i="2"/>
  <c r="H122" i="1"/>
  <c r="I16" i="1"/>
  <c r="H233" i="1"/>
  <c r="I169" i="1"/>
  <c r="H269" i="2"/>
  <c r="H95" i="2"/>
  <c r="H728" i="2"/>
  <c r="H14" i="2"/>
  <c r="H377" i="2"/>
  <c r="H287" i="2"/>
  <c r="I28" i="1"/>
  <c r="H447" i="2"/>
  <c r="H102" i="1"/>
  <c r="H788" i="2"/>
  <c r="H429" i="2"/>
  <c r="H282" i="2"/>
  <c r="H175" i="1"/>
  <c r="H550" i="2"/>
  <c r="H418" i="2"/>
  <c r="H276" i="1"/>
  <c r="H115" i="2"/>
  <c r="H119" i="2"/>
  <c r="H655" i="2"/>
  <c r="H581" i="2"/>
  <c r="H300" i="2"/>
  <c r="H661" i="2"/>
  <c r="H490" i="2"/>
  <c r="H23" i="2"/>
  <c r="H251" i="1"/>
  <c r="H859" i="2"/>
  <c r="H196" i="2"/>
  <c r="H600" i="2"/>
  <c r="H893" i="2"/>
  <c r="H848" i="2"/>
  <c r="H24" i="2"/>
  <c r="I145" i="1"/>
  <c r="H795" i="2"/>
  <c r="I227" i="1"/>
  <c r="H184" i="1"/>
  <c r="H48" i="2"/>
  <c r="H815" i="2"/>
  <c r="H289" i="1"/>
  <c r="H276" i="2"/>
  <c r="H105" i="1"/>
  <c r="H624" i="2"/>
  <c r="H70" i="2"/>
  <c r="H68" i="1"/>
  <c r="I156" i="1"/>
  <c r="I122" i="1"/>
  <c r="H16" i="1"/>
  <c r="I149" i="1"/>
  <c r="H243" i="2"/>
  <c r="I32" i="1"/>
  <c r="H221" i="1"/>
  <c r="H200" i="1"/>
  <c r="I174" i="1"/>
  <c r="H842" i="2"/>
  <c r="H430" i="2"/>
  <c r="H725" i="2"/>
  <c r="I231" i="1"/>
  <c r="H836" i="2"/>
  <c r="H782" i="2"/>
  <c r="H868" i="2"/>
  <c r="H784" i="2"/>
  <c r="H340" i="2"/>
  <c r="H48" i="1"/>
  <c r="H764" i="2"/>
  <c r="H17" i="1"/>
  <c r="H288" i="1"/>
  <c r="H480" i="2"/>
  <c r="H298" i="2"/>
  <c r="I224" i="1"/>
  <c r="H76" i="2"/>
  <c r="H735" i="2"/>
  <c r="H730" i="2"/>
  <c r="H860" i="2"/>
  <c r="H474" i="2"/>
  <c r="H194" i="1"/>
  <c r="H849" i="2"/>
  <c r="H97" i="2"/>
  <c r="I113" i="1"/>
  <c r="I37" i="1"/>
  <c r="H574" i="2"/>
  <c r="H677" i="2"/>
  <c r="H343" i="2"/>
  <c r="H614" i="2"/>
  <c r="H113" i="1"/>
  <c r="H393" i="2"/>
  <c r="H634" i="2"/>
  <c r="I237" i="1"/>
  <c r="H668" i="2"/>
  <c r="H60" i="2"/>
  <c r="H235" i="1"/>
  <c r="H332" i="2"/>
  <c r="H243" i="1"/>
  <c r="I165" i="1"/>
  <c r="H215" i="1"/>
  <c r="H125" i="1"/>
  <c r="H686" i="2"/>
  <c r="H657" i="2"/>
  <c r="I284" i="1"/>
  <c r="H771" i="2"/>
  <c r="H841" i="2"/>
  <c r="H602" i="2"/>
  <c r="H462" i="2"/>
  <c r="H210" i="2"/>
  <c r="H870" i="2"/>
  <c r="H593" i="2"/>
  <c r="H816" i="2"/>
  <c r="I132" i="1"/>
  <c r="I123" i="1"/>
  <c r="I110" i="1"/>
  <c r="H86" i="1"/>
  <c r="H223" i="2"/>
  <c r="H619" i="2"/>
  <c r="I62" i="1"/>
  <c r="I11" i="1"/>
  <c r="H124" i="1"/>
  <c r="H186" i="2"/>
  <c r="H112" i="2"/>
  <c r="H46" i="2"/>
  <c r="H91" i="2"/>
  <c r="H319" i="2"/>
  <c r="H783" i="2"/>
  <c r="H528" i="2"/>
  <c r="H479" i="2"/>
  <c r="H25" i="2"/>
  <c r="I210" i="1"/>
  <c r="H88" i="1"/>
  <c r="H800" i="2"/>
  <c r="H833" i="2"/>
  <c r="I225" i="1"/>
  <c r="H482" i="2"/>
  <c r="H99" i="1"/>
  <c r="I153" i="1"/>
  <c r="H829" i="2"/>
  <c r="H696" i="2"/>
  <c r="H685" i="2"/>
  <c r="H87" i="1"/>
  <c r="H877" i="2"/>
  <c r="I10" i="1"/>
  <c r="H108" i="2"/>
  <c r="I74" i="1"/>
  <c r="H357" i="2"/>
  <c r="H242" i="2"/>
  <c r="H31" i="1"/>
  <c r="H65" i="1"/>
  <c r="H32" i="1"/>
  <c r="H159" i="1"/>
  <c r="H366" i="2"/>
  <c r="I278" i="1"/>
  <c r="H390" i="2"/>
  <c r="H62" i="2"/>
  <c r="H601" i="2"/>
  <c r="H880" i="2"/>
  <c r="H281" i="1"/>
  <c r="I90" i="1"/>
  <c r="H356" i="2"/>
  <c r="H244" i="2"/>
  <c r="H251" i="2"/>
  <c r="H160" i="1"/>
  <c r="H473" i="2"/>
  <c r="I179" i="1"/>
  <c r="H575" i="2"/>
  <c r="I34" i="1"/>
  <c r="H497" i="2"/>
  <c r="H185" i="1"/>
  <c r="H675" i="2"/>
  <c r="I60" i="1"/>
  <c r="H331" i="2"/>
  <c r="H741" i="2"/>
  <c r="H236" i="1"/>
  <c r="H504" i="2"/>
  <c r="H726" i="2"/>
  <c r="H874" i="2"/>
  <c r="H388" i="2"/>
  <c r="H391" i="2"/>
  <c r="H184" i="2"/>
  <c r="H187" i="2"/>
  <c r="H146" i="2"/>
  <c r="H179" i="2"/>
  <c r="H720" i="2"/>
  <c r="H241" i="2"/>
  <c r="I41" i="1"/>
  <c r="H132" i="1"/>
  <c r="H629" i="2"/>
  <c r="H123" i="1"/>
  <c r="H110" i="2"/>
  <c r="I86" i="1"/>
  <c r="H27" i="2"/>
  <c r="H505" i="2"/>
  <c r="I120" i="1"/>
  <c r="H248" i="2"/>
  <c r="H188" i="2"/>
  <c r="H93" i="2"/>
  <c r="I46" i="1"/>
  <c r="I107" i="1"/>
  <c r="H446" i="2"/>
  <c r="I274" i="1"/>
  <c r="H481" i="2"/>
  <c r="H249" i="2"/>
  <c r="I88" i="1"/>
  <c r="H778" i="2"/>
  <c r="H850" i="2"/>
  <c r="H452" i="2"/>
  <c r="H311" i="2"/>
  <c r="I99" i="1"/>
  <c r="I97" i="1"/>
  <c r="I265" i="1"/>
  <c r="H798" i="2"/>
  <c r="H261" i="1"/>
  <c r="H291" i="1"/>
  <c r="H255" i="2"/>
  <c r="H45" i="1"/>
  <c r="H133" i="2"/>
  <c r="H32" i="2"/>
  <c r="I65" i="1"/>
  <c r="H98" i="1"/>
  <c r="I43" i="1"/>
  <c r="I114" i="1"/>
  <c r="I177" i="1"/>
  <c r="H851" i="2"/>
  <c r="H525" i="2"/>
  <c r="H491" i="2"/>
  <c r="H660" i="2"/>
  <c r="I125" i="1"/>
  <c r="H523" i="2"/>
  <c r="I207" i="1"/>
  <c r="H254" i="2"/>
  <c r="H171" i="2"/>
  <c r="H226" i="2"/>
  <c r="H719" i="2"/>
  <c r="H73" i="1"/>
  <c r="H436" i="2"/>
  <c r="H182" i="2"/>
  <c r="H220" i="1"/>
  <c r="H120" i="2"/>
  <c r="H93" i="1"/>
  <c r="I102" i="1"/>
  <c r="H273" i="2"/>
  <c r="H362" i="2"/>
  <c r="H273" i="1"/>
  <c r="H706" i="2"/>
  <c r="H85" i="2"/>
  <c r="H564" i="2"/>
  <c r="H333" i="2"/>
  <c r="H272" i="1"/>
  <c r="H156" i="1"/>
  <c r="H684" i="2"/>
  <c r="I281" i="1"/>
  <c r="H10" i="2"/>
  <c r="H90" i="2"/>
  <c r="H81" i="1"/>
  <c r="H289" i="2"/>
  <c r="H280" i="2"/>
  <c r="I95" i="1"/>
  <c r="H278" i="1"/>
  <c r="H888" i="2"/>
  <c r="H218" i="2"/>
  <c r="H138" i="1"/>
  <c r="H152" i="2"/>
  <c r="H703" i="2"/>
  <c r="H494" i="2"/>
  <c r="H796" i="2"/>
  <c r="H308" i="2"/>
  <c r="H30" i="1"/>
  <c r="I68" i="1"/>
  <c r="H53" i="1"/>
  <c r="H61" i="1"/>
  <c r="H257" i="1"/>
  <c r="H426" i="2"/>
  <c r="H134" i="2"/>
  <c r="H267" i="2"/>
  <c r="H261" i="2"/>
  <c r="I98" i="1"/>
  <c r="H411" i="2"/>
  <c r="H280" i="1"/>
  <c r="H218" i="1"/>
  <c r="H252" i="1"/>
  <c r="H758" i="2"/>
  <c r="H301" i="2"/>
  <c r="H519" i="2"/>
  <c r="H241" i="1"/>
  <c r="H673" i="2"/>
  <c r="H328" i="2"/>
  <c r="I181" i="1"/>
  <c r="H239" i="1"/>
  <c r="I262" i="1"/>
  <c r="H386" i="2"/>
  <c r="H617" i="2"/>
  <c r="I138" i="1"/>
  <c r="H590" i="2"/>
  <c r="H322" i="2"/>
  <c r="H136" i="2"/>
  <c r="H219" i="1"/>
  <c r="H204" i="2"/>
  <c r="I209" i="1"/>
  <c r="H62" i="1"/>
  <c r="H501" i="2"/>
  <c r="H78" i="2"/>
  <c r="H609" i="2"/>
  <c r="H225" i="2"/>
  <c r="H296" i="2"/>
  <c r="H603" i="2"/>
  <c r="I103" i="1"/>
  <c r="H318" i="2"/>
  <c r="H140" i="2"/>
  <c r="H560" i="2"/>
  <c r="I48" i="1"/>
  <c r="H780" i="2"/>
  <c r="H245" i="2"/>
  <c r="H882" i="2"/>
  <c r="H72" i="2"/>
  <c r="I87" i="1"/>
  <c r="H561" i="2"/>
  <c r="H676" i="2"/>
  <c r="H487" i="2"/>
  <c r="H472" i="2"/>
  <c r="H35" i="1"/>
  <c r="H169" i="1"/>
  <c r="H270" i="1"/>
  <c r="H453" i="2"/>
  <c r="H96" i="1"/>
  <c r="H385" i="2"/>
  <c r="H700" i="2"/>
  <c r="H172" i="1"/>
  <c r="H89" i="2"/>
  <c r="H27" i="1"/>
  <c r="H209" i="1"/>
  <c r="H124" i="2"/>
  <c r="H173" i="2"/>
  <c r="I112" i="1"/>
  <c r="H379" i="2"/>
  <c r="H424" i="2"/>
  <c r="H881" i="2"/>
  <c r="H72" i="1"/>
  <c r="H401" i="2"/>
  <c r="I108" i="1"/>
  <c r="H259" i="2"/>
  <c r="H450" i="2"/>
  <c r="H96" i="2"/>
  <c r="H118" i="1"/>
  <c r="I15" i="1"/>
  <c r="H658" i="2"/>
  <c r="H635" i="2"/>
  <c r="H376" i="2"/>
  <c r="H245" i="1"/>
  <c r="H20" i="1"/>
  <c r="I71" i="1"/>
  <c r="H488" i="2"/>
  <c r="H552" i="2"/>
  <c r="H166" i="2"/>
  <c r="H215" i="2"/>
  <c r="H599" i="2"/>
  <c r="H38" i="1"/>
  <c r="H417" i="2"/>
  <c r="H526" i="2"/>
  <c r="I115" i="1"/>
  <c r="H664" i="2"/>
  <c r="H566" i="2"/>
  <c r="H628" i="2"/>
  <c r="H531" i="2"/>
  <c r="I118" i="1"/>
  <c r="H477" i="2"/>
  <c r="H759" i="2"/>
  <c r="H111" i="1"/>
  <c r="H761" i="2"/>
  <c r="H522" i="2"/>
  <c r="H246" i="1"/>
  <c r="H583" i="2"/>
  <c r="H275" i="2"/>
  <c r="H71" i="1"/>
  <c r="H234" i="1"/>
  <c r="H632" i="2"/>
  <c r="H237" i="2"/>
  <c r="H713" i="2"/>
  <c r="H755" i="2"/>
  <c r="H228" i="2"/>
  <c r="H415" i="2"/>
  <c r="H605" i="2"/>
  <c r="H612" i="2"/>
  <c r="H176" i="1"/>
  <c r="H8" i="2"/>
  <c r="H201" i="2"/>
  <c r="H792" i="2"/>
  <c r="H402" i="2"/>
  <c r="H475" i="2"/>
  <c r="H266" i="2"/>
  <c r="H579" i="2"/>
  <c r="I250" i="1"/>
  <c r="I264" i="1"/>
  <c r="I234" i="1"/>
  <c r="H549" i="2"/>
  <c r="H547" i="2"/>
  <c r="H498" i="2"/>
  <c r="H457" i="2"/>
  <c r="I176" i="1"/>
  <c r="I80" i="1"/>
  <c r="H287" i="1"/>
  <c r="H15" i="1"/>
  <c r="H111" i="2"/>
  <c r="H656" i="2"/>
  <c r="H688" i="2"/>
  <c r="H538" i="2"/>
  <c r="H715" i="2"/>
  <c r="H222" i="2"/>
  <c r="H543" i="2"/>
  <c r="H546" i="2"/>
  <c r="H545" i="2"/>
  <c r="H355" i="2"/>
  <c r="H360" i="2"/>
  <c r="H721" i="2"/>
  <c r="H305" i="2"/>
  <c r="H217" i="2"/>
  <c r="H80" i="2"/>
  <c r="I198" i="1"/>
  <c r="H878" i="2"/>
  <c r="H15" i="2"/>
  <c r="I252" i="1"/>
  <c r="I111" i="1"/>
  <c r="H352" i="2"/>
  <c r="H495" i="2"/>
  <c r="I20" i="1"/>
  <c r="H704" i="2"/>
  <c r="H757" i="2"/>
  <c r="H754" i="2"/>
  <c r="H544" i="2"/>
  <c r="H185" i="2"/>
  <c r="H39" i="2"/>
  <c r="I199" i="1"/>
  <c r="H540" i="2"/>
  <c r="H49" i="1"/>
  <c r="H150" i="2"/>
  <c r="H530" i="2"/>
  <c r="H329" i="2"/>
  <c r="H327" i="2"/>
  <c r="I173" i="1"/>
  <c r="H250" i="2"/>
  <c r="I175" i="1"/>
  <c r="H344" i="2"/>
  <c r="H286" i="2"/>
  <c r="H548" i="2"/>
  <c r="H175" i="2"/>
  <c r="I38" i="1"/>
  <c r="H162" i="2"/>
  <c r="H542" i="2"/>
  <c r="H551" i="2"/>
  <c r="H416" i="2"/>
  <c r="H636" i="2"/>
  <c r="H37" i="1"/>
  <c r="H359" i="2"/>
  <c r="H346" i="2"/>
  <c r="H283" i="2"/>
  <c r="H209" i="2"/>
  <c r="H173" i="1"/>
  <c r="H539" i="2"/>
  <c r="H229" i="2"/>
  <c r="H604" i="2"/>
  <c r="H613" i="2"/>
  <c r="H458" i="2"/>
  <c r="H49" i="2"/>
  <c r="H55" i="2"/>
  <c r="I191" i="1"/>
  <c r="H50" i="1"/>
  <c r="I161" i="1"/>
  <c r="H824" i="2"/>
  <c r="H465" i="2"/>
  <c r="H176" i="2"/>
  <c r="H751" i="2"/>
  <c r="H571" i="2"/>
  <c r="H12" i="2"/>
  <c r="H745" i="2"/>
  <c r="H743" i="2"/>
  <c r="H648" i="2"/>
  <c r="H143" i="1"/>
  <c r="I136" i="1"/>
  <c r="H63" i="1"/>
  <c r="H148" i="2"/>
  <c r="H569" i="2"/>
  <c r="H886" i="2"/>
  <c r="H410" i="2"/>
  <c r="H785" i="2"/>
  <c r="H535" i="2"/>
  <c r="I238" i="1"/>
  <c r="H843" i="2"/>
  <c r="H466" i="2"/>
  <c r="H707" i="2"/>
  <c r="H749" i="2"/>
  <c r="H767" i="2"/>
  <c r="H894" i="2"/>
  <c r="H647" i="2"/>
  <c r="I219" i="1"/>
  <c r="H83" i="2"/>
  <c r="H13" i="2"/>
  <c r="H507" i="2"/>
  <c r="H197" i="1"/>
  <c r="H192" i="2"/>
  <c r="H190" i="2"/>
  <c r="H235" i="2"/>
  <c r="H468" i="2"/>
  <c r="H699" i="2"/>
  <c r="H315" i="2"/>
  <c r="H164" i="1"/>
  <c r="H22" i="1"/>
  <c r="H809" i="2"/>
  <c r="H277" i="1"/>
  <c r="H317" i="2"/>
  <c r="H510" i="2"/>
  <c r="H681" i="2"/>
  <c r="H260" i="1"/>
  <c r="H79" i="2"/>
  <c r="H79" i="1"/>
  <c r="I79" i="1"/>
  <c r="H753" i="2"/>
  <c r="H208" i="2"/>
  <c r="H820" i="2"/>
  <c r="H285" i="2"/>
  <c r="H646" i="2"/>
  <c r="H744" i="2"/>
  <c r="H649" i="2"/>
  <c r="I143" i="1"/>
  <c r="H290" i="2"/>
  <c r="H63" i="2"/>
  <c r="I23" i="1"/>
  <c r="H722" i="2"/>
  <c r="H449" i="2"/>
  <c r="H485" i="2"/>
  <c r="H769" i="2"/>
  <c r="H524" i="2"/>
  <c r="H555" i="2"/>
  <c r="H662" i="2"/>
  <c r="H238" i="1"/>
  <c r="I240" i="1"/>
  <c r="H840" i="2"/>
  <c r="H856" i="2"/>
  <c r="H161" i="2"/>
  <c r="H747" i="2"/>
  <c r="H205" i="2"/>
  <c r="H200" i="2"/>
  <c r="H718" i="2"/>
  <c r="H595" i="2"/>
  <c r="H42" i="2"/>
  <c r="H847" i="2"/>
  <c r="H444" i="2"/>
  <c r="H380" i="2"/>
  <c r="H220" i="2"/>
  <c r="I106" i="1"/>
  <c r="H278" i="2"/>
  <c r="H92" i="1"/>
  <c r="H242" i="1"/>
  <c r="H440" i="2"/>
  <c r="H139" i="1"/>
  <c r="H353" i="2"/>
  <c r="I217" i="1"/>
  <c r="H284" i="2"/>
  <c r="H78" i="1"/>
  <c r="H19" i="1"/>
  <c r="H109" i="2"/>
  <c r="H183" i="2"/>
  <c r="H610" i="2"/>
  <c r="H461" i="2"/>
  <c r="H178" i="2"/>
  <c r="H28" i="2"/>
  <c r="H810" i="2"/>
  <c r="H103" i="1"/>
  <c r="H29" i="2"/>
  <c r="H378" i="2"/>
  <c r="I142" i="1"/>
  <c r="H572" i="2"/>
  <c r="H303" i="2"/>
  <c r="H529" i="2"/>
  <c r="H853" i="2"/>
  <c r="H455" i="2"/>
  <c r="H884" i="2"/>
  <c r="I18" i="1"/>
  <c r="H313" i="2"/>
  <c r="H469" i="2"/>
  <c r="H165" i="2"/>
  <c r="H779" i="2"/>
  <c r="I273" i="1"/>
  <c r="H826" i="2"/>
  <c r="H786" i="2"/>
  <c r="H705" i="2"/>
  <c r="H799" i="2"/>
  <c r="I67" i="1"/>
  <c r="H212" i="1"/>
  <c r="H17" i="2"/>
  <c r="I229" i="1"/>
  <c r="I253" i="1"/>
  <c r="H297" i="2"/>
  <c r="H26" i="1"/>
  <c r="H51" i="2"/>
  <c r="I51" i="1"/>
  <c r="I163" i="1"/>
  <c r="H163" i="1"/>
  <c r="H812" i="2"/>
  <c r="H94" i="2"/>
  <c r="H682" i="2"/>
  <c r="H55" i="1"/>
  <c r="H191" i="1"/>
  <c r="H167" i="2"/>
  <c r="H292" i="2"/>
  <c r="H252" i="2"/>
  <c r="H827" i="2"/>
  <c r="H835" i="2"/>
  <c r="H307" i="2"/>
  <c r="H41" i="2"/>
  <c r="H818" i="2"/>
  <c r="H652" i="2"/>
  <c r="H157" i="2"/>
  <c r="H349" i="2"/>
  <c r="H203" i="2"/>
  <c r="I251" i="1"/>
  <c r="H732" i="2"/>
  <c r="H222" i="1"/>
  <c r="H588" i="2"/>
  <c r="H805" i="2"/>
  <c r="H864" i="2"/>
  <c r="H493" i="2"/>
  <c r="H568" i="2"/>
  <c r="H858" i="2"/>
  <c r="H611" i="2"/>
  <c r="H214" i="2"/>
  <c r="H21" i="1"/>
  <c r="H270" i="2"/>
  <c r="I121" i="1"/>
  <c r="H867" i="2"/>
  <c r="H591" i="2"/>
  <c r="I89" i="1"/>
  <c r="H83" i="1"/>
  <c r="I92" i="1"/>
  <c r="H637" i="2"/>
  <c r="H9" i="1"/>
  <c r="H194" i="2"/>
  <c r="H789" i="2"/>
  <c r="I42" i="1"/>
  <c r="H506" i="2"/>
  <c r="H562" i="2"/>
  <c r="H338" i="2"/>
  <c r="H885" i="2"/>
  <c r="H536" i="2"/>
  <c r="I141" i="1"/>
  <c r="H883" i="2"/>
  <c r="H247" i="2"/>
  <c r="H265" i="2"/>
  <c r="H598" i="2"/>
  <c r="H309" i="2"/>
  <c r="H158" i="1"/>
  <c r="H26" i="2"/>
  <c r="H51" i="1"/>
  <c r="H374" i="2"/>
  <c r="H69" i="1"/>
  <c r="H689" i="2"/>
  <c r="I94" i="1"/>
  <c r="I178" i="1"/>
  <c r="H178" i="1"/>
  <c r="I117" i="1"/>
  <c r="H117" i="2"/>
  <c r="H230" i="1"/>
  <c r="H484" i="2"/>
  <c r="I230" i="1"/>
  <c r="H409" i="2"/>
  <c r="I151" i="1"/>
  <c r="H151" i="1"/>
  <c r="I36" i="1"/>
  <c r="H790" i="2"/>
  <c r="H750" i="2"/>
  <c r="H821" i="2"/>
  <c r="H12" i="1"/>
  <c r="I40" i="1"/>
  <c r="H643" i="2"/>
  <c r="H822" i="2"/>
  <c r="H335" i="2"/>
  <c r="H291" i="2"/>
  <c r="H653" i="2"/>
  <c r="H737" i="2"/>
  <c r="H734" i="2"/>
  <c r="H736" i="2"/>
  <c r="H44" i="1"/>
  <c r="H626" i="2"/>
  <c r="H672" i="2"/>
  <c r="H533" i="2"/>
  <c r="H762" i="2"/>
  <c r="H269" i="1"/>
  <c r="H839" i="2"/>
  <c r="H857" i="2"/>
  <c r="H240" i="1"/>
  <c r="H193" i="2"/>
  <c r="H262" i="2"/>
  <c r="H240" i="2"/>
  <c r="H279" i="2"/>
  <c r="H589" i="2"/>
  <c r="I52" i="1"/>
  <c r="I286" i="1"/>
  <c r="H413" i="2"/>
  <c r="H369" i="2"/>
  <c r="H441" i="2"/>
  <c r="H263" i="2"/>
  <c r="H19" i="2"/>
  <c r="H211" i="2"/>
  <c r="I39" i="1"/>
  <c r="H151" i="2"/>
  <c r="H9" i="2"/>
  <c r="H177" i="2"/>
  <c r="H813" i="2"/>
  <c r="I129" i="1"/>
  <c r="H320" i="2"/>
  <c r="H586" i="2"/>
  <c r="H670" i="2"/>
  <c r="H834" i="2"/>
  <c r="H607" i="2"/>
  <c r="H396" i="2"/>
  <c r="I134" i="1"/>
  <c r="H168" i="2"/>
  <c r="H277" i="2"/>
  <c r="H169" i="2"/>
  <c r="H787" i="2"/>
  <c r="I212" i="1"/>
  <c r="I17" i="1"/>
  <c r="H85" i="1"/>
  <c r="H625" i="2"/>
  <c r="H875" i="2"/>
  <c r="H285" i="1"/>
  <c r="I30" i="1"/>
  <c r="H214" i="1"/>
  <c r="H690" i="2"/>
  <c r="H266" i="1"/>
  <c r="H137" i="1"/>
  <c r="H145" i="2"/>
  <c r="I137" i="1"/>
  <c r="H382" i="2"/>
  <c r="H136" i="1"/>
  <c r="H630" i="2"/>
  <c r="H180" i="2"/>
  <c r="H654" i="2"/>
  <c r="H371" i="2"/>
  <c r="H206" i="1"/>
  <c r="I206" i="1"/>
  <c r="H238" i="2"/>
  <c r="H37" i="2"/>
  <c r="H281" i="2"/>
  <c r="H752" i="2"/>
  <c r="H641" i="2"/>
  <c r="H794" i="2"/>
  <c r="H336" i="2"/>
  <c r="H733" i="2"/>
  <c r="H44" i="2"/>
  <c r="H557" i="2"/>
  <c r="H770" i="2"/>
  <c r="H863" i="2"/>
  <c r="H627" i="2"/>
  <c r="H694" i="2"/>
  <c r="H766" i="2"/>
  <c r="H852" i="2"/>
  <c r="H845" i="2"/>
  <c r="H198" i="2"/>
  <c r="H191" i="2"/>
  <c r="H748" i="2"/>
  <c r="H224" i="2"/>
  <c r="H234" i="2"/>
  <c r="H871" i="2"/>
  <c r="H869" i="2"/>
  <c r="H592" i="2"/>
  <c r="H594" i="2"/>
  <c r="H52" i="2"/>
  <c r="H286" i="1"/>
  <c r="H24" i="1"/>
  <c r="H556" i="2"/>
  <c r="H205" i="1"/>
  <c r="H618" i="2"/>
  <c r="H532" i="2"/>
  <c r="H199" i="2"/>
  <c r="H464" i="2"/>
  <c r="H640" i="2"/>
  <c r="I9" i="1"/>
  <c r="H596" i="2"/>
  <c r="H239" i="2"/>
  <c r="H129" i="1"/>
  <c r="H166" i="1"/>
  <c r="H499" i="2"/>
  <c r="H666" i="2"/>
  <c r="H337" i="2"/>
  <c r="H804" i="2"/>
  <c r="H814" i="2"/>
  <c r="H708" i="2"/>
  <c r="H631" i="2"/>
  <c r="H739" i="2"/>
  <c r="H803" i="2"/>
  <c r="H541" i="2"/>
  <c r="I188" i="1"/>
  <c r="H172" i="2"/>
  <c r="H149" i="2"/>
  <c r="H187" i="1"/>
  <c r="H395" i="2"/>
  <c r="H263" i="1"/>
  <c r="H687" i="2"/>
  <c r="H774" i="2"/>
  <c r="H312" i="2"/>
  <c r="H101" i="2"/>
  <c r="H64" i="2"/>
  <c r="I64" i="1"/>
  <c r="H64" i="1"/>
  <c r="H58" i="1"/>
  <c r="I58" i="1"/>
  <c r="H58" i="2"/>
  <c r="H54" i="2"/>
  <c r="H54" i="1"/>
  <c r="I54" i="1"/>
  <c r="H892" i="2"/>
  <c r="H181" i="2"/>
  <c r="H797" i="2"/>
  <c r="H40" i="1"/>
  <c r="H791" i="2"/>
  <c r="H645" i="2"/>
  <c r="H142" i="2"/>
  <c r="H363" i="2"/>
  <c r="H862" i="2"/>
  <c r="H554" i="2"/>
  <c r="H387" i="2"/>
  <c r="H865" i="2"/>
  <c r="I269" i="1"/>
  <c r="H844" i="2"/>
  <c r="H837" i="2"/>
  <c r="H274" i="2"/>
  <c r="H470" i="2"/>
  <c r="H174" i="2"/>
  <c r="H768" i="2"/>
  <c r="I248" i="1"/>
  <c r="H92" i="2"/>
  <c r="H370" i="2"/>
  <c r="H40" i="2"/>
  <c r="H195" i="2"/>
  <c r="H608" i="2"/>
  <c r="H163" i="2"/>
  <c r="H170" i="2"/>
  <c r="H28" i="1"/>
  <c r="I166" i="1"/>
  <c r="H563" i="2"/>
  <c r="H167" i="1"/>
  <c r="H738" i="2"/>
  <c r="H620" i="2"/>
  <c r="H709" i="2"/>
  <c r="I164" i="1"/>
  <c r="H801" i="2"/>
  <c r="I25" i="1"/>
  <c r="H597" i="2"/>
  <c r="H701" i="2"/>
  <c r="H773" i="2"/>
  <c r="H889" i="2"/>
  <c r="H271" i="1"/>
  <c r="H66" i="2"/>
  <c r="H66" i="1"/>
  <c r="I214" i="1"/>
  <c r="I187" i="1"/>
  <c r="H259" i="1"/>
  <c r="I259" i="1"/>
  <c r="H204" i="1"/>
  <c r="H368" i="2"/>
  <c r="I263" i="1"/>
  <c r="I101" i="1"/>
  <c r="I290" i="1"/>
  <c r="H582" i="2"/>
  <c r="H578" i="2"/>
  <c r="H244" i="1"/>
  <c r="H702" i="2"/>
  <c r="H36" i="1"/>
  <c r="H213" i="2"/>
  <c r="H642" i="2"/>
  <c r="H746" i="2"/>
  <c r="H207" i="1"/>
  <c r="H534" i="2"/>
  <c r="H197" i="2"/>
  <c r="H39" i="1"/>
  <c r="H674" i="2"/>
  <c r="H156" i="2"/>
  <c r="H152" i="1"/>
  <c r="H621" i="2"/>
  <c r="H740" i="2"/>
  <c r="H341" i="2"/>
  <c r="H622" i="2"/>
  <c r="H155" i="2"/>
  <c r="H134" i="1"/>
  <c r="H18" i="2"/>
  <c r="H216" i="2"/>
  <c r="I22" i="1"/>
  <c r="H236" i="2"/>
  <c r="I144" i="1"/>
  <c r="H144" i="1"/>
  <c r="H697" i="2"/>
  <c r="I66" i="1"/>
  <c r="I277" i="1"/>
  <c r="H680" i="2"/>
  <c r="H94" i="1"/>
  <c r="I260" i="1"/>
  <c r="H101" i="1"/>
  <c r="I244" i="1"/>
  <c r="I100" i="1"/>
  <c r="H100" i="1"/>
  <c r="H100" i="2"/>
  <c r="H116" i="1"/>
  <c r="I116" i="1"/>
  <c r="H116" i="2"/>
  <c r="H520" i="2"/>
  <c r="H56" i="1"/>
  <c r="I56" i="1"/>
  <c r="H56" i="2"/>
  <c r="H53" i="2"/>
  <c r="H478" i="2"/>
  <c r="H45" i="2"/>
  <c r="H33" i="1"/>
  <c r="I130" i="1"/>
  <c r="H179" i="1"/>
  <c r="H830" i="2"/>
  <c r="I223" i="1"/>
  <c r="H381" i="2"/>
  <c r="H454" i="2"/>
  <c r="H384" i="2"/>
  <c r="H435" i="2"/>
  <c r="I203" i="1"/>
  <c r="H202" i="1"/>
  <c r="H692" i="2"/>
  <c r="H84" i="2"/>
  <c r="H75" i="1"/>
  <c r="H321" i="2"/>
  <c r="I282" i="1"/>
  <c r="I186" i="1"/>
  <c r="H16" i="2"/>
  <c r="H149" i="1"/>
  <c r="H678" i="2"/>
  <c r="H195" i="1"/>
  <c r="H389" i="2"/>
  <c r="I131" i="1"/>
  <c r="I31" i="1"/>
  <c r="I33" i="1"/>
  <c r="H59" i="1"/>
  <c r="H130" i="2"/>
  <c r="H267" i="1"/>
  <c r="H104" i="1"/>
  <c r="I140" i="1"/>
  <c r="I29" i="1"/>
  <c r="I228" i="1"/>
  <c r="H180" i="1"/>
  <c r="I182" i="1"/>
  <c r="H679" i="2"/>
  <c r="I147" i="1"/>
  <c r="I128" i="1"/>
  <c r="H141" i="2"/>
  <c r="H47" i="1"/>
  <c r="I211" i="1"/>
  <c r="H77" i="1"/>
  <c r="H226" i="1"/>
  <c r="H427" i="2"/>
  <c r="H127" i="1"/>
  <c r="I59" i="1"/>
  <c r="H691" i="2"/>
  <c r="I104" i="1"/>
  <c r="H140" i="1"/>
  <c r="H30" i="2"/>
  <c r="I190" i="1"/>
  <c r="H193" i="1"/>
  <c r="I218" i="1"/>
  <c r="H258" i="1"/>
  <c r="H405" i="2"/>
  <c r="H128" i="1"/>
  <c r="H135" i="1"/>
  <c r="I47" i="1"/>
  <c r="H211" i="1"/>
  <c r="H77" i="2"/>
  <c r="I279" i="1"/>
  <c r="H451" i="2"/>
  <c r="H213" i="1"/>
  <c r="H127" i="2"/>
  <c r="H74" i="2"/>
  <c r="H81" i="2"/>
  <c r="H623" i="2"/>
  <c r="H36" i="2"/>
  <c r="H114" i="2"/>
  <c r="I270" i="1"/>
  <c r="H201" i="1"/>
  <c r="I150" i="1"/>
  <c r="H325" i="2"/>
  <c r="H350" i="2"/>
  <c r="H203" i="1"/>
  <c r="H365" i="2"/>
  <c r="H268" i="1"/>
  <c r="I84" i="1"/>
  <c r="H75" i="2"/>
  <c r="I168" i="1"/>
  <c r="H282" i="1"/>
  <c r="H394" i="2"/>
  <c r="B7" i="9" l="1" a="1"/>
  <c r="B7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<sst xmlns="http://schemas.openxmlformats.org/spreadsheetml/2006/main" count="6142" uniqueCount="598">
  <si>
    <t>CODIGO</t>
  </si>
  <si>
    <t>PRODUCTO</t>
  </si>
  <si>
    <t>CATEGORIA</t>
  </si>
  <si>
    <t>UNIDAD</t>
  </si>
  <si>
    <t>STOCK MINIMO</t>
  </si>
  <si>
    <t>EXISTENCIA ACTUAL</t>
  </si>
  <si>
    <t>ALMACEN</t>
  </si>
  <si>
    <t>PROVIENE</t>
  </si>
  <si>
    <t>CONDICION</t>
  </si>
  <si>
    <t>CONDICIÓN</t>
  </si>
  <si>
    <t>LISTADO DE PRODUCTO</t>
  </si>
  <si>
    <t>FECHA</t>
  </si>
  <si>
    <t xml:space="preserve">ALMACEN </t>
  </si>
  <si>
    <t>CANTIDAD</t>
  </si>
  <si>
    <t>DESCRIPCION TRABAJO</t>
  </si>
  <si>
    <t>QUIEN ENTREGA</t>
  </si>
  <si>
    <t>QUIEN RECIBE</t>
  </si>
  <si>
    <t>FERRETERIA</t>
  </si>
  <si>
    <t>CARPINTERIA</t>
  </si>
  <si>
    <t>HERRAMIENTAS</t>
  </si>
  <si>
    <t>SEÑALIZACION</t>
  </si>
  <si>
    <t>UTILES DE ESCRITORIO</t>
  </si>
  <si>
    <t>MAQUINARIA</t>
  </si>
  <si>
    <t>AGREGADOS</t>
  </si>
  <si>
    <t>IMPLEMENTOS DE SEGURIDAD</t>
  </si>
  <si>
    <t>LADRILLOS</t>
  </si>
  <si>
    <t>COMBUSTIBLE</t>
  </si>
  <si>
    <t>INSTALACIONES ELECTRICAS</t>
  </si>
  <si>
    <t>PAR</t>
  </si>
  <si>
    <t>KILOS</t>
  </si>
  <si>
    <t>PAQUETE</t>
  </si>
  <si>
    <t>METROS</t>
  </si>
  <si>
    <t>M3</t>
  </si>
  <si>
    <t xml:space="preserve">LITROS </t>
  </si>
  <si>
    <t>GALONES</t>
  </si>
  <si>
    <t>SACOS</t>
  </si>
  <si>
    <t>KG</t>
  </si>
  <si>
    <t>PQTE</t>
  </si>
  <si>
    <t>UNI</t>
  </si>
  <si>
    <t>MT</t>
  </si>
  <si>
    <t>LTS</t>
  </si>
  <si>
    <t>GLN</t>
  </si>
  <si>
    <t>SAC</t>
  </si>
  <si>
    <t>SIMBOLO</t>
  </si>
  <si>
    <t>COMPRA</t>
  </si>
  <si>
    <t>ALMACEN CENTRAL</t>
  </si>
  <si>
    <t xml:space="preserve">USADO </t>
  </si>
  <si>
    <t>NUEVO</t>
  </si>
  <si>
    <t>NRO REQUERIMIENTO</t>
  </si>
  <si>
    <t>AREA REQUERIMIENTO</t>
  </si>
  <si>
    <t>Pantalon jeans varon  M/Jusbrend T/34</t>
  </si>
  <si>
    <t>ALMACEN TICAPAMPA</t>
  </si>
  <si>
    <t>Pantalon jeans varon  M/Jusbrend T/32</t>
  </si>
  <si>
    <t>Pantalon jeans dama s/marca T/30</t>
  </si>
  <si>
    <t>Pantalon jeans dama s/marca T/32</t>
  </si>
  <si>
    <t>Pantalon jeans dama s/maca T/34</t>
  </si>
  <si>
    <t>Chaleco Steel Power T/2XL</t>
  </si>
  <si>
    <t>Chaleco Steel Power T/L</t>
  </si>
  <si>
    <t>Chaleco Steel Power T/M</t>
  </si>
  <si>
    <t>Camisa varon Fort Sport T/L</t>
  </si>
  <si>
    <t>Camisa varon Fort Sport T/XL</t>
  </si>
  <si>
    <t>Camisa dama Fort Sport T/M</t>
  </si>
  <si>
    <t>Camisa dama Fort Sport T/L</t>
  </si>
  <si>
    <t>Pantalon jeans varon m/Jusbrend T/36</t>
  </si>
  <si>
    <t>Zapato de seguridad Hunter T/40</t>
  </si>
  <si>
    <t>Zapato de seguridad Hunter T/41</t>
  </si>
  <si>
    <t>Zapato de seguridad Hunter T/42</t>
  </si>
  <si>
    <t>Casco de seguridad blanco 3M</t>
  </si>
  <si>
    <t>Casco de seguridad plomo Asthers</t>
  </si>
  <si>
    <t>Casco de seguridad azul Asthers</t>
  </si>
  <si>
    <t>Casco de seguridad amarillo Asthers</t>
  </si>
  <si>
    <t>ROLLO</t>
  </si>
  <si>
    <t>ROL</t>
  </si>
  <si>
    <t>Malla de seguridad 1m x 50yds Spro</t>
  </si>
  <si>
    <t>Pala redonda 71cm Tramontina</t>
  </si>
  <si>
    <t>Lentes de seguridad luna blanca Spro Startec</t>
  </si>
  <si>
    <t>Mascarilla kn95 3M</t>
  </si>
  <si>
    <t>Cubre barbilla Tridente</t>
  </si>
  <si>
    <t>Lentes de seguridad luna blanca Clute/Astros</t>
  </si>
  <si>
    <t>Lentes de seguridad luna oscura Clute/Astros</t>
  </si>
  <si>
    <t>Cinta de seguridad No Pasar</t>
  </si>
  <si>
    <t>Guantes de seguridad Winsafety T/8</t>
  </si>
  <si>
    <t>Chaleco drill T/L</t>
  </si>
  <si>
    <t>Chaleco drill T/XL</t>
  </si>
  <si>
    <t>Chaleco drill T/XXL</t>
  </si>
  <si>
    <t>Accesorio para el casco</t>
  </si>
  <si>
    <t>Guante de latex #25 Frotex T/9</t>
  </si>
  <si>
    <t>DOCUMENTO INGRESO</t>
  </si>
  <si>
    <t>DOCUMENTO SALIDA</t>
  </si>
  <si>
    <t>Plancha de Triplay 4mm</t>
  </si>
  <si>
    <t>CLAVOS</t>
  </si>
  <si>
    <t>ALAMBRES Y FIERROS</t>
  </si>
  <si>
    <t>Alambre #16</t>
  </si>
  <si>
    <t>Alambre #8</t>
  </si>
  <si>
    <t>Clavo para madera 2" con cabeza</t>
  </si>
  <si>
    <t>CAJA</t>
  </si>
  <si>
    <t>CAJ</t>
  </si>
  <si>
    <t>Clavo para madera 3" con cabeza</t>
  </si>
  <si>
    <t>Implementación del campamento</t>
  </si>
  <si>
    <t>.</t>
  </si>
  <si>
    <t>0 = Existencia actual AGOTADA</t>
  </si>
  <si>
    <t>1= Existencia actual &lt; minima</t>
  </si>
  <si>
    <t>2= ninguna de las anteriores</t>
  </si>
  <si>
    <t>STATUS</t>
  </si>
  <si>
    <t>GESTION DE INVENTARIO</t>
  </si>
  <si>
    <t>CONSORCIO FORTALEZA - FSA CONSTRUCTORA E.I.R.L</t>
  </si>
  <si>
    <t>CONCATENAR</t>
  </si>
  <si>
    <t>UE</t>
  </si>
  <si>
    <t>IE</t>
  </si>
  <si>
    <t>MQ</t>
  </si>
  <si>
    <t>CAR</t>
  </si>
  <si>
    <t>COM</t>
  </si>
  <si>
    <t>FER</t>
  </si>
  <si>
    <t>SEÑ</t>
  </si>
  <si>
    <t>AGR</t>
  </si>
  <si>
    <t>CEM</t>
  </si>
  <si>
    <t>LAD</t>
  </si>
  <si>
    <t>CLA</t>
  </si>
  <si>
    <t>HM</t>
  </si>
  <si>
    <t>IS</t>
  </si>
  <si>
    <t>AF</t>
  </si>
  <si>
    <t>ELECTRONICA</t>
  </si>
  <si>
    <t>ROPA</t>
  </si>
  <si>
    <t>EL</t>
  </si>
  <si>
    <t>RO</t>
  </si>
  <si>
    <t>Clavo para madera 4" con cabeza</t>
  </si>
  <si>
    <t>Clavo para madera 1" con cabeza</t>
  </si>
  <si>
    <t>Cable mellizo #12</t>
  </si>
  <si>
    <t>Soquete para techo</t>
  </si>
  <si>
    <t>Tomacorriente doble</t>
  </si>
  <si>
    <t>Interruptor simple</t>
  </si>
  <si>
    <t>Cable electrico #14</t>
  </si>
  <si>
    <t>Reducción chavo hilo fino con salida 1/2"</t>
  </si>
  <si>
    <t>INSTALACIONES SANITARIAS</t>
  </si>
  <si>
    <t>ISA</t>
  </si>
  <si>
    <t>Tubo de PVC  1/2" agua</t>
  </si>
  <si>
    <t>Codo de PVC 1/2" x 90° agua</t>
  </si>
  <si>
    <t>Tee de PVC 1/2"x1/2" agua</t>
  </si>
  <si>
    <t>Adex en lata</t>
  </si>
  <si>
    <t>Cinta teflon</t>
  </si>
  <si>
    <t>Soquete para sobreponer</t>
  </si>
  <si>
    <t>Tomacorriente doble sobreponer</t>
  </si>
  <si>
    <t>Union universal de PVC 1/2" agua</t>
  </si>
  <si>
    <t>Plancha de calamina galvanizada</t>
  </si>
  <si>
    <t>UTILES DE CAMA</t>
  </si>
  <si>
    <t>UTC</t>
  </si>
  <si>
    <t>Colchon Paraiso 1.5 plz</t>
  </si>
  <si>
    <t>Cama madera 1.5 plz</t>
  </si>
  <si>
    <t>OTROS</t>
  </si>
  <si>
    <t>OTR</t>
  </si>
  <si>
    <t>Plastico D/C 80</t>
  </si>
  <si>
    <t xml:space="preserve">Malla raschel </t>
  </si>
  <si>
    <t>Tela Arpillera</t>
  </si>
  <si>
    <t>PREC. UNITARIO</t>
  </si>
  <si>
    <t>PREC. VENTA</t>
  </si>
  <si>
    <t>Sello rectangular Shiny S-843 residente obra</t>
  </si>
  <si>
    <t>Sello redondo Shiny R-524 residente obra</t>
  </si>
  <si>
    <t>Sello rectangular Shiny S-843 representante</t>
  </si>
  <si>
    <t>Sello rectangular Shiny S-843 logistico</t>
  </si>
  <si>
    <t>Sello rectangular Shiny S-843 almacenero</t>
  </si>
  <si>
    <t>Sello rectangular Shiny S-843 calidad</t>
  </si>
  <si>
    <t>Sello rectangular Shiny S-843 maestro obra</t>
  </si>
  <si>
    <t>Sello rectangular Shiny S-843 salud</t>
  </si>
  <si>
    <t>Sello rectangular Shiny S-827 recibido</t>
  </si>
  <si>
    <t>Sello rectangular Shiny S-843 recibido</t>
  </si>
  <si>
    <t>Perforador metalico semi industrial LP-50 Layconsa</t>
  </si>
  <si>
    <t xml:space="preserve">Cuaderno de cargo </t>
  </si>
  <si>
    <t>Papel adhesivo mate Twins A4</t>
  </si>
  <si>
    <t>Sobre manila Grafi papel 75g oficio</t>
  </si>
  <si>
    <t>Folder A4 grafi papel crema</t>
  </si>
  <si>
    <t>Folder A4 mundicolor rojo</t>
  </si>
  <si>
    <t>Folder A4 mundicolor azul</t>
  </si>
  <si>
    <t>Folder A4 mundicolor verde</t>
  </si>
  <si>
    <t>Cinta Adhesiva gruesa Shurtape</t>
  </si>
  <si>
    <t>Resaltador vikingo VK48</t>
  </si>
  <si>
    <t>Tijeras Artesco 17cm</t>
  </si>
  <si>
    <t>Fundas portapapeles de plastico inti</t>
  </si>
  <si>
    <t>Fastener metal vinifan</t>
  </si>
  <si>
    <t>Lapiceros faber castell azul trilux 035</t>
  </si>
  <si>
    <t>Almohadilla para sellos Artesco (tampon azul)</t>
  </si>
  <si>
    <t xml:space="preserve">Cuaderno tapa dura Ray Peru </t>
  </si>
  <si>
    <t>Tablero para soporte de papel</t>
  </si>
  <si>
    <t>Binder clips 41mm ar-03803</t>
  </si>
  <si>
    <t>Borrador Faber castell PVC FREE</t>
  </si>
  <si>
    <t>Lapiz Artesco grafito 2B</t>
  </si>
  <si>
    <t>Fastener metal Artesco E10</t>
  </si>
  <si>
    <t>Lapicero Pilot borrable azul</t>
  </si>
  <si>
    <t>Almohadilla Dactilar Artesco (huellero)</t>
  </si>
  <si>
    <t>Almohadilla para sellos Artesco (tampon negro)</t>
  </si>
  <si>
    <t>Engrapador Artesco M-526</t>
  </si>
  <si>
    <t>Regla metalica 30cm</t>
  </si>
  <si>
    <t>Tinta para tampon (azul 30ml)</t>
  </si>
  <si>
    <t>Tinta para tampon (negro 30ml)</t>
  </si>
  <si>
    <t>Tajador con deposito Maped</t>
  </si>
  <si>
    <t>Notas Adhesivas (posit)</t>
  </si>
  <si>
    <t>Cuaderno con espiral pequeño Markbook</t>
  </si>
  <si>
    <t>Humecedor dactilar Artesco</t>
  </si>
  <si>
    <t>Clips normales metalicos Artesco 33mm</t>
  </si>
  <si>
    <t>Clips mariposa Artesco 45mm</t>
  </si>
  <si>
    <t>Plumon Faber Castell Jumbo 123 rojo</t>
  </si>
  <si>
    <t>Plumon Faber Castell Jumbo 123 azul</t>
  </si>
  <si>
    <t>Plumon Faber Castell Jumbo 123 negro</t>
  </si>
  <si>
    <t xml:space="preserve">           </t>
  </si>
  <si>
    <t>Cuaderno Universitario Stanford</t>
  </si>
  <si>
    <t>Goma en barra UHU Stick 40g</t>
  </si>
  <si>
    <t>Mota para pizarra</t>
  </si>
  <si>
    <t>Cinta pequeña Shurtape (cintascocht)</t>
  </si>
  <si>
    <t>Separadores adhesivosXing li</t>
  </si>
  <si>
    <t>UTILES LIMPIEZA</t>
  </si>
  <si>
    <t>ULI</t>
  </si>
  <si>
    <t>Basurero plastico D2860 L&amp;Q</t>
  </si>
  <si>
    <t>Huincha lona 30m Utustools</t>
  </si>
  <si>
    <t>Mascarilla M&amp;A 3Pliegues</t>
  </si>
  <si>
    <t>Ligas gruesa victoria 140 x 10mm</t>
  </si>
  <si>
    <t>BOLSA</t>
  </si>
  <si>
    <t>BLS</t>
  </si>
  <si>
    <t>Ligas delgadas Victoria #18</t>
  </si>
  <si>
    <t>Pizarra acrilica</t>
  </si>
  <si>
    <t>Obra</t>
  </si>
  <si>
    <t>N°</t>
  </si>
  <si>
    <t>RESPONSABLE</t>
  </si>
  <si>
    <t>CANTIDAD ENTREGADA</t>
  </si>
  <si>
    <t>COD PRODUCTO</t>
  </si>
  <si>
    <t>DESCRIPCION PRODUCTO</t>
  </si>
  <si>
    <t>A QUIEN SE ENTRGA</t>
  </si>
  <si>
    <t xml:space="preserve">DESCRIPCION PRODUCTO </t>
  </si>
  <si>
    <t>MATERIAL</t>
  </si>
  <si>
    <t>EPP</t>
  </si>
  <si>
    <t>FORMULA</t>
  </si>
  <si>
    <t>NOMBRE:</t>
  </si>
  <si>
    <t>RESPONSABLE:</t>
  </si>
  <si>
    <t>ENTREGA DE MATERIALES E IMPLEMENTOS</t>
  </si>
  <si>
    <t>CONSORCIO FORTALEZA   -  FSA CONSTRUCTORA E.I.R.L.</t>
  </si>
  <si>
    <t>FECHA:</t>
  </si>
  <si>
    <t>FIRMA RESPONSABLE</t>
  </si>
  <si>
    <t>FIRMA QUIEN RECIBE</t>
  </si>
  <si>
    <t>NAVARRO LOZANO, ANGEL JAROL</t>
  </si>
  <si>
    <t>OBRERO</t>
  </si>
  <si>
    <t>PEON</t>
  </si>
  <si>
    <t>JEREMIAS PALOMINO, NORBERTO LEONCIO</t>
  </si>
  <si>
    <t>LOZANO MALDONADO, HERNAN</t>
  </si>
  <si>
    <t>PIÑA CHUJANDAMA, KEVIN</t>
  </si>
  <si>
    <t>MAYTAHUARI ACOSTA, SAMMER AXEL</t>
  </si>
  <si>
    <t>OPERARIO</t>
  </si>
  <si>
    <t>CORDOVA ANGULO, JUAN</t>
  </si>
  <si>
    <t>ROJAS SANDOVAL, JAVIER ELOY</t>
  </si>
  <si>
    <t>OPERARIO/VOLQUETERO</t>
  </si>
  <si>
    <t>CHINO PILCO SIMON</t>
  </si>
  <si>
    <t>00487377</t>
  </si>
  <si>
    <t>PEON/CHOFER</t>
  </si>
  <si>
    <t>ACUACHI LANCHIPA, ERNESTO ALONSO</t>
  </si>
  <si>
    <t>PERSONAL NO CLAVE</t>
  </si>
  <si>
    <t>LOGISTICO</t>
  </si>
  <si>
    <t>ALEJO CHARCA, DENNYS MIRIAM</t>
  </si>
  <si>
    <t>PERSONAL CLAVE</t>
  </si>
  <si>
    <t>ING. CALIDAD</t>
  </si>
  <si>
    <t>SILVA BORDA, ARLETTE NINOSKA</t>
  </si>
  <si>
    <t>ASIS. ING.</t>
  </si>
  <si>
    <t>ADUVIRE ARGUATA, MARIO ARTURO</t>
  </si>
  <si>
    <t>MAESTRO OBRA</t>
  </si>
  <si>
    <t>SALAZAR BAZAN, ROCÍO DALILA</t>
  </si>
  <si>
    <t>RESIDENTE</t>
  </si>
  <si>
    <t>CHACON ORTIZ, JOSE ANTONIO</t>
  </si>
  <si>
    <t>00515241</t>
  </si>
  <si>
    <t>CARPINTERO</t>
  </si>
  <si>
    <t xml:space="preserve">ORDOÑEZ CONDORI, GILBERTO </t>
  </si>
  <si>
    <t>NOMBRES</t>
  </si>
  <si>
    <t>DNI</t>
  </si>
  <si>
    <t>CLASE</t>
  </si>
  <si>
    <t>CARGO</t>
  </si>
  <si>
    <t>ERNESTO ACUACHI LANCHIPA</t>
  </si>
  <si>
    <t>Cortaviento diferentes colores</t>
  </si>
  <si>
    <t>Gasolina regular</t>
  </si>
  <si>
    <t>CONSTRUCCION</t>
  </si>
  <si>
    <t>Grapas para pared</t>
  </si>
  <si>
    <t>ELECTRICIDAD</t>
  </si>
  <si>
    <t>NOTA PEDIDO</t>
  </si>
  <si>
    <t>F001-00010848</t>
  </si>
  <si>
    <t>CORTAR FIERRO</t>
  </si>
  <si>
    <t>Llave de paso 1"</t>
  </si>
  <si>
    <t>GASFITERIA</t>
  </si>
  <si>
    <t>Colocar tanque negro</t>
  </si>
  <si>
    <t>Gasfiteria</t>
  </si>
  <si>
    <t>Pegamento Nicoll 1/16</t>
  </si>
  <si>
    <t>sellar los chavos para el combustible</t>
  </si>
  <si>
    <t>Bidones de agua 20 lt</t>
  </si>
  <si>
    <t>agua para obreros</t>
  </si>
  <si>
    <t>RETORNO</t>
  </si>
  <si>
    <t>HORA DE SALIDA</t>
  </si>
  <si>
    <t>HORA DE INGRESO</t>
  </si>
  <si>
    <t>CON RETORNO</t>
  </si>
  <si>
    <t>SIN RETORNO</t>
  </si>
  <si>
    <t>FECHA RETORNO</t>
  </si>
  <si>
    <t>Amoladora mano 9" Bosch, MD/3601HF40E0 2500W</t>
  </si>
  <si>
    <t>Disco de corte amoladora  71/16" kulkoni metal</t>
  </si>
  <si>
    <t>Disco de corte amoladora 9" bosch</t>
  </si>
  <si>
    <t xml:space="preserve">Petroleo </t>
  </si>
  <si>
    <t>GUIA REM</t>
  </si>
  <si>
    <t>Abastecimiento de Excavadora</t>
  </si>
  <si>
    <t>VILLEGAS ROGER</t>
  </si>
  <si>
    <t>Poleras manga larga ploma</t>
  </si>
  <si>
    <t>GUTARATE SABINO, ADRIEL ANTONY</t>
  </si>
  <si>
    <t xml:space="preserve">QUISPE LIMACHE, ROGELIO </t>
  </si>
  <si>
    <t xml:space="preserve">APASTEGUI GRANDEZ, LUIS ALFREDO </t>
  </si>
  <si>
    <t>LOZA, GUILLERMO</t>
  </si>
  <si>
    <t>TOPOGRAFO</t>
  </si>
  <si>
    <t>se entrego a Erick</t>
  </si>
  <si>
    <t>CACERES CALACHUA, YEYSON JORGE</t>
  </si>
  <si>
    <t>ACOSTA ROJAS, JOSEPH ALFONSO</t>
  </si>
  <si>
    <t>REPRESENTANTE</t>
  </si>
  <si>
    <t>B001-001029</t>
  </si>
  <si>
    <t>Reduccion tubo de 2 a 1"</t>
  </si>
  <si>
    <t>Tarraja de 1"</t>
  </si>
  <si>
    <t>Ocre</t>
  </si>
  <si>
    <t>Disco de corte madera para circular 6"</t>
  </si>
  <si>
    <t>Cable mellizo #12 por metros</t>
  </si>
  <si>
    <t>Entrega de EPP a Joseph</t>
  </si>
  <si>
    <t>Entrega de EPP a Yeyson Caceres</t>
  </si>
  <si>
    <t>Entrega de EPP</t>
  </si>
  <si>
    <t>Entrega de epp</t>
  </si>
  <si>
    <t>Ingreso a Inventario</t>
  </si>
  <si>
    <t>Entrega de Epp</t>
  </si>
  <si>
    <t>Entrrega de Epp</t>
  </si>
  <si>
    <t>TUANAMA PILCO, CRHIS</t>
  </si>
  <si>
    <t>epp</t>
  </si>
  <si>
    <t>hojas bond milleniun 75g</t>
  </si>
  <si>
    <t>Manguera 1/2"</t>
  </si>
  <si>
    <t>Manguera 1"</t>
  </si>
  <si>
    <t>Manguera Nivel</t>
  </si>
  <si>
    <t>Saca sarro acido sapolio</t>
  </si>
  <si>
    <t>Cloro sapolio</t>
  </si>
  <si>
    <t>Jabon liquido</t>
  </si>
  <si>
    <t>BOTELLA</t>
  </si>
  <si>
    <t>BT</t>
  </si>
  <si>
    <t>cortar fierro</t>
  </si>
  <si>
    <t xml:space="preserve">Acido extrafuerte </t>
  </si>
  <si>
    <t xml:space="preserve">Pegamento para tubo Oatey </t>
  </si>
  <si>
    <t>Arnes de seguridad</t>
  </si>
  <si>
    <t xml:space="preserve">YEANCARLO </t>
  </si>
  <si>
    <t>Pantalon jeans dama, s/marca T/28</t>
  </si>
  <si>
    <t>Cortar Fierro</t>
  </si>
  <si>
    <t>Cinta de seguridad No Pasar rojo</t>
  </si>
  <si>
    <t>Extintor 9kg</t>
  </si>
  <si>
    <t xml:space="preserve">Juegos de dados M/Stanley </t>
  </si>
  <si>
    <t>Juego de exagonales M/Stanley</t>
  </si>
  <si>
    <t>Frazadas</t>
  </si>
  <si>
    <t>sabanas</t>
  </si>
  <si>
    <t>Barra construccion ASTM grado 60 1/2" x 9m</t>
  </si>
  <si>
    <t>FIERRERIA</t>
  </si>
  <si>
    <t>Barra construccion ASTM grado 60 5/8" x 9m</t>
  </si>
  <si>
    <t>fierreria</t>
  </si>
  <si>
    <t>barra construccion ASTM grado 60 3/8" x 9m</t>
  </si>
  <si>
    <t>GR T046-0020768</t>
  </si>
  <si>
    <t>OJO FALTAN 7 SEGÚN GUIA ES 960</t>
  </si>
  <si>
    <t>OJO FALTAN 36 SEGÚN GUIA ES 1260</t>
  </si>
  <si>
    <t>AGUA</t>
  </si>
  <si>
    <t>AGU</t>
  </si>
  <si>
    <t>Agua Vital 20lt</t>
  </si>
  <si>
    <t>Llanta 160/157k</t>
  </si>
  <si>
    <t xml:space="preserve">para informe </t>
  </si>
  <si>
    <t>para almacen</t>
  </si>
  <si>
    <t>para residencia</t>
  </si>
  <si>
    <t>para area fierreria</t>
  </si>
  <si>
    <t>para fierreria</t>
  </si>
  <si>
    <t>UTILES ESCRITORIO</t>
  </si>
  <si>
    <t>PAQ</t>
  </si>
  <si>
    <t>RESIDENCIA</t>
  </si>
  <si>
    <t>Esparragos para encofrado</t>
  </si>
  <si>
    <t>Archivador</t>
  </si>
  <si>
    <t>Soga de vida</t>
  </si>
  <si>
    <t>Compactadora M/Kohler</t>
  </si>
  <si>
    <t>Compresora M/Truper</t>
  </si>
  <si>
    <t>Compresora C&amp;A Pro</t>
  </si>
  <si>
    <t>Tubo de PVC 1" luz</t>
  </si>
  <si>
    <t>Cable Vulcanizado</t>
  </si>
  <si>
    <t>electricista</t>
  </si>
  <si>
    <t>Extension</t>
  </si>
  <si>
    <t>Disco de corte fierro 14" M/Dewalt</t>
  </si>
  <si>
    <t>Foco simple blanco Opalux 15W</t>
  </si>
  <si>
    <t>Vestuario</t>
  </si>
  <si>
    <t>Fierreria</t>
  </si>
  <si>
    <t>area carpinteria</t>
  </si>
  <si>
    <t>residencia</t>
  </si>
  <si>
    <t>almacen</t>
  </si>
  <si>
    <t>Disco de corte de metal M/Bosch 7"</t>
  </si>
  <si>
    <t>Disco de corte de metal 4 1/2" M/Total</t>
  </si>
  <si>
    <t>Carpinteria</t>
  </si>
  <si>
    <t>Taladro M/Total</t>
  </si>
  <si>
    <t>Cortadora de Fierro M/total</t>
  </si>
  <si>
    <t>cortadora de madera M/Ferton</t>
  </si>
  <si>
    <t>Amoladora M/total 7"</t>
  </si>
  <si>
    <t xml:space="preserve">Amoladora M/total 4" </t>
  </si>
  <si>
    <t>Amoladora M/Dong Sheng 9"</t>
  </si>
  <si>
    <t>Rotomartillo M/Redbo</t>
  </si>
  <si>
    <t>Juego de Llaves 14pcs ferrawy</t>
  </si>
  <si>
    <t>Juego brocas plano  M/truper 3/8"</t>
  </si>
  <si>
    <t>Juego brocas plano M/truper 1/2"</t>
  </si>
  <si>
    <t>Juego brocas plano M/truper 5/8"</t>
  </si>
  <si>
    <t>Juego brocas plano M/truper 3/4"</t>
  </si>
  <si>
    <t>Juego brocas plano M/truper 7/8"</t>
  </si>
  <si>
    <t>Juego brocas plano M/truper 1"</t>
  </si>
  <si>
    <t>Juego brocas M/Truper</t>
  </si>
  <si>
    <t>Juego brocas punta guia M/Truper</t>
  </si>
  <si>
    <t>Disco de corte metal 7" M/Total</t>
  </si>
  <si>
    <t>Disco de corte metal 9" M/Total</t>
  </si>
  <si>
    <t>Juego de brocas M/Total</t>
  </si>
  <si>
    <t xml:space="preserve">Pulpo </t>
  </si>
  <si>
    <t>Enchufe industrial macho</t>
  </si>
  <si>
    <t>Enchufe industrial hembra</t>
  </si>
  <si>
    <t>Guantes de Cuero</t>
  </si>
  <si>
    <t>Clavo de calamina techo</t>
  </si>
  <si>
    <t>BOL</t>
  </si>
  <si>
    <t>Baldes Plastico 20lt</t>
  </si>
  <si>
    <t>USADO</t>
  </si>
  <si>
    <t>Baldes Pequeños</t>
  </si>
  <si>
    <t>Surtidor de combustible manual</t>
  </si>
  <si>
    <t xml:space="preserve">Fajas A51 </t>
  </si>
  <si>
    <t>fajas A40</t>
  </si>
  <si>
    <t>Fajas A65</t>
  </si>
  <si>
    <t>banco de corte</t>
  </si>
  <si>
    <t>Residencia</t>
  </si>
  <si>
    <t>Corrector M/Twins tipo lapicero</t>
  </si>
  <si>
    <t>Seguridad</t>
  </si>
  <si>
    <t>ERICK LLEVO PARA ILABAYA</t>
  </si>
  <si>
    <t>Protector de oidos M/Spro para casco, M/ACV</t>
  </si>
  <si>
    <t>Tapones de oido M/clute Elite, Mod:JY090C</t>
  </si>
  <si>
    <t>Capuchones para fierro</t>
  </si>
  <si>
    <t>Circular de mano M/Bauker Md:3285</t>
  </si>
  <si>
    <t>Tiralinea M/Truper 30m</t>
  </si>
  <si>
    <t>Topografo</t>
  </si>
  <si>
    <t>Plomada</t>
  </si>
  <si>
    <t>Flexometro Huincha 10m M/Utustools flg9010</t>
  </si>
  <si>
    <t>Cordel de Nylon 100m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</si>
  <si>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</si>
  <si>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Valvula de pie 1"</t>
  </si>
  <si>
    <t>Codo de PVC 1" x 90° agua</t>
  </si>
  <si>
    <t>TEE de PVC 1" agua</t>
  </si>
  <si>
    <t>Tapon macho 1"</t>
  </si>
  <si>
    <t>Niples 1"</t>
  </si>
  <si>
    <t>instalacion bomba</t>
  </si>
  <si>
    <t>valvula de pie 1 1/2"</t>
  </si>
  <si>
    <t>Codo de PVC 1 1/2 x 90° agua</t>
  </si>
  <si>
    <t>TEE de PVC 1 1/2" agua</t>
  </si>
  <si>
    <t>Llave de paso 1 1/2"</t>
  </si>
  <si>
    <t>Tapon macho 1 1/2"</t>
  </si>
  <si>
    <t>Niples 1 1/2"</t>
  </si>
  <si>
    <t>Nivel de mano</t>
  </si>
  <si>
    <t>Pernos 3/8"</t>
  </si>
  <si>
    <t>Cinta Aislante</t>
  </si>
  <si>
    <t>cambio epp</t>
  </si>
  <si>
    <t>MAQUERA QUISPE, LEONIDAS EDWIN</t>
  </si>
  <si>
    <t>OSMAR</t>
  </si>
  <si>
    <t>ING. SEGURIDAD</t>
  </si>
  <si>
    <t xml:space="preserve">Paños de microfibra </t>
  </si>
  <si>
    <t>Cinta Maskingtape M/Shurtape</t>
  </si>
  <si>
    <t>hojas A4 Amarillas</t>
  </si>
  <si>
    <t>Lapicero borrable azul M/Faber Castell</t>
  </si>
  <si>
    <t>Marcador Permanente 421S</t>
  </si>
  <si>
    <t>Separadores adhesivos Artesco</t>
  </si>
  <si>
    <t>Separador adhesivo Twins</t>
  </si>
  <si>
    <t>Hojas A3 M/Chamex 75g</t>
  </si>
  <si>
    <t>Electrodos M/Nazca</t>
  </si>
  <si>
    <t>SOLDADURA</t>
  </si>
  <si>
    <t>SOL</t>
  </si>
  <si>
    <t>Soldar Caballetes</t>
  </si>
  <si>
    <t>nombre</t>
  </si>
  <si>
    <t>fecha</t>
  </si>
  <si>
    <t>formula</t>
  </si>
  <si>
    <t>Reflectores M/Lunnova 300watts</t>
  </si>
  <si>
    <t>trabajo nocturno</t>
  </si>
  <si>
    <t>para los reflectores</t>
  </si>
  <si>
    <t>CODIGO PRODUCTO</t>
  </si>
  <si>
    <t>ACUACHI LANCHIPA ERNESTO ALONSO</t>
  </si>
  <si>
    <t>ADUVIRE ARGUATA, MARIO ARTURO-19/09/2025</t>
  </si>
  <si>
    <t>Armar reflectores fierreria</t>
  </si>
  <si>
    <t>Ing. Seguridad</t>
  </si>
  <si>
    <t>Grapas artesco</t>
  </si>
  <si>
    <t>Traje de proteccion M/Genesis</t>
  </si>
  <si>
    <t>bolsas de basura 140l</t>
  </si>
  <si>
    <t xml:space="preserve">Botas de Goma </t>
  </si>
  <si>
    <t>basear piso</t>
  </si>
  <si>
    <t>Tintas epson 544 negro</t>
  </si>
  <si>
    <t>tintas epson 544  magenta</t>
  </si>
  <si>
    <t>Tintas epson 544 yellow</t>
  </si>
  <si>
    <t>tintas epson 544 cyan</t>
  </si>
  <si>
    <t>Cemento Yura</t>
  </si>
  <si>
    <t>CEMENTO</t>
  </si>
  <si>
    <t>OBRA</t>
  </si>
  <si>
    <t>Piso almacen y cuadra</t>
  </si>
  <si>
    <t>Devolucion de 80 y prestamo 40</t>
  </si>
  <si>
    <t>baseado de solera</t>
  </si>
  <si>
    <t>prestamo a genus</t>
  </si>
  <si>
    <t>GUTARATE SABINO, RONEL</t>
  </si>
  <si>
    <t>TACANAHUI CALISAYA, NESTOR</t>
  </si>
  <si>
    <t>ROSAS WILSON</t>
  </si>
  <si>
    <t>SALIDA PARA CAMBIO</t>
  </si>
  <si>
    <t>cuadra</t>
  </si>
  <si>
    <t>Prestamo a Erick</t>
  </si>
  <si>
    <t>Zapato de seguridad M/Miner T/42</t>
  </si>
  <si>
    <t>CAMBIO</t>
  </si>
  <si>
    <t>Zapato de seguridad M/Ssarun T/43</t>
  </si>
  <si>
    <t>Sueter manga larga cuello jorge chavez</t>
  </si>
  <si>
    <t>Electrodos M/punto azul</t>
  </si>
  <si>
    <t>kg</t>
  </si>
  <si>
    <t xml:space="preserve">Disco de desgaste M/Truper </t>
  </si>
  <si>
    <t>Botas de Goma T/43</t>
  </si>
  <si>
    <t>Disco de corte de madera de 12''</t>
  </si>
  <si>
    <t>GR EG03-00000394</t>
  </si>
  <si>
    <t>MOGROVEJO FALCON, OSMAR ADOLFO</t>
  </si>
  <si>
    <t>ACOSTA ROJAS, ERICK</t>
  </si>
  <si>
    <t>GR TE07-00001421</t>
  </si>
  <si>
    <t>IMPLEMENTOS DE CALIDAD</t>
  </si>
  <si>
    <t>ICA</t>
  </si>
  <si>
    <t>Cono de Abraham con varilla</t>
  </si>
  <si>
    <t>CALIDAD</t>
  </si>
  <si>
    <t>Badilejo con mango de madera 6"</t>
  </si>
  <si>
    <t xml:space="preserve">Martillo con cabeza de goma </t>
  </si>
  <si>
    <t>Lija de metal #220</t>
  </si>
  <si>
    <t xml:space="preserve">Flexometro Huincha 8m </t>
  </si>
  <si>
    <t>Tanque Cisterna con accesorios 2500litros</t>
  </si>
  <si>
    <t>Cinta aislante negro</t>
  </si>
  <si>
    <t>SEGURIDAD</t>
  </si>
  <si>
    <t>Cinta aislante azul</t>
  </si>
  <si>
    <t>Cinta aislante rojo</t>
  </si>
  <si>
    <t>Cinta aislante blanco</t>
  </si>
  <si>
    <t>Cinta aislante amarillo</t>
  </si>
  <si>
    <t>Cinta aislante verde</t>
  </si>
  <si>
    <t>Fundas portapapeles de plastico artesco</t>
  </si>
  <si>
    <t xml:space="preserve">Resaltador Faber Castell </t>
  </si>
  <si>
    <t>Cinta correctora  Arteso</t>
  </si>
  <si>
    <t>Ing. Calidad</t>
  </si>
  <si>
    <t>obra</t>
  </si>
  <si>
    <t>Zapato de seguridad M/miner T/41</t>
  </si>
  <si>
    <t>Zapato de seguridad M/miner T/40</t>
  </si>
  <si>
    <t>se entrego a erick</t>
  </si>
  <si>
    <t>instalaciones electricas</t>
  </si>
  <si>
    <t>FAC F001-008185</t>
  </si>
  <si>
    <t>GAMARRA CONDORI, ANGEL</t>
  </si>
  <si>
    <t>Guantes de seguridad Winsafety T/9</t>
  </si>
  <si>
    <t>Quedo en maderera Lozano</t>
  </si>
  <si>
    <t>realizar zaranda</t>
  </si>
  <si>
    <t xml:space="preserve">Kramer </t>
  </si>
  <si>
    <t>ingreso a inventario CBB</t>
  </si>
  <si>
    <t>entrego a Erick</t>
  </si>
  <si>
    <t>entrego a Erick(chamo)</t>
  </si>
  <si>
    <t>ROSAS CHACHAQUE, WILSON JHONY</t>
  </si>
  <si>
    <t>Ingreso a inventario</t>
  </si>
  <si>
    <t>FAC F001-007926</t>
  </si>
  <si>
    <t xml:space="preserve">Entrega de EPP </t>
  </si>
  <si>
    <t>GR TE07-00001389</t>
  </si>
  <si>
    <t>FAC FE02-00010639</t>
  </si>
  <si>
    <t>Albañileria</t>
  </si>
  <si>
    <t>QUISPE MAQUERA, MARCO ANTONIO</t>
  </si>
  <si>
    <t>PUMAYALLI LICONA, ENOCH</t>
  </si>
  <si>
    <t>CURMAYARI MANUYAMA, VICTOR RAUL</t>
  </si>
  <si>
    <t>00082335</t>
  </si>
  <si>
    <t>ENTREGA A ERICK</t>
  </si>
  <si>
    <t>seguridad</t>
  </si>
  <si>
    <t>Dormitorio</t>
  </si>
  <si>
    <t>ingreso a inventario</t>
  </si>
  <si>
    <t>Poleras manga larga ploma T/XL</t>
  </si>
  <si>
    <t>OLIVA TARAPA, TOMAS</t>
  </si>
  <si>
    <t>MACHUCA NAVARRO, OMAR</t>
  </si>
  <si>
    <t>COMEDOR</t>
  </si>
  <si>
    <t>Lija de metal #80</t>
  </si>
  <si>
    <t>lapiz bicolor</t>
  </si>
  <si>
    <t>Disco de corte de madera de 7"</t>
  </si>
  <si>
    <t>tecnopor 1"</t>
  </si>
  <si>
    <t>ALBAÑILERIA</t>
  </si>
  <si>
    <t>BALDE</t>
  </si>
  <si>
    <t>Aditivo Impermeabilizante M/Chema LIQUIDO</t>
  </si>
  <si>
    <t>Aditivo Impermeabilizante M/Chema POLVO</t>
  </si>
  <si>
    <t>CURMAYARI GUZMAN, JOFFRE</t>
  </si>
  <si>
    <t>ESCOBAR ARBILDO, GOLBER</t>
  </si>
  <si>
    <t>ESCOBAR ARBILDO, RUSBER</t>
  </si>
  <si>
    <t>CHAVEZ MONTALICO, ISAAC</t>
  </si>
  <si>
    <t>NAVARRO LOZANO, MARCO MANUEL</t>
  </si>
  <si>
    <t>INGRESO a inventario</t>
  </si>
  <si>
    <t>Chinches dorados</t>
  </si>
  <si>
    <t>INGREso a inventario</t>
  </si>
  <si>
    <t>Albañileria (baseado zapata)</t>
  </si>
  <si>
    <t>Silicona M/Kit</t>
  </si>
  <si>
    <t>RETRO</t>
  </si>
  <si>
    <t>Aflojatpdo M/Vistony</t>
  </si>
  <si>
    <t>Filtro M/CAT</t>
  </si>
  <si>
    <t>filtro de gasolina M/CAT 7W-2326</t>
  </si>
  <si>
    <t>Filtro M/CAT 4660-0310</t>
  </si>
  <si>
    <t>Shampoo para autos M/geniox</t>
  </si>
  <si>
    <t>Filtro de aire M/CAT 528-0585</t>
  </si>
  <si>
    <t>retro</t>
  </si>
  <si>
    <t>Disco de corte 4" M/Utustools</t>
  </si>
  <si>
    <t>baseado de zapata</t>
  </si>
  <si>
    <t>Filtrode gasolina para trompo</t>
  </si>
  <si>
    <t>TROMPO</t>
  </si>
  <si>
    <t>Cambio de filtro trompo</t>
  </si>
  <si>
    <t>vestuario</t>
  </si>
  <si>
    <t>ENTREGA EPP</t>
  </si>
  <si>
    <t xml:space="preserve">BAseado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</si>
</sst>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S/&quot;\ #,##0.00;[Red]\-&quot;S/&quot;\ #,##0.00"/>
  </numFmts>
  <fonts count="2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 tint="-0.14999847407452621"/>
      <name val="Aptos Narrow"/>
      <family val="2"/>
      <scheme val="minor"/>
    </font>
    <font>
      <sz val="8"/>
      <name val="Courier New"/>
      <family val="3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CEFE9"/>
        <bgColor rgb="FFECEFE9"/>
      </patternFill>
    </fill>
    <fill>
      <patternFill patternType="solid">
        <fgColor rgb="FFA5B592"/>
        <bgColor rgb="FFA5B59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499984740745262"/>
      </left>
      <right style="thin">
        <color theme="0"/>
      </right>
      <top style="medium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 tint="-0.499984740745262"/>
      </top>
      <bottom style="thin">
        <color theme="0"/>
      </bottom>
      <diagonal/>
    </border>
    <border>
      <left style="thin">
        <color theme="0"/>
      </left>
      <right style="medium">
        <color theme="0" tint="-0.499984740745262"/>
      </right>
      <top style="medium">
        <color theme="0" tint="-0.499984740745262"/>
      </top>
      <bottom style="thin">
        <color theme="0"/>
      </bottom>
      <diagonal/>
    </border>
    <border>
      <left style="medium">
        <color theme="0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 tint="-0.499984740745262"/>
      </right>
      <top style="thin">
        <color theme="0"/>
      </top>
      <bottom style="thin">
        <color theme="0"/>
      </bottom>
      <diagonal/>
    </border>
    <border>
      <left style="medium">
        <color theme="0" tint="-0.499984740745262"/>
      </left>
      <right style="thin">
        <color theme="0"/>
      </right>
      <top style="thin">
        <color theme="0"/>
      </top>
      <bottom style="medium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 tint="-0.499984740745262"/>
      </bottom>
      <diagonal/>
    </border>
    <border>
      <left style="thin">
        <color theme="0"/>
      </left>
      <right style="medium">
        <color theme="0" tint="-0.499984740745262"/>
      </right>
      <top style="thin">
        <color theme="0"/>
      </top>
      <bottom style="medium">
        <color theme="0" tint="-0.499984740745262"/>
      </bottom>
      <diagonal/>
    </border>
    <border>
      <left/>
      <right style="medium">
        <color theme="0"/>
      </right>
      <top/>
      <bottom style="medium">
        <color theme="0" tint="-0.499984740745262"/>
      </bottom>
      <diagonal/>
    </border>
    <border>
      <left style="medium">
        <color theme="0"/>
      </left>
      <right style="medium">
        <color theme="0"/>
      </right>
      <top/>
      <bottom style="medium">
        <color theme="0" tint="-0.499984740745262"/>
      </bottom>
      <diagonal/>
    </border>
    <border>
      <left style="medium">
        <color theme="0"/>
      </left>
      <right/>
      <top/>
      <bottom style="medium">
        <color theme="0" tint="-0.499984740745262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C9D2BD"/>
      </left>
      <right/>
      <top style="thin">
        <color rgb="FFC9D2BD"/>
      </top>
      <bottom style="thin">
        <color rgb="FFC9D2BD"/>
      </bottom>
      <diagonal/>
    </border>
    <border>
      <left/>
      <right/>
      <top style="thin">
        <color rgb="FFC9D2BD"/>
      </top>
      <bottom style="thin">
        <color rgb="FFC9D2BD"/>
      </bottom>
      <diagonal/>
    </border>
    <border>
      <left/>
      <right style="thin">
        <color rgb="FFC9D2BD"/>
      </right>
      <top style="thin">
        <color rgb="FFC9D2BD"/>
      </top>
      <bottom style="thin">
        <color rgb="FFC9D2BD"/>
      </bottom>
      <diagonal/>
    </border>
    <border>
      <left/>
      <right/>
      <top/>
      <bottom style="thin">
        <color rgb="FFC9D2BD"/>
      </bottom>
      <diagonal/>
    </border>
    <border>
      <left/>
      <right/>
      <top style="thin">
        <color rgb="FFC9D2BD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9D2BD"/>
      </left>
      <right/>
      <top/>
      <bottom/>
      <diagonal/>
    </border>
    <border>
      <left style="medium">
        <color theme="4"/>
      </left>
      <right style="medium">
        <color theme="4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4" fillId="4" borderId="0" applyAlignment="0">
      <alignment horizontal="center" vertical="center" wrapText="1"/>
    </xf>
  </cellStyleXfs>
  <cellXfs count="7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6" fillId="0" borderId="0" xfId="0" applyFont="1"/>
    <xf numFmtId="0" fontId="6" fillId="3" borderId="0" xfId="0" applyFont="1" applyFill="1"/>
    <xf numFmtId="0" fontId="0" fillId="3" borderId="0" xfId="0" applyFill="1"/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10" fontId="0" fillId="0" borderId="0" xfId="0" applyNumberFormat="1"/>
    <xf numFmtId="0" fontId="11" fillId="0" borderId="0" xfId="0" applyFont="1"/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4" borderId="0" xfId="2" applyAlignment="1">
      <alignment horizontal="center" vertical="center" wrapText="1"/>
    </xf>
    <xf numFmtId="0" fontId="4" fillId="4" borderId="0" xfId="2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2" applyAlignment="1">
      <alignment vertical="center"/>
    </xf>
    <xf numFmtId="0" fontId="0" fillId="4" borderId="0" xfId="2" applyFont="1" applyAlignment="1">
      <alignment vertical="center"/>
    </xf>
    <xf numFmtId="0" fontId="5" fillId="2" borderId="0" xfId="1" applyAlignment="1">
      <alignment horizontal="center" vertical="center"/>
    </xf>
    <xf numFmtId="0" fontId="5" fillId="2" borderId="0" xfId="1" applyNumberFormat="1" applyAlignment="1">
      <alignment horizontal="center" vertical="center"/>
    </xf>
    <xf numFmtId="0" fontId="5" fillId="2" borderId="0" xfId="1" applyAlignment="1">
      <alignment horizontal="center" vertical="center" wrapText="1"/>
    </xf>
    <xf numFmtId="0" fontId="5" fillId="2" borderId="0" xfId="1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2" borderId="0" xfId="1" applyAlignment="1">
      <alignment horizontal="left" vertical="center"/>
    </xf>
    <xf numFmtId="0" fontId="5" fillId="2" borderId="0" xfId="1" applyNumberFormat="1" applyAlignment="1">
      <alignment horizontal="left" vertical="center"/>
    </xf>
    <xf numFmtId="0" fontId="14" fillId="0" borderId="0" xfId="0" applyFont="1"/>
    <xf numFmtId="0" fontId="13" fillId="5" borderId="2" xfId="0" applyFont="1" applyFill="1" applyBorder="1" applyAlignment="1">
      <alignment horizontal="left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13" fillId="5" borderId="7" xfId="0" applyFont="1" applyFill="1" applyBorder="1" applyAlignment="1">
      <alignment horizontal="left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5" fillId="2" borderId="10" xfId="1" applyBorder="1" applyAlignment="1">
      <alignment horizontal="center" vertical="center" wrapText="1"/>
    </xf>
    <xf numFmtId="0" fontId="5" fillId="2" borderId="11" xfId="1" applyBorder="1" applyAlignment="1">
      <alignment horizontal="center" vertical="center" wrapText="1"/>
    </xf>
    <xf numFmtId="0" fontId="5" fillId="2" borderId="12" xfId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14" fontId="0" fillId="0" borderId="14" xfId="0" applyNumberFormat="1" applyBorder="1" applyAlignment="1">
      <alignment horizontal="center" vertical="center"/>
    </xf>
    <xf numFmtId="0" fontId="16" fillId="6" borderId="15" xfId="0" applyFont="1" applyFill="1" applyBorder="1" applyAlignment="1">
      <alignment horizontal="left" vertical="center" wrapText="1"/>
    </xf>
    <xf numFmtId="0" fontId="17" fillId="6" borderId="16" xfId="0" applyFont="1" applyFill="1" applyBorder="1" applyAlignment="1">
      <alignment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left" vertical="center" wrapText="1"/>
    </xf>
    <xf numFmtId="0" fontId="17" fillId="0" borderId="16" xfId="0" applyFont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49" fontId="17" fillId="0" borderId="16" xfId="0" applyNumberFormat="1" applyFont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7" borderId="18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left" vertical="center" wrapText="1"/>
    </xf>
    <xf numFmtId="0" fontId="17" fillId="6" borderId="19" xfId="0" applyFont="1" applyFill="1" applyBorder="1" applyAlignment="1">
      <alignment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20" fontId="0" fillId="0" borderId="0" xfId="0" applyNumberFormat="1"/>
    <xf numFmtId="0" fontId="3" fillId="0" borderId="0" xfId="0" applyFont="1" applyAlignment="1">
      <alignment horizontal="left" vertical="center"/>
    </xf>
    <xf numFmtId="0" fontId="19" fillId="8" borderId="20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8" fontId="0" fillId="0" borderId="0" xfId="0" applyNumberFormat="1"/>
    <xf numFmtId="49" fontId="17" fillId="6" borderId="16" xfId="0" applyNumberFormat="1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6" borderId="21" xfId="0" applyFont="1" applyFill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2" fillId="9" borderId="20" xfId="0" applyFont="1" applyFill="1" applyBorder="1" applyAlignment="1">
      <alignment vertical="center" wrapText="1"/>
    </xf>
    <xf numFmtId="0" fontId="0" fillId="5" borderId="22" xfId="0" applyFill="1" applyBorder="1"/>
  </cellXfs>
  <cellStyles count="3">
    <cellStyle name="Énfasis1" xfId="1" builtinId="29"/>
    <cellStyle name="Estilo 1" xfId="2" xr:uid="{396EFBE0-90E5-45F9-98B9-61E12FD9885C}"/>
    <cellStyle name="Normal" xfId="0" builtinId="0"/>
  </cellStyles>
  <dxfs count="47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2" formatCode="&quot;S/&quot;\ #,##0.00;[Red]\-&quot;S/&quot;\ #,##0.00"/>
    </dxf>
    <dxf>
      <numFmt numFmtId="12" formatCode="&quot;S/&quot;\ #,##0.00;[Red]\-&quot;S/&quot;\ #,##0.0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ECEFE9"/>
          <bgColor rgb="FFECEFE9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C9D2BD"/>
        </top>
        <bottom style="thin">
          <color rgb="FFC9D2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ECEFE9"/>
          <bgColor rgb="FFECEFE9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C9D2BD"/>
        </top>
        <bottom style="thin">
          <color rgb="FFC9D2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ECEFE9"/>
          <bgColor rgb="FFECEFE9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C9D2BD"/>
        </top>
        <bottom style="thin">
          <color rgb="FFC9D2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ECEFE9"/>
          <bgColor rgb="FFECEFE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C9D2BD"/>
        </top>
        <bottom style="thin">
          <color rgb="FFC9D2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ECEFE9"/>
          <bgColor rgb="FFECEFE9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C9D2BD"/>
        </top>
        <bottom style="thin">
          <color rgb="FFC9D2BD"/>
        </bottom>
        <vertical/>
        <horizontal/>
      </border>
    </dxf>
    <dxf>
      <border outline="0">
        <top style="thin">
          <color rgb="FFC9D2BD"/>
        </top>
      </border>
    </dxf>
    <dxf>
      <border outline="0">
        <left style="thin">
          <color rgb="FFC9D2BD"/>
        </left>
        <right style="thin">
          <color rgb="FFC9D2BD"/>
        </right>
        <top style="thin">
          <color rgb="FFC9D2BD"/>
        </top>
        <bottom style="thin">
          <color rgb="FFC9D2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ECEFE9"/>
          <bgColor rgb="FFECEFE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C9D2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A5B592"/>
          <bgColor rgb="FFA5B592"/>
        </patternFill>
      </fill>
      <alignment horizontal="center" vertical="center" textRotation="0" wrapText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1 2" pivot="0" table="0" count="10" xr9:uid="{D2231ACF-EDF8-4190-9E84-1073EA15C075}">
      <tableStyleElement type="wholeTable" dxfId="46"/>
      <tableStyleElement type="headerRow" dxfId="45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759154</xdr:colOff>
      <xdr:row>1</xdr:row>
      <xdr:rowOff>57151</xdr:rowOff>
    </xdr:from>
    <xdr:to>
      <xdr:col>14</xdr:col>
      <xdr:colOff>84833</xdr:colOff>
      <xdr:row>4</xdr:row>
      <xdr:rowOff>171450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STATUS">
              <a:extLst>
                <a:ext uri="{FF2B5EF4-FFF2-40B4-BE49-F238E27FC236}">
                  <a16:creationId xmlns:a16="http://schemas.microsoft.com/office/drawing/2014/main" id="{4C5E95CE-C84C-9C81-8E4D-165CE54ABC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1135" y="601113"/>
              <a:ext cx="3987672" cy="6178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133930</xdr:colOff>
      <xdr:row>1</xdr:row>
      <xdr:rowOff>20408</xdr:rowOff>
    </xdr:from>
    <xdr:to>
      <xdr:col>15</xdr:col>
      <xdr:colOff>761999</xdr:colOff>
      <xdr:row>5</xdr:row>
      <xdr:rowOff>174871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EA330166-B675-60AD-5CDB-6666484C3E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5732" y="555169"/>
              <a:ext cx="7697757" cy="898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F1EE699E-2A4B-48A2-AB09-A063EC5F401A}" sourceName="STATUS">
  <extLst>
    <x:ext xmlns:x15="http://schemas.microsoft.com/office/spreadsheetml/2010/11/main" uri="{2F2917AC-EB37-4324-AD4E-5DD8C200BD13}">
      <x15:tableSlicerCache tableId="1" column="1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82295BFC-B299-440D-B4A5-E3DE453179F6}" sourceName="CATEGORIA">
  <extLst>
    <x:ext xmlns:x15="http://schemas.microsoft.com/office/spreadsheetml/2010/11/main" uri="{2F2917AC-EB37-4324-AD4E-5DD8C200BD13}">
      <x15:tableSlicerCache tableId="2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1B2E488-0053-4AB8-9AAC-31B15C008309}" cache="SegmentaciónDeDatos_STATUS" caption="STATUS" columnCount="3" style="SlicerStyleDark1 2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01A4C4C-464B-4E6C-8FA4-21AD41A350B2}" cache="SegmentaciónDeDatos_CATEGORIA" caption="CATEGORIA" columnCount="6" showCaption="0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C12774-FD2D-4D8E-ABF0-1375E31E5E1E}" name="Tabla7" displayName="Tabla7" ref="A1:E16" totalsRowShown="0" headerRowDxfId="44" dataDxfId="42" headerRowBorderDxfId="43" tableBorderDxfId="41" totalsRowBorderDxfId="40">
  <autoFilter ref="A1:E16" xr:uid="{AAC12774-FD2D-4D8E-ABF0-1375E31E5E1E}"/>
  <tableColumns count="5">
    <tableColumn id="1" xr3:uid="{ADEE810D-A4F0-48A6-8F48-77978530A8D1}" name="N°" dataDxfId="39"/>
    <tableColumn id="2" xr3:uid="{195EE782-C3DE-422E-8E59-677BF79549FC}" name="NOMBRES" dataDxfId="38"/>
    <tableColumn id="3" xr3:uid="{9AEAF416-48FA-4E4B-8746-066398264A2E}" name="DNI" dataDxfId="37"/>
    <tableColumn id="4" xr3:uid="{5576F4B4-1BED-4536-983D-E0DD78145EED}" name="CLASE" dataDxfId="36"/>
    <tableColumn id="5" xr3:uid="{2A4B112E-64AE-4761-9ACD-5CD3C9EF2351}" name="CARGO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9EDB5-D7AC-48EF-BE5D-6CD5F3F0F1E0}" name="Tabla1" displayName="Tabla1" ref="B7:O291" totalsRowShown="0" headerRowDxfId="34">
  <autoFilter ref="B7:O291" xr:uid="{B889EDB5-D7AC-48EF-BE5D-6CD5F3F0F1E0}">
    <filterColumn colId="13">
      <customFilters>
        <customFilter operator="notEqual" val=" "/>
      </customFilters>
    </filterColumn>
  </autoFilter>
  <tableColumns count="14">
    <tableColumn id="1" xr3:uid="{16B9EA8C-255F-4447-B894-68AD389DFC68}" name="CODIGO" dataDxfId="33" dataCellStyle="Estilo 1">
      <calculatedColumnFormula>E8&amp;"-"&amp;COUNTIF($E$8:E8,E8)</calculatedColumnFormula>
    </tableColumn>
    <tableColumn id="2" xr3:uid="{0A798D43-F186-4AB6-9256-A5FA05558759}" name="PRODUCTO" dataDxfId="32"/>
    <tableColumn id="3" xr3:uid="{0464B4BE-6B20-4818-9034-2B5424E208A0}" name="CATEGORIA" dataDxfId="31"/>
    <tableColumn id="15" xr3:uid="{8C2BD0DC-3F30-4B5F-AD21-1C3CCF7B2C10}" name="CONCATENAR" dataDxfId="30" dataCellStyle="Estilo 1">
      <calculatedColumnFormula>IFERROR(VLOOKUP(D8,Hoja3!$A$2:$B$50,2,0),"")</calculatedColumnFormula>
    </tableColumn>
    <tableColumn id="4" xr3:uid="{D0BAF7E3-54A0-4918-914A-CB39ACBD1E73}" name="ALMACEN" dataDxfId="29"/>
    <tableColumn id="5" xr3:uid="{ECBF2179-9007-462E-A464-B3DD599650B2}" name="UNIDAD" dataDxfId="28"/>
    <tableColumn id="14" xr3:uid="{CB3BD910-D94C-4F03-85ED-0887179C1CAA}" name="STATUS" dataDxfId="27" dataCellStyle="Estilo 1">
      <calculatedColumnFormula>IF(Tabla1[[#This Row],[EXISTENCIA ACTUAL]]=0,"AGOTADO",  IF(Tabla1[[#This Row],[EXISTENCIA ACTUAL]]&lt;Tabla1[[#This Row],[STOCK MINIMO]],"MENOR AL MINIMO", "OK"))</calculatedColumnFormula>
    </tableColumn>
    <tableColumn id="10" xr3:uid="{0F975C9C-E856-474E-AF27-F890F6B5ABC1}" name="." dataDxfId="26">
      <calculatedColumnFormula>IF(Tabla1[[#This Row],[EXISTENCIA ACTUAL]]=0,0,  IF(Tabla1[[#This Row],[EXISTENCIA ACTUAL]]&lt;Tabla1[[#This Row],[STOCK MINIMO]],1, 2))</calculatedColumnFormula>
    </tableColumn>
    <tableColumn id="6" xr3:uid="{F695822A-1483-4EBE-B6A5-654FC31F10BF}" name="STOCK MINIMO" dataDxfId="25"/>
    <tableColumn id="7" xr3:uid="{85E0F765-E057-40BA-A992-AC0D339C1E26}" name="EXISTENCIA ACTUAL" dataDxfId="24" dataCellStyle="Estilo 1">
      <calculatedColumnFormula>SUMIFS(Tabla2[CANTIDAD],Tabla2[PRODUCTO],Tabla1[[#This Row],[PRODUCTO]])</calculatedColumnFormula>
    </tableColumn>
    <tableColumn id="8" xr3:uid="{84845E5B-08BE-45EC-9182-EFCA633E52F9}" name="PROVIENE" dataDxfId="23"/>
    <tableColumn id="9" xr3:uid="{3BE2190D-2F58-4E3C-9198-1BDE103D545D}" name="CONDICIÓN" dataDxfId="22"/>
    <tableColumn id="12" xr3:uid="{BB376B2F-37DF-46BE-BE14-E28A17044623}" name="NRO REQUERIMIENTO"/>
    <tableColumn id="13" xr3:uid="{AA9A6340-5126-406A-B396-DBC7AB3EB9A7}" name="AREA REQUERIMIENTO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45DD9-4F75-4A73-85A6-BC6BC99EB085}" name="Tabla2" displayName="Tabla2" ref="B7:R896" totalsRowShown="0" headerRowDxfId="21">
  <autoFilter ref="B7:R896" xr:uid="{FA245DD9-4F75-4A73-85A6-BC6BC99EB085}">
    <filterColumn colId="2">
      <filters>
        <filter val="Barra construccion ASTM grado 60 1/2&quot; x 9m"/>
      </filters>
    </filterColumn>
  </autoFilter>
  <tableColumns count="17">
    <tableColumn id="1" xr3:uid="{A62F0FD8-6BC8-4E1D-8DA3-9DDBAF7400A2}" name="FECHA"/>
    <tableColumn id="2" xr3:uid="{12C61EDC-7EF0-4622-AD42-8DD7CB65C695}" name="CODIGO" dataDxfId="20">
      <calculatedColumnFormula>IFERROR(_xlfn.XLOOKUP(Tabla2[[#This Row],[PRODUCTO]],Tabla1[PRODUCTO],Tabla1[CODIGO]),"")</calculatedColumnFormula>
    </tableColumn>
    <tableColumn id="3" xr3:uid="{4F2F8E36-B82E-4B2E-B8DA-5BE459983925}" name="PRODUCTO" dataDxfId="19" dataCellStyle="Énfasis1">
      <calculatedColumnFormula>IFERROR(VLOOKUP(Tabla2[[#This Row],[CODIGO]],Tabla1[],2,0),"")</calculatedColumnFormula>
    </tableColumn>
    <tableColumn id="4" xr3:uid="{35AD1EE5-1F7B-4175-8809-E663E58738D1}" name="CATEGORIA" dataDxfId="18" dataCellStyle="Énfasis1">
      <calculatedColumnFormula>IFERROR(VLOOKUP(Tabla2[[#This Row],[CODIGO]],Tabla1[],3,0),"")</calculatedColumnFormula>
    </tableColumn>
    <tableColumn id="5" xr3:uid="{538E1FA7-FFE6-4187-8D91-14D75020E960}" name="ALMACEN " dataDxfId="17" dataCellStyle="Énfasis1">
      <calculatedColumnFormula>IFERROR(VLOOKUP(Tabla2[[#This Row],[CODIGO]],Tabla1[],5,0),"")</calculatedColumnFormula>
    </tableColumn>
    <tableColumn id="6" xr3:uid="{E87B2EFF-E3CC-4C4F-B524-53CA62825716}" name="UNIDAD" dataDxfId="16" dataCellStyle="Énfasis1">
      <calculatedColumnFormula>IFERROR(VLOOKUP(Tabla2[[#This Row],[CODIGO]],Tabla1[],6,0),"")</calculatedColumnFormula>
    </tableColumn>
    <tableColumn id="7" xr3:uid="{7350017D-27D7-4765-995D-A11C1DBDFE23}" name="EXISTENCIA ACTUAL" dataDxfId="15" dataCellStyle="Énfasis1">
      <calculatedColumnFormula>IFERROR(VLOOKUP(Tabla2[[#This Row],[CODIGO]],Tabla1[],10,0),"")</calculatedColumnFormula>
    </tableColumn>
    <tableColumn id="8" xr3:uid="{70C7132F-6EBC-4FDD-B581-A16A5F780330}" name="CANTIDAD" dataDxfId="14"/>
    <tableColumn id="9" xr3:uid="{7B2702D2-F192-456F-B74D-ADDE9D0AC43A}" name="DESCRIPCION TRABAJO" dataDxfId="13"/>
    <tableColumn id="14" xr3:uid="{029EC0ED-4C89-4231-A7CD-B2D430194065}" name="PROVIENE" dataDxfId="12" dataCellStyle="Énfasis1">
      <calculatedColumnFormula>IFERROR(VLOOKUP(Tabla2[[#This Row],[CODIGO]],Tabla1[],11,0),"")</calculatedColumnFormula>
    </tableColumn>
    <tableColumn id="10" xr3:uid="{200C1B45-375F-4D05-906E-5951BE018650}" name="QUIEN ENTREGA" dataDxfId="11"/>
    <tableColumn id="11" xr3:uid="{B0F46F9E-AB49-48C0-9DB7-7372B7B58B99}" name="QUIEN RECIBE" dataDxfId="10"/>
    <tableColumn id="12" xr3:uid="{F25EE6D5-F32A-4C31-945E-4AF67F4AAE90}" name="PREC. UNITARIO" dataDxfId="9"/>
    <tableColumn id="13" xr3:uid="{A4BE049A-146E-4AED-8F57-89285978F806}" name="PREC. VENTA" dataDxfId="8">
      <calculatedColumnFormula>Tabla2[[#This Row],[CANTIDAD]]*Tabla2[[#This Row],[PREC. UNITARIO]]</calculatedColumnFormula>
    </tableColumn>
    <tableColumn id="15" xr3:uid="{119E6D9B-F3C3-420A-85D4-F2451109D58C}" name="DOCUMENTO INGRESO"/>
    <tableColumn id="16" xr3:uid="{BCFF2892-5679-4E0C-A290-1E29359D0599}" name="DOCUMENTO SALIDA"/>
    <tableColumn id="17" xr3:uid="{7F1CD15D-8E9E-45AB-BA01-D5AF1E8AA518}" name="formula" dataDxfId="7">
      <calculatedColumnFormula>Tabla2[[#This Row],[QUIEN RECIBE]]&amp;"-"&amp;TEXT(Tabla2[[#This Row],[FECHA]],"dd/mm/yyyy")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072D1D-94E5-429D-9359-424662C8E004}" name="ENTREGA" displayName="ENTREGA" ref="B8:N132" totalsRowShown="0" headerRowDxfId="6">
  <autoFilter ref="B8:N132" xr:uid="{76072D1D-94E5-429D-9359-424662C8E004}">
    <filterColumn colId="2">
      <filters>
        <filter val="Llave de paso 1&quot;"/>
      </filters>
    </filterColumn>
  </autoFilter>
  <tableColumns count="13">
    <tableColumn id="2" xr3:uid="{C337D0F4-E28F-4B31-8E96-6288A5840633}" name="FECHA"/>
    <tableColumn id="1" xr3:uid="{4D58EB55-5B55-456E-8339-FC86E7620D5A}" name="CODIGO PRODUCTO" dataDxfId="5">
      <calculatedColumnFormula>_xlfn.XLOOKUP(ENTREGA[[#This Row],[DESCRIPCION PRODUCTO]],PRODUCTOS!$C$8:$C$1853,PRODUCTOS!$B$8:$B$1853,"")</calculatedColumnFormula>
    </tableColumn>
    <tableColumn id="3" xr3:uid="{09471CC9-9801-4A73-9A51-6AEE4671089C}" name="DESCRIPCION PRODUCTO"/>
    <tableColumn id="4" xr3:uid="{A0DB0F5B-6F7A-4944-A2E6-C007ADB37E97}" name="CANTIDAD ENTREGADA" dataDxfId="4"/>
    <tableColumn id="5" xr3:uid="{6F13088A-68DB-4564-8ACD-8B0EA4EEDD86}" name="UNIDAD" dataDxfId="3"/>
    <tableColumn id="6" xr3:uid="{C37E62E7-E5C2-407C-BAA7-3D9D9D27619F}" name="A QUIEN SE ENTRGA" dataDxfId="2"/>
    <tableColumn id="7" xr3:uid="{490DCD43-A213-4619-89CE-72779DED762E}" name="RESPONSABLE" dataDxfId="1"/>
    <tableColumn id="8" xr3:uid="{98631650-A681-4AC8-8165-8E2601691D21}" name="MATERIAL"/>
    <tableColumn id="9" xr3:uid="{22DBCE4D-64CE-4294-B8F9-2DC1B5B2CB9F}" name="FORMULA" dataDxfId="0">
      <calculatedColumnFormula>CONCATENATE(ENTREGA[[#This Row],[A QUIEN SE ENTRGA]],"",TEXT(ENTREGA[[#This Row],[FECHA]],"dd/mm/yyyy"))</calculatedColumnFormula>
    </tableColumn>
    <tableColumn id="10" xr3:uid="{9A856A30-4A81-4E90-9CAF-F9F8506C015B}" name="RETORNO"/>
    <tableColumn id="11" xr3:uid="{1AEDED07-29A0-4C64-A634-1A5AA81BA868}" name="HORA DE SALIDA"/>
    <tableColumn id="12" xr3:uid="{8A772473-AF6E-4868-AB84-9F10736C89FC}" name="HORA DE INGRESO"/>
    <tableColumn id="13" xr3:uid="{189CDFE2-97DE-43AC-ADFB-31003194A711}" name="FECH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939D-F221-4F99-AFFC-37A5CEC2FA69}">
  <sheetPr codeName="Hoja3"/>
  <dimension ref="A2:E14"/>
  <sheetViews>
    <sheetView workbookViewId="0">
      <selection activeCell="D12" sqref="D12"/>
    </sheetView>
  </sheetViews>
  <sheetFormatPr baseColWidth="10" defaultRowHeight="15" x14ac:dyDescent="0.25"/>
  <cols>
    <col min="1" max="1" width="18.42578125" customWidth="1"/>
    <col min="2" max="2" width="18.28515625" customWidth="1"/>
  </cols>
  <sheetData>
    <row r="2" spans="1:5" x14ac:dyDescent="0.25">
      <c r="A2" t="s">
        <v>121</v>
      </c>
      <c r="B2" s="16" t="str">
        <f>A2&amp;"-"&amp;COUNTIF($A$2:A2,A2)</f>
        <v>ELECTRONICA-1</v>
      </c>
      <c r="D2" t="str">
        <f>E2&amp;"-"&amp;COUNTIF($E$2:E2,E2)</f>
        <v>EL-1</v>
      </c>
      <c r="E2" t="s">
        <v>123</v>
      </c>
    </row>
    <row r="3" spans="1:5" x14ac:dyDescent="0.25">
      <c r="A3" t="s">
        <v>122</v>
      </c>
      <c r="B3" s="16" t="str">
        <f>A3&amp;"-"&amp;COUNTIF($A$2:A3,A3)</f>
        <v>ROPA-1</v>
      </c>
      <c r="D3" t="str">
        <f>E3&amp;"-"&amp;COUNTIF($E$2:E3,E3)</f>
        <v>RO-1</v>
      </c>
      <c r="E3" t="s">
        <v>124</v>
      </c>
    </row>
    <row r="4" spans="1:5" x14ac:dyDescent="0.25">
      <c r="A4" t="s">
        <v>121</v>
      </c>
      <c r="B4" s="16" t="str">
        <f>A4&amp;"-"&amp;COUNTIF($A$2:A4,A4)</f>
        <v>ELECTRONICA-2</v>
      </c>
      <c r="D4" t="str">
        <f>E4&amp;"-"&amp;COUNTIF($E$2:E4,E4)</f>
        <v>EL-2</v>
      </c>
      <c r="E4" t="s">
        <v>123</v>
      </c>
    </row>
    <row r="5" spans="1:5" x14ac:dyDescent="0.25">
      <c r="D5" t="str">
        <f>E5&amp;"-"&amp;COUNTIF($E$2:E5,E5)</f>
        <v>-0</v>
      </c>
    </row>
    <row r="6" spans="1:5" x14ac:dyDescent="0.25">
      <c r="A6" t="str">
        <f>B6&amp;"-"&amp;COUNTIF($B$6:B6,B6)</f>
        <v>EL-1</v>
      </c>
      <c r="B6" t="s">
        <v>123</v>
      </c>
      <c r="D6" t="str">
        <f>E6&amp;"-"&amp;COUNTIF($E$2:E6,E6)</f>
        <v>-0</v>
      </c>
    </row>
    <row r="7" spans="1:5" x14ac:dyDescent="0.25">
      <c r="A7" t="str">
        <f>B7&amp;"-"&amp;COUNTIF($B$6:B7,B7)</f>
        <v>RO-1</v>
      </c>
      <c r="B7" t="s">
        <v>124</v>
      </c>
      <c r="D7" t="str">
        <f>E7&amp;"-"&amp;COUNTIF($E$2:E7,E7)</f>
        <v>-0</v>
      </c>
    </row>
    <row r="8" spans="1:5" x14ac:dyDescent="0.25">
      <c r="A8" t="str">
        <f>B8&amp;"-"&amp;COUNTIF($B$6:B8,B8)</f>
        <v>EL-2</v>
      </c>
      <c r="B8" t="s">
        <v>123</v>
      </c>
      <c r="D8" t="str">
        <f>E8&amp;"-"&amp;COUNTIF($E$2:E8,E8)</f>
        <v>-0</v>
      </c>
    </row>
    <row r="9" spans="1:5" x14ac:dyDescent="0.25">
      <c r="D9" t="str">
        <f>E9&amp;"-"&amp;COUNTIF($E$2:E9,E9)</f>
        <v>-0</v>
      </c>
    </row>
    <row r="10" spans="1:5" x14ac:dyDescent="0.25">
      <c r="D10" t="str">
        <f>E10&amp;"-"&amp;COUNTIF($E$2:E10,E10)</f>
        <v>-0</v>
      </c>
    </row>
    <row r="11" spans="1:5" x14ac:dyDescent="0.25">
      <c r="D11" t="str">
        <f>E11&amp;"-"&amp;COUNTIF($E$2:E11,E11)</f>
        <v>-0</v>
      </c>
    </row>
    <row r="12" spans="1:5" x14ac:dyDescent="0.25">
      <c r="D12" t="str">
        <f>E12&amp;"-"&amp;COUNTIF($E$2:E12,E12)</f>
        <v>-0</v>
      </c>
    </row>
    <row r="13" spans="1:5" x14ac:dyDescent="0.25">
      <c r="D13" t="str">
        <f>E13&amp;"-"&amp;COUNTIF($E$2:E13,E13)</f>
        <v>-0</v>
      </c>
    </row>
    <row r="14" spans="1:5" x14ac:dyDescent="0.25">
      <c r="D14" t="str">
        <f>E14&amp;"-"&amp;COUNTIF($E$2:E14,E14)</f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65EF-6BBD-4F9F-B160-2B8337733B83}">
  <sheetPr codeName="Hoja7"/>
  <dimension ref="A1:J43"/>
  <sheetViews>
    <sheetView workbookViewId="0">
      <selection activeCell="E40" sqref="E40"/>
    </sheetView>
  </sheetViews>
  <sheetFormatPr baseColWidth="10" defaultRowHeight="15" x14ac:dyDescent="0.25"/>
  <cols>
    <col min="1" max="1" width="5.5703125" customWidth="1"/>
    <col min="2" max="2" width="33.5703125" customWidth="1"/>
    <col min="5" max="5" width="16.28515625" customWidth="1"/>
    <col min="10" max="10" width="25.5703125" customWidth="1"/>
  </cols>
  <sheetData>
    <row r="1" spans="1:10" x14ac:dyDescent="0.25">
      <c r="A1" s="61" t="s">
        <v>219</v>
      </c>
      <c r="B1" s="61" t="s">
        <v>266</v>
      </c>
      <c r="C1" s="61" t="s">
        <v>267</v>
      </c>
      <c r="D1" s="61" t="s">
        <v>268</v>
      </c>
      <c r="E1" s="61" t="s">
        <v>269</v>
      </c>
    </row>
    <row r="2" spans="1:10" ht="27.6" customHeight="1" x14ac:dyDescent="0.25">
      <c r="A2" s="59">
        <v>1</v>
      </c>
      <c r="B2" s="51" t="s">
        <v>236</v>
      </c>
      <c r="C2" s="52">
        <v>75396402</v>
      </c>
      <c r="D2" s="52" t="s">
        <v>237</v>
      </c>
      <c r="E2" s="52" t="s">
        <v>238</v>
      </c>
      <c r="J2" t="s">
        <v>270</v>
      </c>
    </row>
    <row r="3" spans="1:10" ht="27.6" customHeight="1" x14ac:dyDescent="0.25">
      <c r="A3" s="60">
        <v>2</v>
      </c>
      <c r="B3" s="55" t="s">
        <v>239</v>
      </c>
      <c r="C3" s="56">
        <v>44184914</v>
      </c>
      <c r="D3" s="56" t="s">
        <v>237</v>
      </c>
      <c r="E3" s="56" t="s">
        <v>238</v>
      </c>
      <c r="J3" s="51" t="s">
        <v>236</v>
      </c>
    </row>
    <row r="4" spans="1:10" ht="27.6" customHeight="1" x14ac:dyDescent="0.25">
      <c r="A4" s="59">
        <v>3</v>
      </c>
      <c r="B4" s="51" t="s">
        <v>240</v>
      </c>
      <c r="C4" s="52">
        <v>40839932</v>
      </c>
      <c r="D4" s="52" t="s">
        <v>237</v>
      </c>
      <c r="E4" s="52" t="s">
        <v>238</v>
      </c>
    </row>
    <row r="5" spans="1:10" ht="27.6" customHeight="1" x14ac:dyDescent="0.25">
      <c r="A5" s="60">
        <v>4</v>
      </c>
      <c r="B5" s="55" t="s">
        <v>241</v>
      </c>
      <c r="C5" s="56">
        <v>70833343</v>
      </c>
      <c r="D5" s="56" t="s">
        <v>237</v>
      </c>
      <c r="E5" s="56" t="s">
        <v>238</v>
      </c>
    </row>
    <row r="6" spans="1:10" ht="27.6" customHeight="1" x14ac:dyDescent="0.25">
      <c r="A6" s="59">
        <v>5</v>
      </c>
      <c r="B6" s="51" t="s">
        <v>242</v>
      </c>
      <c r="C6" s="52">
        <v>48492558</v>
      </c>
      <c r="D6" s="52" t="s">
        <v>237</v>
      </c>
      <c r="E6" s="52" t="s">
        <v>243</v>
      </c>
    </row>
    <row r="7" spans="1:10" ht="27.6" customHeight="1" x14ac:dyDescent="0.25">
      <c r="A7" s="60">
        <v>6</v>
      </c>
      <c r="B7" s="55" t="s">
        <v>244</v>
      </c>
      <c r="C7" s="56">
        <v>40889884</v>
      </c>
      <c r="D7" s="56" t="s">
        <v>237</v>
      </c>
      <c r="E7" s="56" t="s">
        <v>238</v>
      </c>
    </row>
    <row r="8" spans="1:10" ht="27.6" customHeight="1" x14ac:dyDescent="0.25">
      <c r="A8" s="59">
        <v>7</v>
      </c>
      <c r="B8" s="51" t="s">
        <v>245</v>
      </c>
      <c r="C8" s="52">
        <v>40861767</v>
      </c>
      <c r="D8" s="52" t="s">
        <v>237</v>
      </c>
      <c r="E8" s="52" t="s">
        <v>246</v>
      </c>
    </row>
    <row r="9" spans="1:10" ht="27.6" customHeight="1" x14ac:dyDescent="0.25">
      <c r="A9" s="60">
        <v>8</v>
      </c>
      <c r="B9" s="55" t="s">
        <v>247</v>
      </c>
      <c r="C9" s="58" t="s">
        <v>248</v>
      </c>
      <c r="D9" s="56" t="s">
        <v>237</v>
      </c>
      <c r="E9" s="56" t="s">
        <v>249</v>
      </c>
    </row>
    <row r="10" spans="1:10" ht="27.6" customHeight="1" x14ac:dyDescent="0.25">
      <c r="A10" s="59">
        <v>9</v>
      </c>
      <c r="B10" s="51" t="s">
        <v>472</v>
      </c>
      <c r="C10" s="52">
        <v>41056694</v>
      </c>
      <c r="D10" s="52" t="s">
        <v>251</v>
      </c>
      <c r="E10" s="52" t="s">
        <v>252</v>
      </c>
    </row>
    <row r="11" spans="1:10" ht="27.6" customHeight="1" x14ac:dyDescent="0.25">
      <c r="A11" s="60">
        <v>10</v>
      </c>
      <c r="B11" s="55" t="s">
        <v>253</v>
      </c>
      <c r="C11" s="56"/>
      <c r="D11" s="56" t="s">
        <v>254</v>
      </c>
      <c r="E11" s="56" t="s">
        <v>255</v>
      </c>
    </row>
    <row r="12" spans="1:10" ht="27.6" customHeight="1" x14ac:dyDescent="0.25">
      <c r="A12" s="59">
        <v>11</v>
      </c>
      <c r="B12" s="51" t="s">
        <v>256</v>
      </c>
      <c r="C12" s="52"/>
      <c r="D12" s="52" t="s">
        <v>251</v>
      </c>
      <c r="E12" s="52" t="s">
        <v>257</v>
      </c>
    </row>
    <row r="13" spans="1:10" ht="27.6" customHeight="1" x14ac:dyDescent="0.25">
      <c r="A13" s="60">
        <v>12</v>
      </c>
      <c r="B13" s="55" t="s">
        <v>258</v>
      </c>
      <c r="C13" s="56"/>
      <c r="D13" s="56" t="s">
        <v>237</v>
      </c>
      <c r="E13" s="56" t="s">
        <v>259</v>
      </c>
    </row>
    <row r="14" spans="1:10" ht="27.6" customHeight="1" x14ac:dyDescent="0.25">
      <c r="A14" s="59">
        <v>13</v>
      </c>
      <c r="B14" s="51" t="s">
        <v>260</v>
      </c>
      <c r="C14" s="52"/>
      <c r="D14" s="52" t="s">
        <v>254</v>
      </c>
      <c r="E14" s="52" t="s">
        <v>261</v>
      </c>
    </row>
    <row r="15" spans="1:10" ht="27.6" customHeight="1" x14ac:dyDescent="0.25">
      <c r="A15" s="60">
        <v>14</v>
      </c>
      <c r="B15" s="55" t="s">
        <v>262</v>
      </c>
      <c r="C15" s="58" t="s">
        <v>263</v>
      </c>
      <c r="D15" s="56" t="s">
        <v>237</v>
      </c>
      <c r="E15" s="56" t="s">
        <v>264</v>
      </c>
    </row>
    <row r="16" spans="1:10" ht="27.6" customHeight="1" x14ac:dyDescent="0.25">
      <c r="A16" s="62">
        <v>15</v>
      </c>
      <c r="B16" s="63" t="s">
        <v>265</v>
      </c>
      <c r="C16" s="64">
        <v>44723682</v>
      </c>
      <c r="D16" s="64" t="s">
        <v>237</v>
      </c>
      <c r="E16" s="64"/>
    </row>
    <row r="17" spans="1:5" ht="27.6" customHeight="1" x14ac:dyDescent="0.25">
      <c r="A17" s="54">
        <v>16</v>
      </c>
      <c r="B17" s="55" t="s">
        <v>299</v>
      </c>
      <c r="C17" s="56"/>
      <c r="D17" s="56"/>
      <c r="E17" s="57"/>
    </row>
    <row r="18" spans="1:5" ht="27.6" customHeight="1" x14ac:dyDescent="0.25">
      <c r="A18" s="50">
        <v>17</v>
      </c>
      <c r="B18" s="51" t="s">
        <v>301</v>
      </c>
      <c r="C18" s="52">
        <v>78202475</v>
      </c>
      <c r="D18" s="52" t="s">
        <v>237</v>
      </c>
      <c r="E18" s="53" t="s">
        <v>243</v>
      </c>
    </row>
    <row r="19" spans="1:5" ht="27.6" customHeight="1" x14ac:dyDescent="0.25">
      <c r="A19" s="54">
        <v>18</v>
      </c>
      <c r="B19" s="55" t="s">
        <v>302</v>
      </c>
      <c r="C19" s="56">
        <v>44758063</v>
      </c>
      <c r="D19" s="56" t="s">
        <v>237</v>
      </c>
      <c r="E19" s="57" t="s">
        <v>243</v>
      </c>
    </row>
    <row r="20" spans="1:5" ht="27.6" customHeight="1" x14ac:dyDescent="0.25">
      <c r="A20" s="50">
        <v>19</v>
      </c>
      <c r="B20" s="51" t="s">
        <v>303</v>
      </c>
      <c r="C20" s="52">
        <v>46906026</v>
      </c>
      <c r="D20" s="52" t="s">
        <v>237</v>
      </c>
      <c r="E20" s="53" t="s">
        <v>238</v>
      </c>
    </row>
    <row r="21" spans="1:5" ht="27.6" customHeight="1" x14ac:dyDescent="0.25">
      <c r="A21" s="54">
        <v>20</v>
      </c>
      <c r="B21" s="55" t="s">
        <v>304</v>
      </c>
      <c r="C21" s="56"/>
      <c r="D21" s="56" t="s">
        <v>254</v>
      </c>
      <c r="E21" s="57" t="s">
        <v>305</v>
      </c>
    </row>
    <row r="22" spans="1:5" ht="27.6" customHeight="1" x14ac:dyDescent="0.25">
      <c r="A22" s="50">
        <v>21</v>
      </c>
      <c r="B22" s="51" t="s">
        <v>307</v>
      </c>
      <c r="C22" s="52"/>
      <c r="D22" s="52" t="s">
        <v>237</v>
      </c>
      <c r="E22" s="53" t="s">
        <v>243</v>
      </c>
    </row>
    <row r="23" spans="1:5" ht="27.6" customHeight="1" x14ac:dyDescent="0.25">
      <c r="A23" s="54">
        <v>22</v>
      </c>
      <c r="B23" s="55" t="s">
        <v>308</v>
      </c>
      <c r="C23" s="56">
        <v>70522697</v>
      </c>
      <c r="D23" s="56" t="s">
        <v>254</v>
      </c>
      <c r="E23" s="57" t="s">
        <v>309</v>
      </c>
    </row>
    <row r="24" spans="1:5" ht="27.6" customHeight="1" x14ac:dyDescent="0.25">
      <c r="A24" s="50">
        <v>23</v>
      </c>
      <c r="B24" s="51" t="s">
        <v>323</v>
      </c>
      <c r="C24" s="52">
        <v>74367601</v>
      </c>
      <c r="D24" s="52" t="s">
        <v>237</v>
      </c>
      <c r="E24" s="53" t="s">
        <v>238</v>
      </c>
    </row>
    <row r="25" spans="1:5" ht="27.6" customHeight="1" x14ac:dyDescent="0.25">
      <c r="A25" s="54">
        <v>24</v>
      </c>
      <c r="B25" s="55" t="s">
        <v>338</v>
      </c>
      <c r="C25" s="56"/>
      <c r="D25" s="56"/>
      <c r="E25" s="57"/>
    </row>
    <row r="26" spans="1:5" ht="27.6" customHeight="1" x14ac:dyDescent="0.25">
      <c r="A26" s="50">
        <v>25</v>
      </c>
      <c r="B26" s="51" t="s">
        <v>450</v>
      </c>
      <c r="C26" s="52">
        <v>41058582</v>
      </c>
      <c r="D26" s="52" t="s">
        <v>237</v>
      </c>
      <c r="E26" s="53" t="s">
        <v>243</v>
      </c>
    </row>
    <row r="27" spans="1:5" ht="27.6" customHeight="1" x14ac:dyDescent="0.25">
      <c r="A27" s="54">
        <v>26</v>
      </c>
      <c r="B27" s="55" t="s">
        <v>508</v>
      </c>
      <c r="C27" s="56">
        <v>61415253</v>
      </c>
      <c r="D27" s="56" t="s">
        <v>254</v>
      </c>
      <c r="E27" s="57" t="s">
        <v>452</v>
      </c>
    </row>
    <row r="28" spans="1:5" ht="27.6" customHeight="1" x14ac:dyDescent="0.25">
      <c r="A28" s="50">
        <v>27</v>
      </c>
      <c r="B28" s="51" t="s">
        <v>492</v>
      </c>
      <c r="C28" s="52"/>
      <c r="D28" s="52" t="s">
        <v>237</v>
      </c>
      <c r="E28" s="53" t="s">
        <v>238</v>
      </c>
    </row>
    <row r="29" spans="1:5" ht="27.6" customHeight="1" x14ac:dyDescent="0.25">
      <c r="A29" s="54">
        <v>28</v>
      </c>
      <c r="B29" s="55" t="s">
        <v>493</v>
      </c>
      <c r="C29" s="56"/>
      <c r="D29" s="56" t="s">
        <v>237</v>
      </c>
      <c r="E29" s="57" t="s">
        <v>238</v>
      </c>
    </row>
    <row r="30" spans="1:5" ht="27.6" customHeight="1" x14ac:dyDescent="0.25">
      <c r="A30" s="50">
        <v>29</v>
      </c>
      <c r="B30" s="51" t="s">
        <v>545</v>
      </c>
      <c r="C30" s="52">
        <v>44365799</v>
      </c>
      <c r="D30" s="52" t="s">
        <v>237</v>
      </c>
      <c r="E30" s="53" t="s">
        <v>243</v>
      </c>
    </row>
    <row r="31" spans="1:5" ht="27.6" customHeight="1" x14ac:dyDescent="0.25">
      <c r="A31" s="54">
        <v>30</v>
      </c>
      <c r="B31" s="55" t="s">
        <v>148</v>
      </c>
      <c r="C31" s="56"/>
      <c r="D31" s="56"/>
      <c r="E31" s="57"/>
    </row>
    <row r="32" spans="1:5" ht="27.6" customHeight="1" x14ac:dyDescent="0.25">
      <c r="A32" s="50">
        <v>31</v>
      </c>
      <c r="B32" s="51" t="s">
        <v>509</v>
      </c>
      <c r="C32" s="52"/>
      <c r="D32" s="52"/>
      <c r="E32" s="53"/>
    </row>
    <row r="33" spans="1:5" ht="27.6" customHeight="1" x14ac:dyDescent="0.25">
      <c r="A33" s="54">
        <v>32</v>
      </c>
      <c r="B33" s="55" t="s">
        <v>537</v>
      </c>
      <c r="C33" s="56">
        <v>47099079</v>
      </c>
      <c r="D33" s="56" t="s">
        <v>237</v>
      </c>
      <c r="E33" s="57" t="s">
        <v>243</v>
      </c>
    </row>
    <row r="34" spans="1:5" ht="27.6" customHeight="1" x14ac:dyDescent="0.25">
      <c r="A34" s="50">
        <v>33</v>
      </c>
      <c r="B34" s="51" t="s">
        <v>552</v>
      </c>
      <c r="C34" s="52">
        <v>74808890</v>
      </c>
      <c r="D34" s="52" t="s">
        <v>237</v>
      </c>
      <c r="E34" s="53" t="s">
        <v>238</v>
      </c>
    </row>
    <row r="35" spans="1:5" ht="27.6" customHeight="1" x14ac:dyDescent="0.25">
      <c r="A35" s="54">
        <v>34</v>
      </c>
      <c r="B35" s="55" t="s">
        <v>553</v>
      </c>
      <c r="C35" s="56">
        <v>45366294</v>
      </c>
      <c r="D35" s="56" t="s">
        <v>237</v>
      </c>
      <c r="E35" s="57" t="s">
        <v>238</v>
      </c>
    </row>
    <row r="36" spans="1:5" ht="27.6" customHeight="1" x14ac:dyDescent="0.25">
      <c r="A36" s="50">
        <v>35</v>
      </c>
      <c r="B36" s="51" t="s">
        <v>554</v>
      </c>
      <c r="C36" s="71" t="s">
        <v>555</v>
      </c>
      <c r="D36" s="52" t="s">
        <v>237</v>
      </c>
      <c r="E36" s="53" t="s">
        <v>243</v>
      </c>
    </row>
    <row r="37" spans="1:5" x14ac:dyDescent="0.25">
      <c r="A37" s="72">
        <v>36</v>
      </c>
      <c r="B37" s="74" t="s">
        <v>561</v>
      </c>
    </row>
    <row r="38" spans="1:5" x14ac:dyDescent="0.25">
      <c r="A38" s="73">
        <v>37</v>
      </c>
      <c r="B38" s="75" t="s">
        <v>562</v>
      </c>
    </row>
    <row r="39" spans="1:5" x14ac:dyDescent="0.25">
      <c r="A39" s="72">
        <v>38</v>
      </c>
      <c r="B39" s="76" t="s">
        <v>572</v>
      </c>
    </row>
    <row r="40" spans="1:5" x14ac:dyDescent="0.25">
      <c r="A40" s="73">
        <v>39</v>
      </c>
      <c r="B40" s="77" t="s">
        <v>573</v>
      </c>
    </row>
    <row r="41" spans="1:5" x14ac:dyDescent="0.25">
      <c r="A41" s="72">
        <v>40</v>
      </c>
      <c r="B41" s="77" t="s">
        <v>574</v>
      </c>
    </row>
    <row r="42" spans="1:5" x14ac:dyDescent="0.25">
      <c r="A42" s="73">
        <v>41</v>
      </c>
      <c r="B42" s="77" t="s">
        <v>575</v>
      </c>
    </row>
    <row r="43" spans="1:5" x14ac:dyDescent="0.25">
      <c r="B43" s="77" t="s">
        <v>576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64A1-D2E1-49F2-8B5A-CE593F9D7FE3}">
  <sheetPr codeName="Hoja1"/>
  <dimension ref="A1:S291"/>
  <sheetViews>
    <sheetView showGridLines="0" topLeftCell="D1" zoomScaleNormal="100" workbookViewId="0">
      <pane ySplit="7" topLeftCell="A129" activePane="bottomLeft" state="frozen"/>
      <selection activeCell="C1" sqref="C1"/>
      <selection pane="bottomLeft" activeCell="K129" sqref="K129"/>
    </sheetView>
  </sheetViews>
  <sheetFormatPr baseColWidth="10" defaultRowHeight="15" x14ac:dyDescent="0.25"/>
  <cols>
    <col min="1" max="1" width="3.28515625" customWidth="1"/>
    <col min="2" max="2" width="9.28515625" customWidth="1"/>
    <col min="3" max="3" width="45.7109375" customWidth="1"/>
    <col min="4" max="4" width="28.5703125" customWidth="1"/>
    <col min="5" max="5" width="13.5703125" style="2" customWidth="1"/>
    <col min="6" max="6" width="24" customWidth="1"/>
    <col min="9" max="9" width="5.85546875" customWidth="1"/>
    <col min="10" max="10" width="11.85546875" customWidth="1"/>
    <col min="11" max="11" width="13.140625" customWidth="1"/>
    <col min="12" max="12" width="17.5703125" customWidth="1"/>
    <col min="13" max="13" width="10.85546875" customWidth="1"/>
    <col min="14" max="14" width="14.7109375" customWidth="1"/>
    <col min="15" max="15" width="15.7109375" customWidth="1"/>
  </cols>
  <sheetData>
    <row r="1" spans="1:19" ht="42.6" customHeight="1" x14ac:dyDescent="0.25">
      <c r="A1" s="10"/>
      <c r="B1" s="11" t="s">
        <v>104</v>
      </c>
      <c r="C1" s="9"/>
      <c r="D1" s="9"/>
      <c r="E1" s="17"/>
      <c r="F1" s="9"/>
      <c r="G1" s="9"/>
      <c r="H1" s="9"/>
      <c r="I1" s="9"/>
      <c r="J1" s="9"/>
      <c r="K1" s="9"/>
      <c r="L1" s="9"/>
      <c r="M1" s="9"/>
      <c r="N1" s="9"/>
      <c r="O1" s="9"/>
      <c r="P1" s="8"/>
      <c r="Q1" s="8"/>
      <c r="R1" s="8"/>
    </row>
    <row r="2" spans="1:19" ht="5.45" customHeight="1" x14ac:dyDescent="0.25">
      <c r="C2" s="8"/>
      <c r="D2" s="8"/>
      <c r="E2" s="1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9" ht="20.45" customHeight="1" x14ac:dyDescent="0.25">
      <c r="A3" s="10"/>
      <c r="B3" s="12" t="s">
        <v>105</v>
      </c>
      <c r="C3" s="10"/>
      <c r="D3" s="10"/>
      <c r="E3" s="19"/>
      <c r="F3" s="10"/>
      <c r="G3" s="10"/>
      <c r="H3" s="10"/>
      <c r="I3" s="10"/>
      <c r="J3" s="10"/>
      <c r="K3" s="10"/>
    </row>
    <row r="5" spans="1:19" ht="20.45" customHeight="1" x14ac:dyDescent="0.3">
      <c r="B5" s="3" t="s">
        <v>10</v>
      </c>
    </row>
    <row r="6" spans="1:19" s="13" customFormat="1" ht="8.4499999999999993" customHeight="1" x14ac:dyDescent="0.2"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I6" s="14">
        <v>8</v>
      </c>
      <c r="J6" s="14">
        <v>9</v>
      </c>
      <c r="K6" s="14">
        <v>10</v>
      </c>
      <c r="L6" s="14">
        <v>11</v>
      </c>
      <c r="M6" s="14">
        <v>12</v>
      </c>
      <c r="N6" s="14">
        <v>13</v>
      </c>
      <c r="O6" s="14">
        <v>14</v>
      </c>
    </row>
    <row r="7" spans="1:19" ht="36" customHeight="1" x14ac:dyDescent="0.25">
      <c r="B7" s="20" t="s">
        <v>0</v>
      </c>
      <c r="C7" s="4" t="s">
        <v>1</v>
      </c>
      <c r="D7" s="4" t="s">
        <v>2</v>
      </c>
      <c r="E7" s="20" t="s">
        <v>106</v>
      </c>
      <c r="F7" s="4" t="s">
        <v>6</v>
      </c>
      <c r="G7" s="4" t="s">
        <v>3</v>
      </c>
      <c r="H7" s="20" t="s">
        <v>103</v>
      </c>
      <c r="I7" s="4" t="s">
        <v>99</v>
      </c>
      <c r="J7" s="4" t="s">
        <v>4</v>
      </c>
      <c r="K7" s="20" t="s">
        <v>5</v>
      </c>
      <c r="L7" s="4" t="s">
        <v>7</v>
      </c>
      <c r="M7" s="4" t="s">
        <v>9</v>
      </c>
      <c r="N7" s="4" t="s">
        <v>48</v>
      </c>
      <c r="O7" s="4" t="s">
        <v>49</v>
      </c>
    </row>
    <row r="8" spans="1:19" ht="30" hidden="1" customHeight="1" x14ac:dyDescent="0.25">
      <c r="B8" s="23" t="str">
        <f>E8&amp;"-"&amp;COUNTIF($E$8:E8,E8)</f>
        <v>IS-1</v>
      </c>
      <c r="C8" s="22" t="s">
        <v>50</v>
      </c>
      <c r="D8" s="22" t="s">
        <v>24</v>
      </c>
      <c r="E8" s="21" t="str">
        <f>IFERROR(VLOOKUP(D8,Hoja3!$A$2:$B$50,2,0),"")</f>
        <v>IS</v>
      </c>
      <c r="F8" s="2" t="s">
        <v>51</v>
      </c>
      <c r="G8" s="2" t="s">
        <v>38</v>
      </c>
      <c r="H8" s="20" t="str">
        <f>IF(Tabla1[[#This Row],[EXISTENCIA ACTUAL]]=0,"AGOTADO",  IF(Tabla1[[#This Row],[EXISTENCIA ACTUAL]]&lt;Tabla1[[#This Row],[STOCK MINIMO]],"MENOR AL MINIMO", "OK"))</f>
        <v>OK</v>
      </c>
      <c r="I8" s="2">
        <f>IF(Tabla1[[#This Row],[EXISTENCIA ACTUAL]]=0,0,  IF(Tabla1[[#This Row],[EXISTENCIA ACTUAL]]&lt;Tabla1[[#This Row],[STOCK MINIMO]],1, 2))</f>
        <v>2</v>
      </c>
      <c r="J8" s="2">
        <v>2</v>
      </c>
      <c r="K8" s="21">
        <f>SUMIFS(Tabla2[CANTIDAD],Tabla2[PRODUCTO],Tabla1[[#This Row],[PRODUCTO]])</f>
        <v>4</v>
      </c>
      <c r="L8" s="2" t="s">
        <v>44</v>
      </c>
      <c r="M8" s="2" t="s">
        <v>47</v>
      </c>
      <c r="S8" t="s">
        <v>100</v>
      </c>
    </row>
    <row r="9" spans="1:19" ht="30" hidden="1" customHeight="1" x14ac:dyDescent="0.25">
      <c r="B9" s="23" t="str">
        <f>E9&amp;"-"&amp;COUNTIF($E$8:E9,E9)</f>
        <v>IS-2</v>
      </c>
      <c r="C9" s="22" t="s">
        <v>52</v>
      </c>
      <c r="D9" s="22" t="s">
        <v>24</v>
      </c>
      <c r="E9" s="21" t="str">
        <f>IFERROR(VLOOKUP(D9,Hoja3!$A$2:$B$50,2,0),"")</f>
        <v>IS</v>
      </c>
      <c r="F9" s="2" t="s">
        <v>51</v>
      </c>
      <c r="G9" s="2" t="s">
        <v>38</v>
      </c>
      <c r="H9" s="20" t="str">
        <f>IF(Tabla1[[#This Row],[EXISTENCIA ACTUAL]]=0,"AGOTADO",  IF(Tabla1[[#This Row],[EXISTENCIA ACTUAL]]&lt;Tabla1[[#This Row],[STOCK MINIMO]],"MENOR AL MINIMO", "OK"))</f>
        <v>OK</v>
      </c>
      <c r="I9" s="2">
        <f>IF(Tabla1[[#This Row],[EXISTENCIA ACTUAL]]=0,0,  IF(Tabla1[[#This Row],[EXISTENCIA ACTUAL]]&lt;Tabla1[[#This Row],[STOCK MINIMO]],1, 2))</f>
        <v>2</v>
      </c>
      <c r="J9" s="2">
        <v>2</v>
      </c>
      <c r="K9" s="21">
        <f>SUMIFS(Tabla2[CANTIDAD],Tabla2[PRODUCTO],Tabla1[[#This Row],[PRODUCTO]])</f>
        <v>5</v>
      </c>
      <c r="L9" s="2" t="s">
        <v>44</v>
      </c>
      <c r="M9" s="2" t="s">
        <v>47</v>
      </c>
      <c r="Q9" s="2"/>
      <c r="S9" t="s">
        <v>101</v>
      </c>
    </row>
    <row r="10" spans="1:19" ht="30" hidden="1" customHeight="1" x14ac:dyDescent="0.25">
      <c r="B10" s="23" t="str">
        <f>E10&amp;"-"&amp;COUNTIF($E$8:E10,E10)</f>
        <v>IS-3</v>
      </c>
      <c r="C10" s="22" t="s">
        <v>53</v>
      </c>
      <c r="D10" s="22" t="s">
        <v>24</v>
      </c>
      <c r="E10" s="21" t="str">
        <f>IFERROR(VLOOKUP(D10,Hoja3!$A$2:$B$50,2,0),"")</f>
        <v>IS</v>
      </c>
      <c r="F10" s="2" t="s">
        <v>51</v>
      </c>
      <c r="G10" s="2" t="s">
        <v>38</v>
      </c>
      <c r="H10" s="20" t="str">
        <f>IF(Tabla1[[#This Row],[EXISTENCIA ACTUAL]]=0,"AGOTADO",  IF(Tabla1[[#This Row],[EXISTENCIA ACTUAL]]&lt;Tabla1[[#This Row],[STOCK MINIMO]],"MENOR AL MINIMO", "OK"))</f>
        <v>AGOTADO</v>
      </c>
      <c r="I10" s="2">
        <f>IF(Tabla1[[#This Row],[EXISTENCIA ACTUAL]]=0,0,  IF(Tabla1[[#This Row],[EXISTENCIA ACTUAL]]&lt;Tabla1[[#This Row],[STOCK MINIMO]],1, 2))</f>
        <v>0</v>
      </c>
      <c r="J10" s="2">
        <v>2</v>
      </c>
      <c r="K10" s="21">
        <f>SUMIFS(Tabla2[CANTIDAD],Tabla2[PRODUCTO],Tabla1[[#This Row],[PRODUCTO]])</f>
        <v>0</v>
      </c>
      <c r="L10" s="2" t="s">
        <v>44</v>
      </c>
      <c r="M10" s="2" t="s">
        <v>47</v>
      </c>
      <c r="S10" t="s">
        <v>102</v>
      </c>
    </row>
    <row r="11" spans="1:19" ht="30" hidden="1" customHeight="1" x14ac:dyDescent="0.25">
      <c r="B11" s="23" t="str">
        <f>E11&amp;"-"&amp;COUNTIF($E$8:E11,E11)</f>
        <v>IS-4</v>
      </c>
      <c r="C11" s="22" t="s">
        <v>54</v>
      </c>
      <c r="D11" s="22" t="s">
        <v>24</v>
      </c>
      <c r="E11" s="21" t="str">
        <f>IFERROR(VLOOKUP(D11,Hoja3!$A$2:$B$50,2,0),"")</f>
        <v>IS</v>
      </c>
      <c r="F11" s="2" t="s">
        <v>51</v>
      </c>
      <c r="G11" s="2" t="s">
        <v>38</v>
      </c>
      <c r="H11" s="20" t="str">
        <f>IF(Tabla1[[#This Row],[EXISTENCIA ACTUAL]]=0,"AGOTADO",  IF(Tabla1[[#This Row],[EXISTENCIA ACTUAL]]&lt;Tabla1[[#This Row],[STOCK MINIMO]],"MENOR AL MINIMO", "OK"))</f>
        <v>AGOTADO</v>
      </c>
      <c r="I11" s="2">
        <f>IF(Tabla1[[#This Row],[EXISTENCIA ACTUAL]]=0,0,  IF(Tabla1[[#This Row],[EXISTENCIA ACTUAL]]&lt;Tabla1[[#This Row],[STOCK MINIMO]],1, 2))</f>
        <v>0</v>
      </c>
      <c r="J11" s="2">
        <v>2</v>
      </c>
      <c r="K11" s="21">
        <f>SUMIFS(Tabla2[CANTIDAD],Tabla2[PRODUCTO],Tabla1[[#This Row],[PRODUCTO]])</f>
        <v>0</v>
      </c>
      <c r="L11" s="2" t="s">
        <v>44</v>
      </c>
      <c r="M11" s="2" t="s">
        <v>47</v>
      </c>
    </row>
    <row r="12" spans="1:19" ht="30" hidden="1" customHeight="1" x14ac:dyDescent="0.25">
      <c r="B12" s="23" t="str">
        <f>E12&amp;"-"&amp;COUNTIF($E$8:E12,E12)</f>
        <v>IS-5</v>
      </c>
      <c r="C12" s="22" t="s">
        <v>55</v>
      </c>
      <c r="D12" s="22" t="s">
        <v>24</v>
      </c>
      <c r="E12" s="21" t="str">
        <f>IFERROR(VLOOKUP(D12,Hoja3!$A$2:$B$50,2,0),"")</f>
        <v>IS</v>
      </c>
      <c r="F12" s="2" t="s">
        <v>51</v>
      </c>
      <c r="G12" s="2" t="s">
        <v>38</v>
      </c>
      <c r="H12" s="20" t="str">
        <f>IF(Tabla1[[#This Row],[EXISTENCIA ACTUAL]]=0,"AGOTADO",  IF(Tabla1[[#This Row],[EXISTENCIA ACTUAL]]&lt;Tabla1[[#This Row],[STOCK MINIMO]],"MENOR AL MINIMO", "OK"))</f>
        <v>AGOTADO</v>
      </c>
      <c r="I12" s="2">
        <f>IF(Tabla1[[#This Row],[EXISTENCIA ACTUAL]]=0,0,  IF(Tabla1[[#This Row],[EXISTENCIA ACTUAL]]&lt;Tabla1[[#This Row],[STOCK MINIMO]],1, 2))</f>
        <v>0</v>
      </c>
      <c r="J12" s="2">
        <v>2</v>
      </c>
      <c r="K12" s="21">
        <f>SUMIFS(Tabla2[CANTIDAD],Tabla2[PRODUCTO],Tabla1[[#This Row],[PRODUCTO]])</f>
        <v>0</v>
      </c>
      <c r="L12" s="2" t="s">
        <v>44</v>
      </c>
      <c r="M12" s="2" t="s">
        <v>47</v>
      </c>
    </row>
    <row r="13" spans="1:19" ht="30" hidden="1" customHeight="1" x14ac:dyDescent="0.25">
      <c r="B13" s="23" t="str">
        <f>E13&amp;"-"&amp;COUNTIF($E$8:E13,E13)</f>
        <v>IS-6</v>
      </c>
      <c r="C13" s="22" t="s">
        <v>56</v>
      </c>
      <c r="D13" s="22" t="s">
        <v>24</v>
      </c>
      <c r="E13" s="21" t="str">
        <f>IFERROR(VLOOKUP(D13,Hoja3!$A$2:$B$50,2,0),"")</f>
        <v>IS</v>
      </c>
      <c r="F13" s="2" t="s">
        <v>51</v>
      </c>
      <c r="G13" s="2" t="s">
        <v>38</v>
      </c>
      <c r="H13" s="20" t="str">
        <f>IF(Tabla1[[#This Row],[EXISTENCIA ACTUAL]]=0,"AGOTADO",  IF(Tabla1[[#This Row],[EXISTENCIA ACTUAL]]&lt;Tabla1[[#This Row],[STOCK MINIMO]],"MENOR AL MINIMO", "OK"))</f>
        <v>AGOTADO</v>
      </c>
      <c r="I13" s="2">
        <f>IF(Tabla1[[#This Row],[EXISTENCIA ACTUAL]]=0,0,  IF(Tabla1[[#This Row],[EXISTENCIA ACTUAL]]&lt;Tabla1[[#This Row],[STOCK MINIMO]],1, 2))</f>
        <v>0</v>
      </c>
      <c r="J13" s="2">
        <v>2</v>
      </c>
      <c r="K13" s="21">
        <f>SUMIFS(Tabla2[CANTIDAD],Tabla2[PRODUCTO],Tabla1[[#This Row],[PRODUCTO]])</f>
        <v>0</v>
      </c>
      <c r="L13" s="2" t="s">
        <v>44</v>
      </c>
      <c r="M13" s="2" t="s">
        <v>47</v>
      </c>
    </row>
    <row r="14" spans="1:19" ht="30" hidden="1" customHeight="1" x14ac:dyDescent="0.25">
      <c r="B14" s="23" t="str">
        <f>E14&amp;"-"&amp;COUNTIF($E$8:E14,E14)</f>
        <v>IS-7</v>
      </c>
      <c r="C14" s="22" t="s">
        <v>57</v>
      </c>
      <c r="D14" s="22" t="s">
        <v>24</v>
      </c>
      <c r="E14" s="21" t="str">
        <f>IFERROR(VLOOKUP(D14,Hoja3!$A$2:$B$50,2,0),"")</f>
        <v>IS</v>
      </c>
      <c r="F14" s="2" t="s">
        <v>51</v>
      </c>
      <c r="G14" s="2" t="s">
        <v>38</v>
      </c>
      <c r="H14" s="20" t="str">
        <f>IF(Tabla1[[#This Row],[EXISTENCIA ACTUAL]]=0,"AGOTADO",  IF(Tabla1[[#This Row],[EXISTENCIA ACTUAL]]&lt;Tabla1[[#This Row],[STOCK MINIMO]],"MENOR AL MINIMO", "OK"))</f>
        <v>AGOTADO</v>
      </c>
      <c r="I14" s="2">
        <f>IF(Tabla1[[#This Row],[EXISTENCIA ACTUAL]]=0,0,  IF(Tabla1[[#This Row],[EXISTENCIA ACTUAL]]&lt;Tabla1[[#This Row],[STOCK MINIMO]],1, 2))</f>
        <v>0</v>
      </c>
      <c r="J14" s="2">
        <v>2</v>
      </c>
      <c r="K14" s="21">
        <f>SUMIFS(Tabla2[CANTIDAD],Tabla2[PRODUCTO],Tabla1[[#This Row],[PRODUCTO]])</f>
        <v>0</v>
      </c>
      <c r="L14" s="2" t="s">
        <v>44</v>
      </c>
      <c r="M14" s="2" t="s">
        <v>47</v>
      </c>
    </row>
    <row r="15" spans="1:19" ht="30" hidden="1" customHeight="1" x14ac:dyDescent="0.25">
      <c r="B15" s="23" t="str">
        <f>E15&amp;"-"&amp;COUNTIF($E$8:E15,E15)</f>
        <v>IS-8</v>
      </c>
      <c r="C15" s="22" t="s">
        <v>58</v>
      </c>
      <c r="D15" s="22" t="s">
        <v>24</v>
      </c>
      <c r="E15" s="21" t="str">
        <f>IFERROR(VLOOKUP(D15,Hoja3!$A$2:$B$50,2,0),"")</f>
        <v>IS</v>
      </c>
      <c r="F15" s="2" t="s">
        <v>51</v>
      </c>
      <c r="G15" s="2" t="s">
        <v>38</v>
      </c>
      <c r="H15" s="20" t="str">
        <f>IF(Tabla1[[#This Row],[EXISTENCIA ACTUAL]]=0,"AGOTADO",  IF(Tabla1[[#This Row],[EXISTENCIA ACTUAL]]&lt;Tabla1[[#This Row],[STOCK MINIMO]],"MENOR AL MINIMO", "OK"))</f>
        <v>AGOTADO</v>
      </c>
      <c r="I15" s="2">
        <f>IF(Tabla1[[#This Row],[EXISTENCIA ACTUAL]]=0,0,  IF(Tabla1[[#This Row],[EXISTENCIA ACTUAL]]&lt;Tabla1[[#This Row],[STOCK MINIMO]],1, 2))</f>
        <v>0</v>
      </c>
      <c r="J15" s="2">
        <v>2</v>
      </c>
      <c r="K15" s="21">
        <f>SUMIFS(Tabla2[CANTIDAD],Tabla2[PRODUCTO],Tabla1[[#This Row],[PRODUCTO]])</f>
        <v>0</v>
      </c>
      <c r="L15" s="2" t="s">
        <v>44</v>
      </c>
      <c r="M15" s="2" t="s">
        <v>47</v>
      </c>
    </row>
    <row r="16" spans="1:19" ht="30" hidden="1" customHeight="1" x14ac:dyDescent="0.25">
      <c r="B16" s="23" t="str">
        <f>E16&amp;"-"&amp;COUNTIF($E$8:E16,E16)</f>
        <v>IS-9</v>
      </c>
      <c r="C16" s="22" t="s">
        <v>59</v>
      </c>
      <c r="D16" s="22" t="s">
        <v>24</v>
      </c>
      <c r="E16" s="21" t="str">
        <f>IFERROR(VLOOKUP(D16,Hoja3!$A$2:$B$50,2,0),"")</f>
        <v>IS</v>
      </c>
      <c r="F16" s="2" t="s">
        <v>51</v>
      </c>
      <c r="G16" s="2" t="s">
        <v>38</v>
      </c>
      <c r="H16" s="20" t="str">
        <f>IF(Tabla1[[#This Row],[EXISTENCIA ACTUAL]]=0,"AGOTADO",  IF(Tabla1[[#This Row],[EXISTENCIA ACTUAL]]&lt;Tabla1[[#This Row],[STOCK MINIMO]],"MENOR AL MINIMO", "OK"))</f>
        <v>AGOTADO</v>
      </c>
      <c r="I16" s="2">
        <f>IF(Tabla1[[#This Row],[EXISTENCIA ACTUAL]]=0,0,  IF(Tabla1[[#This Row],[EXISTENCIA ACTUAL]]&lt;Tabla1[[#This Row],[STOCK MINIMO]],1, 2))</f>
        <v>0</v>
      </c>
      <c r="J16" s="2">
        <v>1</v>
      </c>
      <c r="K16" s="21">
        <f>SUMIFS(Tabla2[CANTIDAD],Tabla2[PRODUCTO],Tabla1[[#This Row],[PRODUCTO]])</f>
        <v>0</v>
      </c>
      <c r="L16" s="2" t="s">
        <v>44</v>
      </c>
      <c r="M16" s="2" t="s">
        <v>47</v>
      </c>
    </row>
    <row r="17" spans="2:13" ht="30" hidden="1" customHeight="1" x14ac:dyDescent="0.25">
      <c r="B17" s="23" t="str">
        <f>E17&amp;"-"&amp;COUNTIF($E$8:E17,E17)</f>
        <v>IS-10</v>
      </c>
      <c r="C17" s="22" t="s">
        <v>60</v>
      </c>
      <c r="D17" s="22" t="s">
        <v>24</v>
      </c>
      <c r="E17" s="21" t="str">
        <f>IFERROR(VLOOKUP(D17,Hoja3!$A$2:$B$50,2,0),"")</f>
        <v>IS</v>
      </c>
      <c r="F17" s="2" t="s">
        <v>51</v>
      </c>
      <c r="G17" s="2" t="s">
        <v>38</v>
      </c>
      <c r="H17" s="20" t="str">
        <f>IF(Tabla1[[#This Row],[EXISTENCIA ACTUAL]]=0,"AGOTADO",  IF(Tabla1[[#This Row],[EXISTENCIA ACTUAL]]&lt;Tabla1[[#This Row],[STOCK MINIMO]],"MENOR AL MINIMO", "OK"))</f>
        <v>AGOTADO</v>
      </c>
      <c r="I17" s="2">
        <f>IF(Tabla1[[#This Row],[EXISTENCIA ACTUAL]]=0,0,  IF(Tabla1[[#This Row],[EXISTENCIA ACTUAL]]&lt;Tabla1[[#This Row],[STOCK MINIMO]],1, 2))</f>
        <v>0</v>
      </c>
      <c r="J17" s="2">
        <v>1</v>
      </c>
      <c r="K17" s="21">
        <f>SUMIFS(Tabla2[CANTIDAD],Tabla2[PRODUCTO],Tabla1[[#This Row],[PRODUCTO]])</f>
        <v>0</v>
      </c>
      <c r="L17" s="2" t="s">
        <v>44</v>
      </c>
      <c r="M17" s="2" t="s">
        <v>47</v>
      </c>
    </row>
    <row r="18" spans="2:13" ht="30" hidden="1" customHeight="1" x14ac:dyDescent="0.25">
      <c r="B18" s="23" t="str">
        <f>E18&amp;"-"&amp;COUNTIF($E$8:E18,E18)</f>
        <v>IS-11</v>
      </c>
      <c r="C18" s="22" t="s">
        <v>61</v>
      </c>
      <c r="D18" s="22" t="s">
        <v>24</v>
      </c>
      <c r="E18" s="21" t="str">
        <f>IFERROR(VLOOKUP(D18,Hoja3!$A$2:$B$50,2,0),"")</f>
        <v>IS</v>
      </c>
      <c r="F18" s="2" t="s">
        <v>51</v>
      </c>
      <c r="G18" s="2" t="s">
        <v>38</v>
      </c>
      <c r="H18" s="20" t="str">
        <f>IF(Tabla1[[#This Row],[EXISTENCIA ACTUAL]]=0,"AGOTADO",  IF(Tabla1[[#This Row],[EXISTENCIA ACTUAL]]&lt;Tabla1[[#This Row],[STOCK MINIMO]],"MENOR AL MINIMO", "OK"))</f>
        <v>AGOTADO</v>
      </c>
      <c r="I18" s="2">
        <f>IF(Tabla1[[#This Row],[EXISTENCIA ACTUAL]]=0,0,  IF(Tabla1[[#This Row],[EXISTENCIA ACTUAL]]&lt;Tabla1[[#This Row],[STOCK MINIMO]],1, 2))</f>
        <v>0</v>
      </c>
      <c r="J18" s="2">
        <v>1</v>
      </c>
      <c r="K18" s="21">
        <f>SUMIFS(Tabla2[CANTIDAD],Tabla2[PRODUCTO],Tabla1[[#This Row],[PRODUCTO]])</f>
        <v>0</v>
      </c>
      <c r="L18" s="2" t="s">
        <v>44</v>
      </c>
      <c r="M18" s="2" t="s">
        <v>47</v>
      </c>
    </row>
    <row r="19" spans="2:13" ht="30" hidden="1" customHeight="1" x14ac:dyDescent="0.25">
      <c r="B19" s="23" t="str">
        <f>E19&amp;"-"&amp;COUNTIF($E$8:E19,E19)</f>
        <v>IS-12</v>
      </c>
      <c r="C19" s="22" t="s">
        <v>62</v>
      </c>
      <c r="D19" s="22" t="s">
        <v>24</v>
      </c>
      <c r="E19" s="21" t="str">
        <f>IFERROR(VLOOKUP(D19,Hoja3!$A$2:$B$50,2,0),"")</f>
        <v>IS</v>
      </c>
      <c r="F19" s="2" t="s">
        <v>51</v>
      </c>
      <c r="G19" s="2" t="s">
        <v>38</v>
      </c>
      <c r="H19" s="20" t="str">
        <f>IF(Tabla1[[#This Row],[EXISTENCIA ACTUAL]]=0,"AGOTADO",  IF(Tabla1[[#This Row],[EXISTENCIA ACTUAL]]&lt;Tabla1[[#This Row],[STOCK MINIMO]],"MENOR AL MINIMO", "OK"))</f>
        <v>AGOTADO</v>
      </c>
      <c r="I19" s="2">
        <f>IF(Tabla1[[#This Row],[EXISTENCIA ACTUAL]]=0,0,  IF(Tabla1[[#This Row],[EXISTENCIA ACTUAL]]&lt;Tabla1[[#This Row],[STOCK MINIMO]],1, 2))</f>
        <v>0</v>
      </c>
      <c r="J19" s="2">
        <v>1</v>
      </c>
      <c r="K19" s="21">
        <f>SUMIFS(Tabla2[CANTIDAD],Tabla2[PRODUCTO],Tabla1[[#This Row],[PRODUCTO]])</f>
        <v>0</v>
      </c>
      <c r="L19" s="2" t="s">
        <v>44</v>
      </c>
      <c r="M19" s="2" t="s">
        <v>47</v>
      </c>
    </row>
    <row r="20" spans="2:13" ht="30" hidden="1" customHeight="1" x14ac:dyDescent="0.25">
      <c r="B20" s="23" t="str">
        <f>E20&amp;"-"&amp;COUNTIF($E$8:E20,E20)</f>
        <v>IS-13</v>
      </c>
      <c r="C20" s="22" t="s">
        <v>63</v>
      </c>
      <c r="D20" s="22" t="s">
        <v>24</v>
      </c>
      <c r="E20" s="21" t="str">
        <f>IFERROR(VLOOKUP(D20,Hoja3!$A$2:$B$50,2,0),"")</f>
        <v>IS</v>
      </c>
      <c r="F20" s="2" t="s">
        <v>51</v>
      </c>
      <c r="G20" s="2" t="s">
        <v>38</v>
      </c>
      <c r="H20" s="20" t="str">
        <f>IF(Tabla1[[#This Row],[EXISTENCIA ACTUAL]]=0,"AGOTADO",  IF(Tabla1[[#This Row],[EXISTENCIA ACTUAL]]&lt;Tabla1[[#This Row],[STOCK MINIMO]],"MENOR AL MINIMO", "OK"))</f>
        <v>OK</v>
      </c>
      <c r="I20" s="2">
        <f>IF(Tabla1[[#This Row],[EXISTENCIA ACTUAL]]=0,0,  IF(Tabla1[[#This Row],[EXISTENCIA ACTUAL]]&lt;Tabla1[[#This Row],[STOCK MINIMO]],1, 2))</f>
        <v>2</v>
      </c>
      <c r="J20" s="2">
        <v>1</v>
      </c>
      <c r="K20" s="21">
        <f>SUMIFS(Tabla2[CANTIDAD],Tabla2[PRODUCTO],Tabla1[[#This Row],[PRODUCTO]])</f>
        <v>2</v>
      </c>
      <c r="L20" s="2" t="s">
        <v>44</v>
      </c>
      <c r="M20" s="2" t="s">
        <v>47</v>
      </c>
    </row>
    <row r="21" spans="2:13" ht="30" hidden="1" customHeight="1" x14ac:dyDescent="0.25">
      <c r="B21" s="23" t="str">
        <f>E21&amp;"-"&amp;COUNTIF($E$8:E21,E21)</f>
        <v>IS-14</v>
      </c>
      <c r="C21" s="22" t="s">
        <v>271</v>
      </c>
      <c r="D21" s="22" t="s">
        <v>24</v>
      </c>
      <c r="E21" s="21" t="str">
        <f>IFERROR(VLOOKUP(D21,Hoja3!$A$2:$B$50,2,0),"")</f>
        <v>IS</v>
      </c>
      <c r="F21" s="2" t="s">
        <v>51</v>
      </c>
      <c r="G21" s="2" t="s">
        <v>38</v>
      </c>
      <c r="H21" s="20" t="str">
        <f>IF(Tabla1[[#This Row],[EXISTENCIA ACTUAL]]=0,"AGOTADO",  IF(Tabla1[[#This Row],[EXISTENCIA ACTUAL]]&lt;Tabla1[[#This Row],[STOCK MINIMO]],"MENOR AL MINIMO", "OK"))</f>
        <v>MENOR AL MINIMO</v>
      </c>
      <c r="I21" s="2">
        <f>IF(Tabla1[[#This Row],[EXISTENCIA ACTUAL]]=0,0,  IF(Tabla1[[#This Row],[EXISTENCIA ACTUAL]]&lt;Tabla1[[#This Row],[STOCK MINIMO]],1, 2))</f>
        <v>1</v>
      </c>
      <c r="J21" s="2">
        <v>2</v>
      </c>
      <c r="K21" s="21">
        <f>SUMIFS(Tabla2[CANTIDAD],Tabla2[PRODUCTO],Tabla1[[#This Row],[PRODUCTO]])</f>
        <v>1</v>
      </c>
      <c r="L21" s="2" t="s">
        <v>44</v>
      </c>
      <c r="M21" s="2" t="s">
        <v>47</v>
      </c>
    </row>
    <row r="22" spans="2:13" ht="30" hidden="1" customHeight="1" x14ac:dyDescent="0.25">
      <c r="B22" s="23" t="str">
        <f>E22&amp;"-"&amp;COUNTIF($E$8:E22,E22)</f>
        <v>IS-15</v>
      </c>
      <c r="C22" s="22" t="s">
        <v>64</v>
      </c>
      <c r="D22" s="22" t="s">
        <v>24</v>
      </c>
      <c r="E22" s="21" t="str">
        <f>IFERROR(VLOOKUP(D22,Hoja3!$A$2:$B$50,2,0),"")</f>
        <v>IS</v>
      </c>
      <c r="F22" s="2" t="s">
        <v>51</v>
      </c>
      <c r="G22" s="2" t="s">
        <v>28</v>
      </c>
      <c r="H22" s="20" t="str">
        <f>IF(Tabla1[[#This Row],[EXISTENCIA ACTUAL]]=0,"AGOTADO",  IF(Tabla1[[#This Row],[EXISTENCIA ACTUAL]]&lt;Tabla1[[#This Row],[STOCK MINIMO]],"MENOR AL MINIMO", "OK"))</f>
        <v>AGOTADO</v>
      </c>
      <c r="I22" s="2">
        <f>IF(Tabla1[[#This Row],[EXISTENCIA ACTUAL]]=0,0,  IF(Tabla1[[#This Row],[EXISTENCIA ACTUAL]]&lt;Tabla1[[#This Row],[STOCK MINIMO]],1, 2))</f>
        <v>0</v>
      </c>
      <c r="J22" s="2">
        <v>2</v>
      </c>
      <c r="K22" s="21">
        <f>SUMIFS(Tabla2[CANTIDAD],Tabla2[PRODUCTO],Tabla1[[#This Row],[PRODUCTO]])</f>
        <v>0</v>
      </c>
      <c r="L22" s="2" t="s">
        <v>44</v>
      </c>
      <c r="M22" s="2" t="s">
        <v>47</v>
      </c>
    </row>
    <row r="23" spans="2:13" ht="30" hidden="1" customHeight="1" x14ac:dyDescent="0.25">
      <c r="B23" s="23" t="str">
        <f>E23&amp;"-"&amp;COUNTIF($E$8:E23,E23)</f>
        <v>IS-16</v>
      </c>
      <c r="C23" s="22" t="s">
        <v>65</v>
      </c>
      <c r="D23" s="22" t="s">
        <v>24</v>
      </c>
      <c r="E23" s="21" t="str">
        <f>IFERROR(VLOOKUP(D23,Hoja3!$A$2:$B$50,2,0),"")</f>
        <v>IS</v>
      </c>
      <c r="F23" s="2" t="s">
        <v>51</v>
      </c>
      <c r="G23" s="2" t="s">
        <v>28</v>
      </c>
      <c r="H23" s="20" t="str">
        <f>IF(Tabla1[[#This Row],[EXISTENCIA ACTUAL]]=0,"AGOTADO",  IF(Tabla1[[#This Row],[EXISTENCIA ACTUAL]]&lt;Tabla1[[#This Row],[STOCK MINIMO]],"MENOR AL MINIMO", "OK"))</f>
        <v>MENOR AL MINIMO</v>
      </c>
      <c r="I23" s="2">
        <f>IF(Tabla1[[#This Row],[EXISTENCIA ACTUAL]]=0,0,  IF(Tabla1[[#This Row],[EXISTENCIA ACTUAL]]&lt;Tabla1[[#This Row],[STOCK MINIMO]],1, 2))</f>
        <v>1</v>
      </c>
      <c r="J23" s="2">
        <v>2</v>
      </c>
      <c r="K23" s="21">
        <f>SUMIFS(Tabla2[CANTIDAD],Tabla2[PRODUCTO],Tabla1[[#This Row],[PRODUCTO]])</f>
        <v>1</v>
      </c>
      <c r="L23" s="2" t="s">
        <v>44</v>
      </c>
      <c r="M23" s="2" t="s">
        <v>47</v>
      </c>
    </row>
    <row r="24" spans="2:13" ht="30" hidden="1" customHeight="1" x14ac:dyDescent="0.25">
      <c r="B24" s="23" t="str">
        <f>E24&amp;"-"&amp;COUNTIF($E$8:E24,E24)</f>
        <v>IS-17</v>
      </c>
      <c r="C24" s="22" t="s">
        <v>66</v>
      </c>
      <c r="D24" s="22" t="s">
        <v>24</v>
      </c>
      <c r="E24" s="21" t="str">
        <f>IFERROR(VLOOKUP(D24,Hoja3!$A$2:$B$50,2,0),"")</f>
        <v>IS</v>
      </c>
      <c r="F24" s="2" t="s">
        <v>51</v>
      </c>
      <c r="G24" s="2" t="s">
        <v>28</v>
      </c>
      <c r="H24" s="20" t="str">
        <f>IF(Tabla1[[#This Row],[EXISTENCIA ACTUAL]]=0,"AGOTADO",  IF(Tabla1[[#This Row],[EXISTENCIA ACTUAL]]&lt;Tabla1[[#This Row],[STOCK MINIMO]],"MENOR AL MINIMO", "OK"))</f>
        <v>AGOTADO</v>
      </c>
      <c r="I24" s="2">
        <f>IF(Tabla1[[#This Row],[EXISTENCIA ACTUAL]]=0,0,  IF(Tabla1[[#This Row],[EXISTENCIA ACTUAL]]&lt;Tabla1[[#This Row],[STOCK MINIMO]],1, 2))</f>
        <v>0</v>
      </c>
      <c r="J24" s="2">
        <v>2</v>
      </c>
      <c r="K24" s="21">
        <f>SUMIFS(Tabla2[CANTIDAD],Tabla2[PRODUCTO],Tabla1[[#This Row],[PRODUCTO]])</f>
        <v>0</v>
      </c>
      <c r="L24" s="2" t="s">
        <v>44</v>
      </c>
      <c r="M24" s="2" t="s">
        <v>47</v>
      </c>
    </row>
    <row r="25" spans="2:13" ht="30" hidden="1" customHeight="1" x14ac:dyDescent="0.25">
      <c r="B25" s="23" t="str">
        <f>E25&amp;"-"&amp;COUNTIF($E$8:E25,E25)</f>
        <v>IS-18</v>
      </c>
      <c r="C25" s="22" t="s">
        <v>67</v>
      </c>
      <c r="D25" s="22" t="s">
        <v>24</v>
      </c>
      <c r="E25" s="21" t="str">
        <f>IFERROR(VLOOKUP(D25,Hoja3!$A$2:$B$50,2,0),"")</f>
        <v>IS</v>
      </c>
      <c r="F25" s="2" t="s">
        <v>51</v>
      </c>
      <c r="G25" s="2" t="s">
        <v>38</v>
      </c>
      <c r="H25" s="20" t="str">
        <f>IF(Tabla1[[#This Row],[EXISTENCIA ACTUAL]]=0,"AGOTADO",  IF(Tabla1[[#This Row],[EXISTENCIA ACTUAL]]&lt;Tabla1[[#This Row],[STOCK MINIMO]],"MENOR AL MINIMO", "OK"))</f>
        <v>AGOTADO</v>
      </c>
      <c r="I25" s="2">
        <f>IF(Tabla1[[#This Row],[EXISTENCIA ACTUAL]]=0,0,  IF(Tabla1[[#This Row],[EXISTENCIA ACTUAL]]&lt;Tabla1[[#This Row],[STOCK MINIMO]],1, 2))</f>
        <v>0</v>
      </c>
      <c r="J25" s="2">
        <v>2</v>
      </c>
      <c r="K25" s="21">
        <f>SUMIFS(Tabla2[CANTIDAD],Tabla2[PRODUCTO],Tabla1[[#This Row],[PRODUCTO]])</f>
        <v>0</v>
      </c>
      <c r="L25" s="2" t="s">
        <v>44</v>
      </c>
      <c r="M25" s="2" t="s">
        <v>47</v>
      </c>
    </row>
    <row r="26" spans="2:13" ht="30" hidden="1" customHeight="1" x14ac:dyDescent="0.25">
      <c r="B26" s="23" t="str">
        <f>E26&amp;"-"&amp;COUNTIF($E$8:E26,E26)</f>
        <v>IS-19</v>
      </c>
      <c r="C26" s="22" t="s">
        <v>68</v>
      </c>
      <c r="D26" s="22" t="s">
        <v>24</v>
      </c>
      <c r="E26" s="21" t="str">
        <f>IFERROR(VLOOKUP(D26,Hoja3!$A$2:$B$50,2,0),"")</f>
        <v>IS</v>
      </c>
      <c r="F26" s="2" t="s">
        <v>51</v>
      </c>
      <c r="G26" s="2" t="s">
        <v>38</v>
      </c>
      <c r="H26" s="20" t="str">
        <f>IF(Tabla1[[#This Row],[EXISTENCIA ACTUAL]]=0,"AGOTADO",  IF(Tabla1[[#This Row],[EXISTENCIA ACTUAL]]&lt;Tabla1[[#This Row],[STOCK MINIMO]],"MENOR AL MINIMO", "OK"))</f>
        <v>OK</v>
      </c>
      <c r="I26" s="2">
        <f>IF(Tabla1[[#This Row],[EXISTENCIA ACTUAL]]=0,0,  IF(Tabla1[[#This Row],[EXISTENCIA ACTUAL]]&lt;Tabla1[[#This Row],[STOCK MINIMO]],1, 2))</f>
        <v>2</v>
      </c>
      <c r="J26" s="2">
        <v>2</v>
      </c>
      <c r="K26" s="21">
        <f>SUMIFS(Tabla2[CANTIDAD],Tabla2[PRODUCTO],Tabla1[[#This Row],[PRODUCTO]])</f>
        <v>4</v>
      </c>
      <c r="L26" s="2" t="s">
        <v>44</v>
      </c>
      <c r="M26" s="2" t="s">
        <v>47</v>
      </c>
    </row>
    <row r="27" spans="2:13" ht="30" hidden="1" customHeight="1" x14ac:dyDescent="0.25">
      <c r="B27" s="23" t="str">
        <f>E27&amp;"-"&amp;COUNTIF($E$8:E27,E27)</f>
        <v>IS-20</v>
      </c>
      <c r="C27" s="22" t="s">
        <v>69</v>
      </c>
      <c r="D27" s="22" t="s">
        <v>24</v>
      </c>
      <c r="E27" s="21" t="str">
        <f>IFERROR(VLOOKUP(D27,Hoja3!$A$2:$B$50,2,0),"")</f>
        <v>IS</v>
      </c>
      <c r="F27" s="2" t="s">
        <v>51</v>
      </c>
      <c r="G27" s="2" t="s">
        <v>38</v>
      </c>
      <c r="H27" s="20" t="str">
        <f>IF(Tabla1[[#This Row],[EXISTENCIA ACTUAL]]=0,"AGOTADO",  IF(Tabla1[[#This Row],[EXISTENCIA ACTUAL]]&lt;Tabla1[[#This Row],[STOCK MINIMO]],"MENOR AL MINIMO", "OK"))</f>
        <v>OK</v>
      </c>
      <c r="I27" s="2">
        <f>IF(Tabla1[[#This Row],[EXISTENCIA ACTUAL]]=0,0,  IF(Tabla1[[#This Row],[EXISTENCIA ACTUAL]]&lt;Tabla1[[#This Row],[STOCK MINIMO]],1, 2))</f>
        <v>2</v>
      </c>
      <c r="J27" s="2">
        <v>2</v>
      </c>
      <c r="K27" s="21">
        <f>SUMIFS(Tabla2[CANTIDAD],Tabla2[PRODUCTO],Tabla1[[#This Row],[PRODUCTO]])</f>
        <v>5</v>
      </c>
      <c r="L27" s="2" t="s">
        <v>44</v>
      </c>
      <c r="M27" s="2" t="s">
        <v>47</v>
      </c>
    </row>
    <row r="28" spans="2:13" ht="30" hidden="1" customHeight="1" x14ac:dyDescent="0.25">
      <c r="B28" s="23" t="str">
        <f>E28&amp;"-"&amp;COUNTIF($E$8:E28,E28)</f>
        <v>IS-21</v>
      </c>
      <c r="C28" s="22" t="s">
        <v>70</v>
      </c>
      <c r="D28" s="22" t="s">
        <v>24</v>
      </c>
      <c r="E28" s="21" t="str">
        <f>IFERROR(VLOOKUP(D28,Hoja3!$A$2:$B$50,2,0),"")</f>
        <v>IS</v>
      </c>
      <c r="F28" s="2" t="s">
        <v>51</v>
      </c>
      <c r="G28" s="2" t="s">
        <v>38</v>
      </c>
      <c r="H28" s="20" t="str">
        <f>IF(Tabla1[[#This Row],[EXISTENCIA ACTUAL]]=0,"AGOTADO",  IF(Tabla1[[#This Row],[EXISTENCIA ACTUAL]]&lt;Tabla1[[#This Row],[STOCK MINIMO]],"MENOR AL MINIMO", "OK"))</f>
        <v>OK</v>
      </c>
      <c r="I28" s="2">
        <f>IF(Tabla1[[#This Row],[EXISTENCIA ACTUAL]]=0,0,  IF(Tabla1[[#This Row],[EXISTENCIA ACTUAL]]&lt;Tabla1[[#This Row],[STOCK MINIMO]],1, 2))</f>
        <v>2</v>
      </c>
      <c r="J28" s="2">
        <v>2</v>
      </c>
      <c r="K28" s="21">
        <f>SUMIFS(Tabla2[CANTIDAD],Tabla2[PRODUCTO],Tabla1[[#This Row],[PRODUCTO]])</f>
        <v>13</v>
      </c>
      <c r="L28" s="2" t="s">
        <v>44</v>
      </c>
      <c r="M28" s="2" t="s">
        <v>47</v>
      </c>
    </row>
    <row r="29" spans="2:13" ht="30" hidden="1" customHeight="1" x14ac:dyDescent="0.25">
      <c r="B29" s="23" t="str">
        <f>E29&amp;"-"&amp;COUNTIF($E$8:E29,E29)</f>
        <v>IS-22</v>
      </c>
      <c r="C29" s="22" t="s">
        <v>73</v>
      </c>
      <c r="D29" s="22" t="s">
        <v>24</v>
      </c>
      <c r="E29" s="21" t="str">
        <f>IFERROR(VLOOKUP(D29,Hoja3!$A$2:$B$50,2,0),"")</f>
        <v>IS</v>
      </c>
      <c r="F29" s="2" t="s">
        <v>51</v>
      </c>
      <c r="G29" s="2" t="s">
        <v>72</v>
      </c>
      <c r="H29" s="20" t="str">
        <f>IF(Tabla1[[#This Row],[EXISTENCIA ACTUAL]]=0,"AGOTADO",  IF(Tabla1[[#This Row],[EXISTENCIA ACTUAL]]&lt;Tabla1[[#This Row],[STOCK MINIMO]],"MENOR AL MINIMO", "OK"))</f>
        <v>OK</v>
      </c>
      <c r="I29" s="2">
        <f>IF(Tabla1[[#This Row],[EXISTENCIA ACTUAL]]=0,0,  IF(Tabla1[[#This Row],[EXISTENCIA ACTUAL]]&lt;Tabla1[[#This Row],[STOCK MINIMO]],1, 2))</f>
        <v>2</v>
      </c>
      <c r="J29" s="2">
        <v>2</v>
      </c>
      <c r="K29" s="21">
        <f>SUMIFS(Tabla2[CANTIDAD],Tabla2[PRODUCTO],Tabla1[[#This Row],[PRODUCTO]])</f>
        <v>6</v>
      </c>
      <c r="L29" s="2" t="s">
        <v>44</v>
      </c>
      <c r="M29" s="2" t="s">
        <v>47</v>
      </c>
    </row>
    <row r="30" spans="2:13" ht="30" hidden="1" customHeight="1" x14ac:dyDescent="0.25">
      <c r="B30" s="23" t="str">
        <f>E30&amp;"-"&amp;COUNTIF($E$8:E30,E30)</f>
        <v>HM-1</v>
      </c>
      <c r="C30" s="22" t="s">
        <v>74</v>
      </c>
      <c r="D30" s="22" t="s">
        <v>19</v>
      </c>
      <c r="E30" s="21" t="str">
        <f>IFERROR(VLOOKUP(D30,Hoja3!$A$2:$B$50,2,0),"")</f>
        <v>HM</v>
      </c>
      <c r="F30" s="2" t="s">
        <v>51</v>
      </c>
      <c r="G30" s="2" t="s">
        <v>38</v>
      </c>
      <c r="H30" s="20" t="str">
        <f>IF(Tabla1[[#This Row],[EXISTENCIA ACTUAL]]=0,"AGOTADO",  IF(Tabla1[[#This Row],[EXISTENCIA ACTUAL]]&lt;Tabla1[[#This Row],[STOCK MINIMO]],"MENOR AL MINIMO", "OK"))</f>
        <v>OK</v>
      </c>
      <c r="I30" s="2">
        <f>IF(Tabla1[[#This Row],[EXISTENCIA ACTUAL]]=0,0,  IF(Tabla1[[#This Row],[EXISTENCIA ACTUAL]]&lt;Tabla1[[#This Row],[STOCK MINIMO]],1, 2))</f>
        <v>2</v>
      </c>
      <c r="J30" s="2">
        <v>2</v>
      </c>
      <c r="K30" s="21">
        <f>SUMIFS(Tabla2[CANTIDAD],Tabla2[PRODUCTO],Tabla1[[#This Row],[PRODUCTO]])</f>
        <v>15</v>
      </c>
      <c r="L30" s="2" t="s">
        <v>44</v>
      </c>
      <c r="M30" s="2" t="s">
        <v>47</v>
      </c>
    </row>
    <row r="31" spans="2:13" ht="30" hidden="1" customHeight="1" x14ac:dyDescent="0.25">
      <c r="B31" s="23" t="str">
        <f>E31&amp;"-"&amp;COUNTIF($E$8:E31,E31)</f>
        <v>IS-23</v>
      </c>
      <c r="C31" s="22" t="s">
        <v>75</v>
      </c>
      <c r="D31" s="22" t="s">
        <v>24</v>
      </c>
      <c r="E31" s="21" t="str">
        <f>IFERROR(VLOOKUP(D31,Hoja3!$A$2:$B$50,2,0),"")</f>
        <v>IS</v>
      </c>
      <c r="F31" s="2" t="s">
        <v>51</v>
      </c>
      <c r="G31" s="2" t="s">
        <v>38</v>
      </c>
      <c r="H31" s="20" t="str">
        <f>IF(Tabla1[[#This Row],[EXISTENCIA ACTUAL]]=0,"AGOTADO",  IF(Tabla1[[#This Row],[EXISTENCIA ACTUAL]]&lt;Tabla1[[#This Row],[STOCK MINIMO]],"MENOR AL MINIMO", "OK"))</f>
        <v>OK</v>
      </c>
      <c r="I31" s="2">
        <f>IF(Tabla1[[#This Row],[EXISTENCIA ACTUAL]]=0,0,  IF(Tabla1[[#This Row],[EXISTENCIA ACTUAL]]&lt;Tabla1[[#This Row],[STOCK MINIMO]],1, 2))</f>
        <v>2</v>
      </c>
      <c r="J31" s="2">
        <v>5</v>
      </c>
      <c r="K31" s="21">
        <f>SUMIFS(Tabla2[CANTIDAD],Tabla2[PRODUCTO],Tabla1[[#This Row],[PRODUCTO]])</f>
        <v>34</v>
      </c>
      <c r="L31" s="2" t="s">
        <v>44</v>
      </c>
      <c r="M31" s="2" t="s">
        <v>47</v>
      </c>
    </row>
    <row r="32" spans="2:13" ht="30" hidden="1" customHeight="1" x14ac:dyDescent="0.25">
      <c r="B32" s="23" t="str">
        <f>E32&amp;"-"&amp;COUNTIF($E$8:E32,E32)</f>
        <v>IS-24</v>
      </c>
      <c r="C32" s="22" t="s">
        <v>76</v>
      </c>
      <c r="D32" s="22" t="s">
        <v>24</v>
      </c>
      <c r="E32" s="21" t="str">
        <f>IFERROR(VLOOKUP(D32,Hoja3!$A$2:$B$50,2,0),"")</f>
        <v>IS</v>
      </c>
      <c r="F32" s="2" t="s">
        <v>51</v>
      </c>
      <c r="G32" s="2" t="s">
        <v>38</v>
      </c>
      <c r="H32" s="20" t="str">
        <f>IF(Tabla1[[#This Row],[EXISTENCIA ACTUAL]]=0,"AGOTADO",  IF(Tabla1[[#This Row],[EXISTENCIA ACTUAL]]&lt;Tabla1[[#This Row],[STOCK MINIMO]],"MENOR AL MINIMO", "OK"))</f>
        <v>OK</v>
      </c>
      <c r="I32" s="2">
        <f>IF(Tabla1[[#This Row],[EXISTENCIA ACTUAL]]=0,0,  IF(Tabla1[[#This Row],[EXISTENCIA ACTUAL]]&lt;Tabla1[[#This Row],[STOCK MINIMO]],1, 2))</f>
        <v>2</v>
      </c>
      <c r="J32" s="2">
        <v>1</v>
      </c>
      <c r="K32" s="21">
        <f>SUMIFS(Tabla2[CANTIDAD],Tabla2[PRODUCTO],Tabla1[[#This Row],[PRODUCTO]])</f>
        <v>15</v>
      </c>
      <c r="L32" s="2" t="s">
        <v>44</v>
      </c>
      <c r="M32" s="2" t="s">
        <v>47</v>
      </c>
    </row>
    <row r="33" spans="2:17" ht="30" hidden="1" customHeight="1" x14ac:dyDescent="0.25">
      <c r="B33" s="23" t="str">
        <f>E33&amp;"-"&amp;COUNTIF($E$8:E33,E33)</f>
        <v>IS-25</v>
      </c>
      <c r="C33" s="22" t="s">
        <v>77</v>
      </c>
      <c r="D33" s="22" t="s">
        <v>24</v>
      </c>
      <c r="E33" s="21" t="str">
        <f>IFERROR(VLOOKUP(D33,Hoja3!$A$2:$B$50,2,0),"")</f>
        <v>IS</v>
      </c>
      <c r="F33" s="2" t="s">
        <v>51</v>
      </c>
      <c r="G33" s="2" t="s">
        <v>38</v>
      </c>
      <c r="H33" s="20" t="str">
        <f>IF(Tabla1[[#This Row],[EXISTENCIA ACTUAL]]=0,"AGOTADO",  IF(Tabla1[[#This Row],[EXISTENCIA ACTUAL]]&lt;Tabla1[[#This Row],[STOCK MINIMO]],"MENOR AL MINIMO", "OK"))</f>
        <v>OK</v>
      </c>
      <c r="I33" s="2">
        <f>IF(Tabla1[[#This Row],[EXISTENCIA ACTUAL]]=0,0,  IF(Tabla1[[#This Row],[EXISTENCIA ACTUAL]]&lt;Tabla1[[#This Row],[STOCK MINIMO]],1, 2))</f>
        <v>2</v>
      </c>
      <c r="J33" s="2">
        <v>1</v>
      </c>
      <c r="K33" s="21">
        <f>SUMIFS(Tabla2[CANTIDAD],Tabla2[PRODUCTO],Tabla1[[#This Row],[PRODUCTO]])</f>
        <v>25</v>
      </c>
      <c r="L33" s="2" t="s">
        <v>44</v>
      </c>
      <c r="M33" s="2" t="s">
        <v>47</v>
      </c>
    </row>
    <row r="34" spans="2:17" ht="30" hidden="1" customHeight="1" x14ac:dyDescent="0.25">
      <c r="B34" s="23" t="str">
        <f>E34&amp;"-"&amp;COUNTIF($E$8:E34,E34)</f>
        <v>IS-26</v>
      </c>
      <c r="C34" s="22" t="s">
        <v>86</v>
      </c>
      <c r="D34" s="22" t="s">
        <v>24</v>
      </c>
      <c r="E34" s="21" t="str">
        <f>IFERROR(VLOOKUP(D34,Hoja3!$A$2:$B$50,2,0),"")</f>
        <v>IS</v>
      </c>
      <c r="F34" s="2" t="s">
        <v>51</v>
      </c>
      <c r="G34" s="2" t="s">
        <v>38</v>
      </c>
      <c r="H34" s="20" t="str">
        <f>IF(Tabla1[[#This Row],[EXISTENCIA ACTUAL]]=0,"AGOTADO",  IF(Tabla1[[#This Row],[EXISTENCIA ACTUAL]]&lt;Tabla1[[#This Row],[STOCK MINIMO]],"MENOR AL MINIMO", "OK"))</f>
        <v>OK</v>
      </c>
      <c r="I34" s="2">
        <f>IF(Tabla1[[#This Row],[EXISTENCIA ACTUAL]]=0,0,  IF(Tabla1[[#This Row],[EXISTENCIA ACTUAL]]&lt;Tabla1[[#This Row],[STOCK MINIMO]],1, 2))</f>
        <v>2</v>
      </c>
      <c r="J34" s="2">
        <v>1</v>
      </c>
      <c r="K34" s="21">
        <f>SUMIFS(Tabla2[CANTIDAD],Tabla2[PRODUCTO],Tabla1[[#This Row],[PRODUCTO]])</f>
        <v>16</v>
      </c>
      <c r="L34" s="2" t="s">
        <v>44</v>
      </c>
      <c r="M34" s="2" t="s">
        <v>47</v>
      </c>
    </row>
    <row r="35" spans="2:17" ht="30" hidden="1" customHeight="1" x14ac:dyDescent="0.25">
      <c r="B35" s="23" t="str">
        <f>E35&amp;"-"&amp;COUNTIF($E$8:E35,E35)</f>
        <v>IS-27</v>
      </c>
      <c r="C35" s="22" t="s">
        <v>78</v>
      </c>
      <c r="D35" s="22" t="s">
        <v>24</v>
      </c>
      <c r="E35" s="21" t="str">
        <f>IFERROR(VLOOKUP(D35,Hoja3!$A$2:$B$50,2,0),"")</f>
        <v>IS</v>
      </c>
      <c r="F35" s="2" t="s">
        <v>51</v>
      </c>
      <c r="G35" s="2" t="s">
        <v>38</v>
      </c>
      <c r="H35" s="20" t="str">
        <f>IF(Tabla1[[#This Row],[EXISTENCIA ACTUAL]]=0,"AGOTADO",  IF(Tabla1[[#This Row],[EXISTENCIA ACTUAL]]&lt;Tabla1[[#This Row],[STOCK MINIMO]],"MENOR AL MINIMO", "OK"))</f>
        <v>OK</v>
      </c>
      <c r="I35" s="2">
        <f>IF(Tabla1[[#This Row],[EXISTENCIA ACTUAL]]=0,0,  IF(Tabla1[[#This Row],[EXISTENCIA ACTUAL]]&lt;Tabla1[[#This Row],[STOCK MINIMO]],1, 2))</f>
        <v>2</v>
      </c>
      <c r="J35" s="2">
        <v>5</v>
      </c>
      <c r="K35" s="21">
        <f>SUMIFS(Tabla2[CANTIDAD],Tabla2[PRODUCTO],Tabla1[[#This Row],[PRODUCTO]])</f>
        <v>100</v>
      </c>
      <c r="L35" s="2" t="s">
        <v>44</v>
      </c>
      <c r="M35" s="2" t="s">
        <v>47</v>
      </c>
    </row>
    <row r="36" spans="2:17" ht="30" hidden="1" customHeight="1" x14ac:dyDescent="0.25">
      <c r="B36" s="23" t="str">
        <f>E36&amp;"-"&amp;COUNTIF($E$8:E36,E36)</f>
        <v>IS-28</v>
      </c>
      <c r="C36" s="22" t="s">
        <v>79</v>
      </c>
      <c r="D36" s="22" t="s">
        <v>24</v>
      </c>
      <c r="E36" s="21" t="str">
        <f>IFERROR(VLOOKUP(D36,Hoja3!$A$2:$B$50,2,0),"")</f>
        <v>IS</v>
      </c>
      <c r="F36" s="2" t="s">
        <v>51</v>
      </c>
      <c r="G36" s="2" t="s">
        <v>38</v>
      </c>
      <c r="H36" s="20" t="str">
        <f>IF(Tabla1[[#This Row],[EXISTENCIA ACTUAL]]=0,"AGOTADO",  IF(Tabla1[[#This Row],[EXISTENCIA ACTUAL]]&lt;Tabla1[[#This Row],[STOCK MINIMO]],"MENOR AL MINIMO", "OK"))</f>
        <v>OK</v>
      </c>
      <c r="I36" s="2">
        <f>IF(Tabla1[[#This Row],[EXISTENCIA ACTUAL]]=0,0,  IF(Tabla1[[#This Row],[EXISTENCIA ACTUAL]]&lt;Tabla1[[#This Row],[STOCK MINIMO]],1, 2))</f>
        <v>2</v>
      </c>
      <c r="J36" s="2">
        <v>5</v>
      </c>
      <c r="K36" s="21">
        <f>SUMIFS(Tabla2[CANTIDAD],Tabla2[PRODUCTO],Tabla1[[#This Row],[PRODUCTO]])</f>
        <v>32</v>
      </c>
      <c r="L36" s="2" t="s">
        <v>44</v>
      </c>
      <c r="M36" s="2" t="s">
        <v>47</v>
      </c>
    </row>
    <row r="37" spans="2:17" ht="30" hidden="1" customHeight="1" x14ac:dyDescent="0.25">
      <c r="B37" s="23" t="str">
        <f>E37&amp;"-"&amp;COUNTIF($E$8:E37,E37)</f>
        <v>IS-29</v>
      </c>
      <c r="C37" s="22" t="s">
        <v>80</v>
      </c>
      <c r="D37" s="22" t="s">
        <v>24</v>
      </c>
      <c r="E37" s="21" t="str">
        <f>IFERROR(VLOOKUP(D37,Hoja3!$A$2:$B$50,2,0),"")</f>
        <v>IS</v>
      </c>
      <c r="F37" s="2" t="s">
        <v>51</v>
      </c>
      <c r="G37" s="2" t="s">
        <v>72</v>
      </c>
      <c r="H37" s="20" t="str">
        <f>IF(Tabla1[[#This Row],[EXISTENCIA ACTUAL]]=0,"AGOTADO",  IF(Tabla1[[#This Row],[EXISTENCIA ACTUAL]]&lt;Tabla1[[#This Row],[STOCK MINIMO]],"MENOR AL MINIMO", "OK"))</f>
        <v>OK</v>
      </c>
      <c r="I37" s="2">
        <f>IF(Tabla1[[#This Row],[EXISTENCIA ACTUAL]]=0,0,  IF(Tabla1[[#This Row],[EXISTENCIA ACTUAL]]&lt;Tabla1[[#This Row],[STOCK MINIMO]],1, 2))</f>
        <v>2</v>
      </c>
      <c r="J37" s="2">
        <v>1</v>
      </c>
      <c r="K37" s="21">
        <f>SUMIFS(Tabla2[CANTIDAD],Tabla2[PRODUCTO],Tabla1[[#This Row],[PRODUCTO]])</f>
        <v>6</v>
      </c>
      <c r="L37" s="2" t="s">
        <v>44</v>
      </c>
      <c r="M37" s="2" t="s">
        <v>47</v>
      </c>
    </row>
    <row r="38" spans="2:17" ht="30" hidden="1" customHeight="1" x14ac:dyDescent="0.25">
      <c r="B38" s="23" t="str">
        <f>E38&amp;"-"&amp;COUNTIF($E$8:E38,E38)</f>
        <v>IS-30</v>
      </c>
      <c r="C38" s="22" t="s">
        <v>81</v>
      </c>
      <c r="D38" s="22" t="s">
        <v>24</v>
      </c>
      <c r="E38" s="21" t="str">
        <f>IFERROR(VLOOKUP(D38,Hoja3!$A$2:$B$50,2,0),"")</f>
        <v>IS</v>
      </c>
      <c r="F38" s="2" t="s">
        <v>51</v>
      </c>
      <c r="G38" s="2" t="s">
        <v>38</v>
      </c>
      <c r="H38" s="20" t="str">
        <f>IF(Tabla1[[#This Row],[EXISTENCIA ACTUAL]]=0,"AGOTADO",  IF(Tabla1[[#This Row],[EXISTENCIA ACTUAL]]&lt;Tabla1[[#This Row],[STOCK MINIMO]],"MENOR AL MINIMO", "OK"))</f>
        <v>OK</v>
      </c>
      <c r="I38" s="2">
        <f>IF(Tabla1[[#This Row],[EXISTENCIA ACTUAL]]=0,0,  IF(Tabla1[[#This Row],[EXISTENCIA ACTUAL]]&lt;Tabla1[[#This Row],[STOCK MINIMO]],1, 2))</f>
        <v>2</v>
      </c>
      <c r="J38" s="2">
        <v>5</v>
      </c>
      <c r="K38" s="21">
        <f>SUMIFS(Tabla2[CANTIDAD],Tabla2[PRODUCTO],Tabla1[[#This Row],[PRODUCTO]])</f>
        <v>99</v>
      </c>
      <c r="L38" s="2" t="s">
        <v>44</v>
      </c>
      <c r="M38" s="2" t="s">
        <v>47</v>
      </c>
    </row>
    <row r="39" spans="2:17" ht="30" hidden="1" customHeight="1" x14ac:dyDescent="0.25">
      <c r="B39" s="23" t="str">
        <f>E39&amp;"-"&amp;COUNTIF($E$8:E39,E39)</f>
        <v>IS-31</v>
      </c>
      <c r="C39" s="22" t="s">
        <v>82</v>
      </c>
      <c r="D39" s="22" t="s">
        <v>24</v>
      </c>
      <c r="E39" s="21" t="str">
        <f>IFERROR(VLOOKUP(D39,Hoja3!$A$2:$B$50,2,0),"")</f>
        <v>IS</v>
      </c>
      <c r="F39" s="2" t="s">
        <v>51</v>
      </c>
      <c r="G39" s="2" t="s">
        <v>38</v>
      </c>
      <c r="H39" s="20" t="str">
        <f>IF(Tabla1[[#This Row],[EXISTENCIA ACTUAL]]=0,"AGOTADO",  IF(Tabla1[[#This Row],[EXISTENCIA ACTUAL]]&lt;Tabla1[[#This Row],[STOCK MINIMO]],"MENOR AL MINIMO", "OK"))</f>
        <v>AGOTADO</v>
      </c>
      <c r="I39" s="2">
        <f>IF(Tabla1[[#This Row],[EXISTENCIA ACTUAL]]=0,0,  IF(Tabla1[[#This Row],[EXISTENCIA ACTUAL]]&lt;Tabla1[[#This Row],[STOCK MINIMO]],1, 2))</f>
        <v>0</v>
      </c>
      <c r="J39" s="2">
        <v>1</v>
      </c>
      <c r="K39" s="21">
        <f>SUMIFS(Tabla2[CANTIDAD],Tabla2[PRODUCTO],Tabla1[[#This Row],[PRODUCTO]])</f>
        <v>0</v>
      </c>
      <c r="L39" s="2" t="s">
        <v>44</v>
      </c>
      <c r="M39" s="2" t="s">
        <v>47</v>
      </c>
    </row>
    <row r="40" spans="2:17" ht="30" hidden="1" customHeight="1" x14ac:dyDescent="0.25">
      <c r="B40" s="23" t="str">
        <f>E40&amp;"-"&amp;COUNTIF($E$8:E40,E40)</f>
        <v>IS-32</v>
      </c>
      <c r="C40" s="22" t="s">
        <v>83</v>
      </c>
      <c r="D40" s="22" t="s">
        <v>24</v>
      </c>
      <c r="E40" s="21" t="str">
        <f>IFERROR(VLOOKUP(D40,Hoja3!$A$2:$B$50,2,0),"")</f>
        <v>IS</v>
      </c>
      <c r="F40" s="2" t="s">
        <v>51</v>
      </c>
      <c r="G40" s="2" t="s">
        <v>38</v>
      </c>
      <c r="H40" s="20" t="str">
        <f>IF(Tabla1[[#This Row],[EXISTENCIA ACTUAL]]=0,"AGOTADO",  IF(Tabla1[[#This Row],[EXISTENCIA ACTUAL]]&lt;Tabla1[[#This Row],[STOCK MINIMO]],"MENOR AL MINIMO", "OK"))</f>
        <v>OK</v>
      </c>
      <c r="I40" s="2">
        <f>IF(Tabla1[[#This Row],[EXISTENCIA ACTUAL]]=0,0,  IF(Tabla1[[#This Row],[EXISTENCIA ACTUAL]]&lt;Tabla1[[#This Row],[STOCK MINIMO]],1, 2))</f>
        <v>2</v>
      </c>
      <c r="J40" s="2">
        <v>1</v>
      </c>
      <c r="K40" s="21">
        <f>SUMIFS(Tabla2[CANTIDAD],Tabla2[PRODUCTO],Tabla1[[#This Row],[PRODUCTO]])</f>
        <v>5</v>
      </c>
      <c r="L40" s="2" t="s">
        <v>44</v>
      </c>
      <c r="M40" s="2" t="s">
        <v>47</v>
      </c>
    </row>
    <row r="41" spans="2:17" ht="30" hidden="1" customHeight="1" x14ac:dyDescent="0.25">
      <c r="B41" s="23" t="str">
        <f>E41&amp;"-"&amp;COUNTIF($E$8:E41,E41)</f>
        <v>IS-33</v>
      </c>
      <c r="C41" s="22" t="s">
        <v>84</v>
      </c>
      <c r="D41" s="22" t="s">
        <v>24</v>
      </c>
      <c r="E41" s="21" t="str">
        <f>IFERROR(VLOOKUP(D41,Hoja3!$A$2:$B$50,2,0),"")</f>
        <v>IS</v>
      </c>
      <c r="F41" s="2" t="s">
        <v>51</v>
      </c>
      <c r="G41" s="2" t="s">
        <v>38</v>
      </c>
      <c r="H41" s="20" t="str">
        <f>IF(Tabla1[[#This Row],[EXISTENCIA ACTUAL]]=0,"AGOTADO",  IF(Tabla1[[#This Row],[EXISTENCIA ACTUAL]]&lt;Tabla1[[#This Row],[STOCK MINIMO]],"MENOR AL MINIMO", "OK"))</f>
        <v>OK</v>
      </c>
      <c r="I41" s="2">
        <f>IF(Tabla1[[#This Row],[EXISTENCIA ACTUAL]]=0,0,  IF(Tabla1[[#This Row],[EXISTENCIA ACTUAL]]&lt;Tabla1[[#This Row],[STOCK MINIMO]],1, 2))</f>
        <v>2</v>
      </c>
      <c r="J41" s="2">
        <v>1</v>
      </c>
      <c r="K41" s="21">
        <f>SUMIFS(Tabla2[CANTIDAD],Tabla2[PRODUCTO],Tabla1[[#This Row],[PRODUCTO]])</f>
        <v>1</v>
      </c>
      <c r="L41" s="2" t="s">
        <v>44</v>
      </c>
      <c r="M41" s="2" t="s">
        <v>47</v>
      </c>
    </row>
    <row r="42" spans="2:17" ht="30" hidden="1" customHeight="1" x14ac:dyDescent="0.25">
      <c r="B42" s="23" t="str">
        <f>E42&amp;"-"&amp;COUNTIF($E$8:E42,E42)</f>
        <v>IS-34</v>
      </c>
      <c r="C42" s="22" t="s">
        <v>85</v>
      </c>
      <c r="D42" s="22" t="s">
        <v>24</v>
      </c>
      <c r="E42" s="21" t="str">
        <f>IFERROR(VLOOKUP(D42,Hoja3!$A$2:$B$50,2,0),"")</f>
        <v>IS</v>
      </c>
      <c r="F42" s="2" t="s">
        <v>51</v>
      </c>
      <c r="G42" s="2" t="s">
        <v>38</v>
      </c>
      <c r="H42" s="20" t="str">
        <f>IF(Tabla1[[#This Row],[EXISTENCIA ACTUAL]]=0,"AGOTADO",  IF(Tabla1[[#This Row],[EXISTENCIA ACTUAL]]&lt;Tabla1[[#This Row],[STOCK MINIMO]],"MENOR AL MINIMO", "OK"))</f>
        <v>OK</v>
      </c>
      <c r="I42" s="2">
        <f>IF(Tabla1[[#This Row],[EXISTENCIA ACTUAL]]=0,0,  IF(Tabla1[[#This Row],[EXISTENCIA ACTUAL]]&lt;Tabla1[[#This Row],[STOCK MINIMO]],1, 2))</f>
        <v>2</v>
      </c>
      <c r="J42" s="2">
        <v>1</v>
      </c>
      <c r="K42" s="21">
        <f>SUMIFS(Tabla2[CANTIDAD],Tabla2[PRODUCTO],Tabla1[[#This Row],[PRODUCTO]])</f>
        <v>34</v>
      </c>
      <c r="L42" s="2" t="s">
        <v>44</v>
      </c>
      <c r="M42" s="2" t="s">
        <v>47</v>
      </c>
    </row>
    <row r="43" spans="2:17" ht="30" hidden="1" customHeight="1" x14ac:dyDescent="0.25">
      <c r="B43" s="23" t="str">
        <f>E43&amp;"-"&amp;COUNTIF($E$8:E43,E43)</f>
        <v>CAR-1</v>
      </c>
      <c r="C43" s="22" t="s">
        <v>89</v>
      </c>
      <c r="D43" s="22" t="s">
        <v>18</v>
      </c>
      <c r="E43" s="21" t="str">
        <f>IFERROR(VLOOKUP(D43,Hoja3!$A$2:$B$50,2,0),"")</f>
        <v>CAR</v>
      </c>
      <c r="F43" s="2" t="s">
        <v>51</v>
      </c>
      <c r="G43" s="2" t="s">
        <v>38</v>
      </c>
      <c r="H43" s="20" t="str">
        <f>IF(Tabla1[[#This Row],[EXISTENCIA ACTUAL]]=0,"AGOTADO",  IF(Tabla1[[#This Row],[EXISTENCIA ACTUAL]]&lt;Tabla1[[#This Row],[STOCK MINIMO]],"MENOR AL MINIMO", "OK"))</f>
        <v>OK</v>
      </c>
      <c r="I43" s="2">
        <f>IF(Tabla1[[#This Row],[EXISTENCIA ACTUAL]]=0,0,  IF(Tabla1[[#This Row],[EXISTENCIA ACTUAL]]&lt;Tabla1[[#This Row],[STOCK MINIMO]],1, 2))</f>
        <v>2</v>
      </c>
      <c r="J43" s="2">
        <v>5</v>
      </c>
      <c r="K43" s="21">
        <f>SUMIFS(Tabla2[CANTIDAD],Tabla2[PRODUCTO],Tabla1[[#This Row],[PRODUCTO]])</f>
        <v>32</v>
      </c>
      <c r="L43" s="2" t="s">
        <v>44</v>
      </c>
      <c r="M43" s="2" t="s">
        <v>47</v>
      </c>
    </row>
    <row r="44" spans="2:17" ht="30" hidden="1" customHeight="1" x14ac:dyDescent="0.25">
      <c r="B44" s="23" t="str">
        <f>E44&amp;"-"&amp;COUNTIF($E$8:E44,E44)</f>
        <v>FER-1</v>
      </c>
      <c r="C44" s="22" t="s">
        <v>143</v>
      </c>
      <c r="D44" s="22" t="s">
        <v>17</v>
      </c>
      <c r="E44" s="21" t="str">
        <f>IFERROR(VLOOKUP(D44,Hoja3!$A$2:$B$50,2,0),"")</f>
        <v>FER</v>
      </c>
      <c r="F44" s="2" t="s">
        <v>51</v>
      </c>
      <c r="G44" s="2" t="s">
        <v>38</v>
      </c>
      <c r="H44" s="20" t="str">
        <f>IF(Tabla1[[#This Row],[EXISTENCIA ACTUAL]]=0,"AGOTADO",  IF(Tabla1[[#This Row],[EXISTENCIA ACTUAL]]&lt;Tabla1[[#This Row],[STOCK MINIMO]],"MENOR AL MINIMO", "OK"))</f>
        <v>OK</v>
      </c>
      <c r="I44" s="2">
        <f>IF(Tabla1[[#This Row],[EXISTENCIA ACTUAL]]=0,0,  IF(Tabla1[[#This Row],[EXISTENCIA ACTUAL]]&lt;Tabla1[[#This Row],[STOCK MINIMO]],1, 2))</f>
        <v>2</v>
      </c>
      <c r="J44" s="2">
        <v>5</v>
      </c>
      <c r="K44" s="21">
        <f>SUMIFS(Tabla2[CANTIDAD],Tabla2[PRODUCTO],Tabla1[[#This Row],[PRODUCTO]])</f>
        <v>63</v>
      </c>
      <c r="L44" s="2" t="s">
        <v>44</v>
      </c>
      <c r="M44" s="2" t="s">
        <v>47</v>
      </c>
    </row>
    <row r="45" spans="2:17" ht="30" hidden="1" customHeight="1" x14ac:dyDescent="0.25">
      <c r="B45" s="23" t="str">
        <f>E45&amp;"-"&amp;COUNTIF($E$8:E45,E45)</f>
        <v>AF-1</v>
      </c>
      <c r="C45" s="22" t="s">
        <v>92</v>
      </c>
      <c r="D45" s="22" t="s">
        <v>91</v>
      </c>
      <c r="E45" s="21" t="str">
        <f>IFERROR(VLOOKUP(D45,Hoja3!$A$2:$B$50,2,0),"")</f>
        <v>AF</v>
      </c>
      <c r="F45" s="2" t="s">
        <v>51</v>
      </c>
      <c r="G45" s="2" t="s">
        <v>72</v>
      </c>
      <c r="H45" s="20" t="str">
        <f>IF(Tabla1[[#This Row],[EXISTENCIA ACTUAL]]=0,"AGOTADO",  IF(Tabla1[[#This Row],[EXISTENCIA ACTUAL]]&lt;Tabla1[[#This Row],[STOCK MINIMO]],"MENOR AL MINIMO", "OK"))</f>
        <v>OK</v>
      </c>
      <c r="I45" s="2">
        <f>IF(Tabla1[[#This Row],[EXISTENCIA ACTUAL]]=0,0,  IF(Tabla1[[#This Row],[EXISTENCIA ACTUAL]]&lt;Tabla1[[#This Row],[STOCK MINIMO]],1, 2))</f>
        <v>2</v>
      </c>
      <c r="J45" s="2">
        <v>1</v>
      </c>
      <c r="K45" s="21">
        <f>SUMIFS(Tabla2[CANTIDAD],Tabla2[PRODUCTO],Tabla1[[#This Row],[PRODUCTO]])</f>
        <v>4</v>
      </c>
      <c r="L45" s="2" t="s">
        <v>44</v>
      </c>
      <c r="M45" s="2" t="s">
        <v>47</v>
      </c>
      <c r="Q45" s="2"/>
    </row>
    <row r="46" spans="2:17" ht="30" hidden="1" customHeight="1" x14ac:dyDescent="0.25">
      <c r="B46" s="23" t="str">
        <f>E46&amp;"-"&amp;COUNTIF($E$8:E46,E46)</f>
        <v>AF-2</v>
      </c>
      <c r="C46" s="22" t="s">
        <v>93</v>
      </c>
      <c r="D46" s="22" t="s">
        <v>91</v>
      </c>
      <c r="E46" s="21" t="str">
        <f>IFERROR(VLOOKUP(D46,Hoja3!$A$2:$B$50,2,0),"")</f>
        <v>AF</v>
      </c>
      <c r="F46" s="2" t="s">
        <v>51</v>
      </c>
      <c r="G46" s="2" t="s">
        <v>72</v>
      </c>
      <c r="H46" s="20" t="str">
        <f>IF(Tabla1[[#This Row],[EXISTENCIA ACTUAL]]=0,"AGOTADO",  IF(Tabla1[[#This Row],[EXISTENCIA ACTUAL]]&lt;Tabla1[[#This Row],[STOCK MINIMO]],"MENOR AL MINIMO", "OK"))</f>
        <v>OK</v>
      </c>
      <c r="I46" s="2">
        <f>IF(Tabla1[[#This Row],[EXISTENCIA ACTUAL]]=0,0,  IF(Tabla1[[#This Row],[EXISTENCIA ACTUAL]]&lt;Tabla1[[#This Row],[STOCK MINIMO]],1, 2))</f>
        <v>2</v>
      </c>
      <c r="J46" s="2">
        <v>1</v>
      </c>
      <c r="K46" s="21">
        <f>SUMIFS(Tabla2[CANTIDAD],Tabla2[PRODUCTO],Tabla1[[#This Row],[PRODUCTO]])</f>
        <v>6</v>
      </c>
      <c r="L46" s="2" t="s">
        <v>44</v>
      </c>
      <c r="M46" s="2" t="s">
        <v>47</v>
      </c>
    </row>
    <row r="47" spans="2:17" ht="30" hidden="1" customHeight="1" x14ac:dyDescent="0.25">
      <c r="B47" s="23" t="str">
        <f>E47&amp;"-"&amp;COUNTIF($E$8:E47,E47)</f>
        <v>CLA-1</v>
      </c>
      <c r="C47" s="22" t="s">
        <v>94</v>
      </c>
      <c r="D47" s="22" t="s">
        <v>90</v>
      </c>
      <c r="E47" s="21" t="str">
        <f>IFERROR(VLOOKUP(D47,Hoja3!$A$2:$B$50,2,0),"")</f>
        <v>CLA</v>
      </c>
      <c r="F47" s="2" t="s">
        <v>51</v>
      </c>
      <c r="G47" s="2" t="s">
        <v>96</v>
      </c>
      <c r="H47" s="20" t="str">
        <f>IF(Tabla1[[#This Row],[EXISTENCIA ACTUAL]]=0,"AGOTADO",  IF(Tabla1[[#This Row],[EXISTENCIA ACTUAL]]&lt;Tabla1[[#This Row],[STOCK MINIMO]],"MENOR AL MINIMO", "OK"))</f>
        <v>OK</v>
      </c>
      <c r="I47" s="2">
        <f>IF(Tabla1[[#This Row],[EXISTENCIA ACTUAL]]=0,0,  IF(Tabla1[[#This Row],[EXISTENCIA ACTUAL]]&lt;Tabla1[[#This Row],[STOCK MINIMO]],1, 2))</f>
        <v>2</v>
      </c>
      <c r="J47" s="2">
        <v>1</v>
      </c>
      <c r="K47" s="21">
        <f>SUMIFS(Tabla2[CANTIDAD],Tabla2[PRODUCTO],Tabla1[[#This Row],[PRODUCTO]])</f>
        <v>2</v>
      </c>
      <c r="L47" s="2" t="s">
        <v>44</v>
      </c>
      <c r="M47" s="2" t="s">
        <v>47</v>
      </c>
    </row>
    <row r="48" spans="2:17" ht="30" hidden="1" customHeight="1" x14ac:dyDescent="0.25">
      <c r="B48" s="23" t="str">
        <f>E48&amp;"-"&amp;COUNTIF($E$8:E48,E48)</f>
        <v>CLA-2</v>
      </c>
      <c r="C48" s="22" t="s">
        <v>97</v>
      </c>
      <c r="D48" s="22" t="s">
        <v>90</v>
      </c>
      <c r="E48" s="21" t="str">
        <f>IFERROR(VLOOKUP(D48,Hoja3!$A$2:$B$50,2,0),"")</f>
        <v>CLA</v>
      </c>
      <c r="F48" s="2" t="s">
        <v>51</v>
      </c>
      <c r="G48" s="2" t="s">
        <v>96</v>
      </c>
      <c r="H48" s="20" t="str">
        <f>IF(Tabla1[[#This Row],[EXISTENCIA ACTUAL]]=0,"AGOTADO",  IF(Tabla1[[#This Row],[EXISTENCIA ACTUAL]]&lt;Tabla1[[#This Row],[STOCK MINIMO]],"MENOR AL MINIMO", "OK"))</f>
        <v>OK</v>
      </c>
      <c r="I48" s="2">
        <f>IF(Tabla1[[#This Row],[EXISTENCIA ACTUAL]]=0,0,  IF(Tabla1[[#This Row],[EXISTENCIA ACTUAL]]&lt;Tabla1[[#This Row],[STOCK MINIMO]],1, 2))</f>
        <v>2</v>
      </c>
      <c r="J48" s="2">
        <v>1</v>
      </c>
      <c r="K48" s="21">
        <f>SUMIFS(Tabla2[CANTIDAD],Tabla2[PRODUCTO],Tabla1[[#This Row],[PRODUCTO]])</f>
        <v>2</v>
      </c>
      <c r="L48" s="2" t="s">
        <v>44</v>
      </c>
      <c r="M48" s="2" t="s">
        <v>47</v>
      </c>
    </row>
    <row r="49" spans="2:13" ht="30" hidden="1" customHeight="1" x14ac:dyDescent="0.25">
      <c r="B49" s="23" t="str">
        <f>E49&amp;"-"&amp;COUNTIF($E$8:E49,E49)</f>
        <v>CLA-3</v>
      </c>
      <c r="C49" s="22" t="s">
        <v>125</v>
      </c>
      <c r="D49" s="22" t="s">
        <v>90</v>
      </c>
      <c r="E49" s="21" t="str">
        <f>IFERROR(VLOOKUP(D49,Hoja3!$A$2:$B$50,2,0),"")</f>
        <v>CLA</v>
      </c>
      <c r="F49" s="2" t="s">
        <v>51</v>
      </c>
      <c r="G49" s="2" t="s">
        <v>96</v>
      </c>
      <c r="H49" s="20" t="str">
        <f>IF(Tabla1[[#This Row],[EXISTENCIA ACTUAL]]=0,"AGOTADO",  IF(Tabla1[[#This Row],[EXISTENCIA ACTUAL]]&lt;Tabla1[[#This Row],[STOCK MINIMO]],"MENOR AL MINIMO", "OK"))</f>
        <v>OK</v>
      </c>
      <c r="I49" s="2">
        <f>IF(Tabla1[[#This Row],[EXISTENCIA ACTUAL]]=0,0,  IF(Tabla1[[#This Row],[EXISTENCIA ACTUAL]]&lt;Tabla1[[#This Row],[STOCK MINIMO]],1, 2))</f>
        <v>2</v>
      </c>
      <c r="J49" s="2">
        <v>1</v>
      </c>
      <c r="K49" s="21">
        <f>SUMIFS(Tabla2[CANTIDAD],Tabla2[PRODUCTO],Tabla1[[#This Row],[PRODUCTO]])</f>
        <v>5</v>
      </c>
      <c r="L49" s="2" t="s">
        <v>44</v>
      </c>
      <c r="M49" s="2" t="s">
        <v>47</v>
      </c>
    </row>
    <row r="50" spans="2:13" ht="30" hidden="1" customHeight="1" x14ac:dyDescent="0.25">
      <c r="B50" s="23" t="str">
        <f>E50&amp;"-"&amp;COUNTIF($E$8:E50,E50)</f>
        <v>CLA-4</v>
      </c>
      <c r="C50" s="22" t="s">
        <v>126</v>
      </c>
      <c r="D50" s="22" t="s">
        <v>90</v>
      </c>
      <c r="E50" s="21" t="str">
        <f>IFERROR(VLOOKUP(D50,Hoja3!$A$2:$B$50,2,0),"")</f>
        <v>CLA</v>
      </c>
      <c r="F50" s="2" t="s">
        <v>51</v>
      </c>
      <c r="G50" s="2" t="s">
        <v>96</v>
      </c>
      <c r="H50" s="20" t="str">
        <f>IF(Tabla1[[#This Row],[EXISTENCIA ACTUAL]]=0,"AGOTADO",  IF(Tabla1[[#This Row],[EXISTENCIA ACTUAL]]&lt;Tabla1[[#This Row],[STOCK MINIMO]],"MENOR AL MINIMO", "OK"))</f>
        <v>OK</v>
      </c>
      <c r="I50" s="2">
        <f>IF(Tabla1[[#This Row],[EXISTENCIA ACTUAL]]=0,0,  IF(Tabla1[[#This Row],[EXISTENCIA ACTUAL]]&lt;Tabla1[[#This Row],[STOCK MINIMO]],1, 2))</f>
        <v>2</v>
      </c>
      <c r="J50" s="2">
        <v>1</v>
      </c>
      <c r="K50" s="21">
        <f>SUMIFS(Tabla2[CANTIDAD],Tabla2[PRODUCTO],Tabla1[[#This Row],[PRODUCTO]])</f>
        <v>1</v>
      </c>
      <c r="L50" s="2" t="s">
        <v>44</v>
      </c>
      <c r="M50" s="2" t="s">
        <v>47</v>
      </c>
    </row>
    <row r="51" spans="2:13" ht="30" hidden="1" customHeight="1" x14ac:dyDescent="0.25">
      <c r="B51" s="23" t="str">
        <f>E51&amp;"-"&amp;COUNTIF($E$8:E51,E51)</f>
        <v>IE-1</v>
      </c>
      <c r="C51" s="22" t="s">
        <v>127</v>
      </c>
      <c r="D51" s="22" t="s">
        <v>27</v>
      </c>
      <c r="E51" s="21" t="str">
        <f>IFERROR(VLOOKUP(D51,Hoja3!$A$2:$B$50,2,0),"")</f>
        <v>IE</v>
      </c>
      <c r="F51" s="2" t="s">
        <v>51</v>
      </c>
      <c r="G51" s="2" t="s">
        <v>72</v>
      </c>
      <c r="H51" s="20" t="str">
        <f>IF(Tabla1[[#This Row],[EXISTENCIA ACTUAL]]=0,"AGOTADO",  IF(Tabla1[[#This Row],[EXISTENCIA ACTUAL]]&lt;Tabla1[[#This Row],[STOCK MINIMO]],"MENOR AL MINIMO", "OK"))</f>
        <v>OK</v>
      </c>
      <c r="I51" s="2">
        <f>IF(Tabla1[[#This Row],[EXISTENCIA ACTUAL]]=0,0,  IF(Tabla1[[#This Row],[EXISTENCIA ACTUAL]]&lt;Tabla1[[#This Row],[STOCK MINIMO]],1, 2))</f>
        <v>2</v>
      </c>
      <c r="J51" s="2">
        <v>1</v>
      </c>
      <c r="K51" s="21">
        <f>SUMIFS(Tabla2[CANTIDAD],Tabla2[PRODUCTO],Tabla1[[#This Row],[PRODUCTO]])</f>
        <v>1</v>
      </c>
      <c r="L51" s="2" t="s">
        <v>44</v>
      </c>
      <c r="M51" s="2" t="s">
        <v>47</v>
      </c>
    </row>
    <row r="52" spans="2:13" ht="30" hidden="1" customHeight="1" x14ac:dyDescent="0.25">
      <c r="B52" s="23" t="str">
        <f>E52&amp;"-"&amp;COUNTIF($E$8:E52,E52)</f>
        <v>IE-2</v>
      </c>
      <c r="C52" s="22" t="s">
        <v>128</v>
      </c>
      <c r="D52" s="22" t="s">
        <v>27</v>
      </c>
      <c r="E52" s="21" t="str">
        <f>IFERROR(VLOOKUP(D52,Hoja3!$A$2:$B$50,2,0),"")</f>
        <v>IE</v>
      </c>
      <c r="F52" s="2" t="s">
        <v>51</v>
      </c>
      <c r="G52" s="2" t="s">
        <v>38</v>
      </c>
      <c r="H52" s="20" t="str">
        <f>IF(Tabla1[[#This Row],[EXISTENCIA ACTUAL]]=0,"AGOTADO",  IF(Tabla1[[#This Row],[EXISTENCIA ACTUAL]]&lt;Tabla1[[#This Row],[STOCK MINIMO]],"MENOR AL MINIMO", "OK"))</f>
        <v>OK</v>
      </c>
      <c r="I52" s="2">
        <f>IF(Tabla1[[#This Row],[EXISTENCIA ACTUAL]]=0,0,  IF(Tabla1[[#This Row],[EXISTENCIA ACTUAL]]&lt;Tabla1[[#This Row],[STOCK MINIMO]],1, 2))</f>
        <v>2</v>
      </c>
      <c r="J52" s="2">
        <v>1</v>
      </c>
      <c r="K52" s="21">
        <f>SUMIFS(Tabla2[CANTIDAD],Tabla2[PRODUCTO],Tabla1[[#This Row],[PRODUCTO]])</f>
        <v>13</v>
      </c>
      <c r="L52" s="2" t="s">
        <v>44</v>
      </c>
      <c r="M52" s="2" t="s">
        <v>47</v>
      </c>
    </row>
    <row r="53" spans="2:13" ht="30" hidden="1" customHeight="1" x14ac:dyDescent="0.25">
      <c r="B53" s="23" t="str">
        <f>E53&amp;"-"&amp;COUNTIF($E$8:E53,E53)</f>
        <v>IE-3</v>
      </c>
      <c r="C53" s="22" t="s">
        <v>378</v>
      </c>
      <c r="D53" s="22" t="s">
        <v>27</v>
      </c>
      <c r="E53" s="21" t="str">
        <f>IFERROR(VLOOKUP(D53,Hoja3!$A$2:$B$50,2,0),"")</f>
        <v>IE</v>
      </c>
      <c r="F53" s="2" t="s">
        <v>51</v>
      </c>
      <c r="G53" s="2" t="s">
        <v>38</v>
      </c>
      <c r="H53" s="20" t="str">
        <f>IF(Tabla1[[#This Row],[EXISTENCIA ACTUAL]]=0,"AGOTADO",  IF(Tabla1[[#This Row],[EXISTENCIA ACTUAL]]&lt;Tabla1[[#This Row],[STOCK MINIMO]],"MENOR AL MINIMO", "OK"))</f>
        <v>OK</v>
      </c>
      <c r="I53" s="2">
        <f>IF(Tabla1[[#This Row],[EXISTENCIA ACTUAL]]=0,0,  IF(Tabla1[[#This Row],[EXISTENCIA ACTUAL]]&lt;Tabla1[[#This Row],[STOCK MINIMO]],1, 2))</f>
        <v>2</v>
      </c>
      <c r="J53" s="2">
        <v>3</v>
      </c>
      <c r="K53" s="21">
        <f>SUMIFS(Tabla2[CANTIDAD],Tabla2[PRODUCTO],Tabla1[[#This Row],[PRODUCTO]])</f>
        <v>55</v>
      </c>
      <c r="L53" s="2" t="s">
        <v>44</v>
      </c>
      <c r="M53" s="2" t="s">
        <v>47</v>
      </c>
    </row>
    <row r="54" spans="2:13" ht="30" hidden="1" customHeight="1" x14ac:dyDescent="0.25">
      <c r="B54" s="23" t="str">
        <f>E54&amp;"-"&amp;COUNTIF($E$8:E54,E54)</f>
        <v>IE-4</v>
      </c>
      <c r="C54" s="22" t="s">
        <v>129</v>
      </c>
      <c r="D54" s="22" t="s">
        <v>27</v>
      </c>
      <c r="E54" s="21" t="str">
        <f>IFERROR(VLOOKUP(D54,Hoja3!$A$2:$B$50,2,0),"")</f>
        <v>IE</v>
      </c>
      <c r="F54" s="2" t="s">
        <v>51</v>
      </c>
      <c r="G54" s="2" t="s">
        <v>38</v>
      </c>
      <c r="H54" s="20" t="str">
        <f>IF(Tabla1[[#This Row],[EXISTENCIA ACTUAL]]=0,"AGOTADO",  IF(Tabla1[[#This Row],[EXISTENCIA ACTUAL]]&lt;Tabla1[[#This Row],[STOCK MINIMO]],"MENOR AL MINIMO", "OK"))</f>
        <v>OK</v>
      </c>
      <c r="I54" s="2">
        <f>IF(Tabla1[[#This Row],[EXISTENCIA ACTUAL]]=0,0,  IF(Tabla1[[#This Row],[EXISTENCIA ACTUAL]]&lt;Tabla1[[#This Row],[STOCK MINIMO]],1, 2))</f>
        <v>2</v>
      </c>
      <c r="J54" s="2">
        <v>3</v>
      </c>
      <c r="K54" s="21">
        <f>SUMIFS(Tabla2[CANTIDAD],Tabla2[PRODUCTO],Tabla1[[#This Row],[PRODUCTO]])</f>
        <v>10</v>
      </c>
      <c r="L54" s="2" t="s">
        <v>44</v>
      </c>
      <c r="M54" s="2" t="s">
        <v>47</v>
      </c>
    </row>
    <row r="55" spans="2:13" ht="30" hidden="1" customHeight="1" x14ac:dyDescent="0.25">
      <c r="B55" s="23" t="str">
        <f>E55&amp;"-"&amp;COUNTIF($E$8:E55,E55)</f>
        <v>IE-5</v>
      </c>
      <c r="C55" s="22" t="s">
        <v>130</v>
      </c>
      <c r="D55" s="22" t="s">
        <v>27</v>
      </c>
      <c r="E55" s="21" t="str">
        <f>IFERROR(VLOOKUP(D55,Hoja3!$A$2:$B$50,2,0),"")</f>
        <v>IE</v>
      </c>
      <c r="F55" s="2" t="s">
        <v>51</v>
      </c>
      <c r="G55" s="2" t="s">
        <v>38</v>
      </c>
      <c r="H55" s="20" t="str">
        <f>IF(Tabla1[[#This Row],[EXISTENCIA ACTUAL]]=0,"AGOTADO",  IF(Tabla1[[#This Row],[EXISTENCIA ACTUAL]]&lt;Tabla1[[#This Row],[STOCK MINIMO]],"MENOR AL MINIMO", "OK"))</f>
        <v>OK</v>
      </c>
      <c r="I55" s="2">
        <f>IF(Tabla1[[#This Row],[EXISTENCIA ACTUAL]]=0,0,  IF(Tabla1[[#This Row],[EXISTENCIA ACTUAL]]&lt;Tabla1[[#This Row],[STOCK MINIMO]],1, 2))</f>
        <v>2</v>
      </c>
      <c r="J55" s="2">
        <v>3</v>
      </c>
      <c r="K55" s="21">
        <f>SUMIFS(Tabla2[CANTIDAD],Tabla2[PRODUCTO],Tabla1[[#This Row],[PRODUCTO]])</f>
        <v>11</v>
      </c>
      <c r="L55" s="2" t="s">
        <v>44</v>
      </c>
      <c r="M55" s="2" t="s">
        <v>47</v>
      </c>
    </row>
    <row r="56" spans="2:13" ht="30" hidden="1" customHeight="1" x14ac:dyDescent="0.25">
      <c r="B56" s="23" t="str">
        <f>E56&amp;"-"&amp;COUNTIF($E$8:E56,E56)</f>
        <v>IE-6</v>
      </c>
      <c r="C56" s="22" t="s">
        <v>131</v>
      </c>
      <c r="D56" s="22" t="s">
        <v>27</v>
      </c>
      <c r="E56" s="21" t="str">
        <f>IFERROR(VLOOKUP(D56,Hoja3!$A$2:$B$50,2,0),"")</f>
        <v>IE</v>
      </c>
      <c r="F56" s="2" t="s">
        <v>51</v>
      </c>
      <c r="G56" s="2" t="s">
        <v>72</v>
      </c>
      <c r="H56" s="20" t="str">
        <f>IF(Tabla1[[#This Row],[EXISTENCIA ACTUAL]]=0,"AGOTADO",  IF(Tabla1[[#This Row],[EXISTENCIA ACTUAL]]&lt;Tabla1[[#This Row],[STOCK MINIMO]],"MENOR AL MINIMO", "OK"))</f>
        <v>OK</v>
      </c>
      <c r="I56" s="2">
        <f>IF(Tabla1[[#This Row],[EXISTENCIA ACTUAL]]=0,0,  IF(Tabla1[[#This Row],[EXISTENCIA ACTUAL]]&lt;Tabla1[[#This Row],[STOCK MINIMO]],1, 2))</f>
        <v>2</v>
      </c>
      <c r="J56" s="2">
        <v>1</v>
      </c>
      <c r="K56" s="21">
        <f>SUMIFS(Tabla2[CANTIDAD],Tabla2[PRODUCTO],Tabla1[[#This Row],[PRODUCTO]])</f>
        <v>2</v>
      </c>
      <c r="L56" s="2" t="s">
        <v>44</v>
      </c>
      <c r="M56" s="2" t="s">
        <v>47</v>
      </c>
    </row>
    <row r="57" spans="2:13" ht="30" hidden="1" customHeight="1" x14ac:dyDescent="0.25">
      <c r="B57" s="23" t="str">
        <f>E57&amp;"-"&amp;COUNTIF($E$8:E57,E57)</f>
        <v>ISA-1</v>
      </c>
      <c r="C57" s="22" t="s">
        <v>132</v>
      </c>
      <c r="D57" s="22" t="s">
        <v>133</v>
      </c>
      <c r="E57" s="21" t="str">
        <f>IFERROR(VLOOKUP(D57,Hoja3!$A$2:$B$50,2,0),"")</f>
        <v>ISA</v>
      </c>
      <c r="F57" s="2" t="s">
        <v>51</v>
      </c>
      <c r="G57" s="2" t="s">
        <v>38</v>
      </c>
      <c r="H57" s="20" t="str">
        <f>IF(Tabla1[[#This Row],[EXISTENCIA ACTUAL]]=0,"AGOTADO",  IF(Tabla1[[#This Row],[EXISTENCIA ACTUAL]]&lt;Tabla1[[#This Row],[STOCK MINIMO]],"MENOR AL MINIMO", "OK"))</f>
        <v>OK</v>
      </c>
      <c r="I57" s="2">
        <f>IF(Tabla1[[#This Row],[EXISTENCIA ACTUAL]]=0,0,  IF(Tabla1[[#This Row],[EXISTENCIA ACTUAL]]&lt;Tabla1[[#This Row],[STOCK MINIMO]],1, 2))</f>
        <v>2</v>
      </c>
      <c r="J57" s="2">
        <v>1</v>
      </c>
      <c r="K57" s="21">
        <f>SUMIFS(Tabla2[CANTIDAD],Tabla2[PRODUCTO],Tabla1[[#This Row],[PRODUCTO]])</f>
        <v>7</v>
      </c>
      <c r="L57" s="2" t="s">
        <v>44</v>
      </c>
      <c r="M57" s="2" t="s">
        <v>47</v>
      </c>
    </row>
    <row r="58" spans="2:13" ht="30" hidden="1" customHeight="1" x14ac:dyDescent="0.25">
      <c r="B58" s="23" t="str">
        <f>E58&amp;"-"&amp;COUNTIF($E$8:E58,E58)</f>
        <v>ISA-2</v>
      </c>
      <c r="C58" s="22" t="s">
        <v>135</v>
      </c>
      <c r="D58" s="22" t="s">
        <v>133</v>
      </c>
      <c r="E58" s="21" t="str">
        <f>IFERROR(VLOOKUP(D58,Hoja3!$A$2:$B$50,2,0),"")</f>
        <v>ISA</v>
      </c>
      <c r="F58" s="2" t="s">
        <v>51</v>
      </c>
      <c r="G58" s="2" t="s">
        <v>38</v>
      </c>
      <c r="H58" s="20" t="str">
        <f>IF(Tabla1[[#This Row],[EXISTENCIA ACTUAL]]=0,"AGOTADO",  IF(Tabla1[[#This Row],[EXISTENCIA ACTUAL]]&lt;Tabla1[[#This Row],[STOCK MINIMO]],"MENOR AL MINIMO", "OK"))</f>
        <v>OK</v>
      </c>
      <c r="I58" s="2">
        <f>IF(Tabla1[[#This Row],[EXISTENCIA ACTUAL]]=0,0,  IF(Tabla1[[#This Row],[EXISTENCIA ACTUAL]]&lt;Tabla1[[#This Row],[STOCK MINIMO]],1, 2))</f>
        <v>2</v>
      </c>
      <c r="J58" s="2">
        <v>1</v>
      </c>
      <c r="K58" s="21">
        <f>SUMIFS(Tabla2[CANTIDAD],Tabla2[PRODUCTO],Tabla1[[#This Row],[PRODUCTO]])</f>
        <v>10</v>
      </c>
      <c r="L58" s="2" t="s">
        <v>44</v>
      </c>
      <c r="M58" s="2" t="s">
        <v>47</v>
      </c>
    </row>
    <row r="59" spans="2:13" ht="30" hidden="1" customHeight="1" x14ac:dyDescent="0.25">
      <c r="B59" s="23" t="str">
        <f>E59&amp;"-"&amp;COUNTIF($E$8:E59,E59)</f>
        <v>ISA-3</v>
      </c>
      <c r="C59" s="22" t="s">
        <v>136</v>
      </c>
      <c r="D59" s="22" t="s">
        <v>133</v>
      </c>
      <c r="E59" s="21" t="str">
        <f>IFERROR(VLOOKUP(D59,Hoja3!$A$2:$B$50,2,0),"")</f>
        <v>ISA</v>
      </c>
      <c r="F59" s="2" t="s">
        <v>51</v>
      </c>
      <c r="G59" s="2" t="s">
        <v>38</v>
      </c>
      <c r="H59" s="20" t="str">
        <f>IF(Tabla1[[#This Row],[EXISTENCIA ACTUAL]]=0,"AGOTADO",  IF(Tabla1[[#This Row],[EXISTENCIA ACTUAL]]&lt;Tabla1[[#This Row],[STOCK MINIMO]],"MENOR AL MINIMO", "OK"))</f>
        <v>OK</v>
      </c>
      <c r="I59" s="2">
        <f>IF(Tabla1[[#This Row],[EXISTENCIA ACTUAL]]=0,0,  IF(Tabla1[[#This Row],[EXISTENCIA ACTUAL]]&lt;Tabla1[[#This Row],[STOCK MINIMO]],1, 2))</f>
        <v>2</v>
      </c>
      <c r="J59" s="2">
        <v>1</v>
      </c>
      <c r="K59" s="21">
        <f>SUMIFS(Tabla2[CANTIDAD],Tabla2[PRODUCTO],Tabla1[[#This Row],[PRODUCTO]])</f>
        <v>30</v>
      </c>
      <c r="L59" s="2" t="s">
        <v>44</v>
      </c>
      <c r="M59" s="2" t="s">
        <v>47</v>
      </c>
    </row>
    <row r="60" spans="2:13" ht="30" hidden="1" customHeight="1" x14ac:dyDescent="0.25">
      <c r="B60" s="23" t="str">
        <f>E60&amp;"-"&amp;COUNTIF($E$8:E60,E60)</f>
        <v>ISA-4</v>
      </c>
      <c r="C60" s="22" t="s">
        <v>137</v>
      </c>
      <c r="D60" s="22" t="s">
        <v>133</v>
      </c>
      <c r="E60" s="21" t="str">
        <f>IFERROR(VLOOKUP(D60,Hoja3!$A$2:$B$50,2,0),"")</f>
        <v>ISA</v>
      </c>
      <c r="F60" s="2" t="s">
        <v>51</v>
      </c>
      <c r="G60" s="2" t="s">
        <v>38</v>
      </c>
      <c r="H60" s="20" t="str">
        <f>IF(Tabla1[[#This Row],[EXISTENCIA ACTUAL]]=0,"AGOTADO",  IF(Tabla1[[#This Row],[EXISTENCIA ACTUAL]]&lt;Tabla1[[#This Row],[STOCK MINIMO]],"MENOR AL MINIMO", "OK"))</f>
        <v>OK</v>
      </c>
      <c r="I60" s="2">
        <f>IF(Tabla1[[#This Row],[EXISTENCIA ACTUAL]]=0,0,  IF(Tabla1[[#This Row],[EXISTENCIA ACTUAL]]&lt;Tabla1[[#This Row],[STOCK MINIMO]],1, 2))</f>
        <v>2</v>
      </c>
      <c r="J60" s="2">
        <v>1</v>
      </c>
      <c r="K60" s="21">
        <f>SUMIFS(Tabla2[CANTIDAD],Tabla2[PRODUCTO],Tabla1[[#This Row],[PRODUCTO]])</f>
        <v>30</v>
      </c>
      <c r="L60" s="2" t="s">
        <v>44</v>
      </c>
      <c r="M60" s="2" t="s">
        <v>47</v>
      </c>
    </row>
    <row r="61" spans="2:13" ht="30" hidden="1" customHeight="1" x14ac:dyDescent="0.25">
      <c r="B61" s="23" t="str">
        <f>E61&amp;"-"&amp;COUNTIF($E$8:E61,E61)</f>
        <v>ISA-5</v>
      </c>
      <c r="C61" s="22" t="s">
        <v>138</v>
      </c>
      <c r="D61" s="22" t="s">
        <v>133</v>
      </c>
      <c r="E61" s="21" t="str">
        <f>IFERROR(VLOOKUP(D61,Hoja3!$A$2:$B$50,2,0),"")</f>
        <v>ISA</v>
      </c>
      <c r="F61" s="2" t="s">
        <v>51</v>
      </c>
      <c r="G61" s="2" t="s">
        <v>38</v>
      </c>
      <c r="H61" s="20" t="str">
        <f>IF(Tabla1[[#This Row],[EXISTENCIA ACTUAL]]=0,"AGOTADO",  IF(Tabla1[[#This Row],[EXISTENCIA ACTUAL]]&lt;Tabla1[[#This Row],[STOCK MINIMO]],"MENOR AL MINIMO", "OK"))</f>
        <v>OK</v>
      </c>
      <c r="I61" s="2">
        <f>IF(Tabla1[[#This Row],[EXISTENCIA ACTUAL]]=0,0,  IF(Tabla1[[#This Row],[EXISTENCIA ACTUAL]]&lt;Tabla1[[#This Row],[STOCK MINIMO]],1, 2))</f>
        <v>2</v>
      </c>
      <c r="J61" s="2">
        <v>1</v>
      </c>
      <c r="K61" s="21">
        <f>SUMIFS(Tabla2[CANTIDAD],Tabla2[PRODUCTO],Tabla1[[#This Row],[PRODUCTO]])</f>
        <v>2</v>
      </c>
      <c r="L61" s="2" t="s">
        <v>44</v>
      </c>
      <c r="M61" s="2" t="s">
        <v>47</v>
      </c>
    </row>
    <row r="62" spans="2:13" ht="30" hidden="1" customHeight="1" x14ac:dyDescent="0.25">
      <c r="B62" s="23" t="str">
        <f>E62&amp;"-"&amp;COUNTIF($E$8:E62,E62)</f>
        <v>ISA-6</v>
      </c>
      <c r="C62" s="22" t="s">
        <v>139</v>
      </c>
      <c r="D62" s="22" t="s">
        <v>133</v>
      </c>
      <c r="E62" s="21" t="str">
        <f>IFERROR(VLOOKUP(D62,Hoja3!$A$2:$B$50,2,0),"")</f>
        <v>ISA</v>
      </c>
      <c r="F62" s="2" t="s">
        <v>51</v>
      </c>
      <c r="G62" s="2" t="s">
        <v>38</v>
      </c>
      <c r="H62" s="20" t="str">
        <f>IF(Tabla1[[#This Row],[EXISTENCIA ACTUAL]]=0,"AGOTADO",  IF(Tabla1[[#This Row],[EXISTENCIA ACTUAL]]&lt;Tabla1[[#This Row],[STOCK MINIMO]],"MENOR AL MINIMO", "OK"))</f>
        <v>OK</v>
      </c>
      <c r="I62" s="2">
        <f>IF(Tabla1[[#This Row],[EXISTENCIA ACTUAL]]=0,0,  IF(Tabla1[[#This Row],[EXISTENCIA ACTUAL]]&lt;Tabla1[[#This Row],[STOCK MINIMO]],1, 2))</f>
        <v>2</v>
      </c>
      <c r="J62" s="2">
        <v>1</v>
      </c>
      <c r="K62" s="21">
        <f>SUMIFS(Tabla2[CANTIDAD],Tabla2[PRODUCTO],Tabla1[[#This Row],[PRODUCTO]])</f>
        <v>97</v>
      </c>
      <c r="L62" s="2" t="s">
        <v>44</v>
      </c>
      <c r="M62" s="2" t="s">
        <v>47</v>
      </c>
    </row>
    <row r="63" spans="2:13" ht="30" hidden="1" customHeight="1" x14ac:dyDescent="0.25">
      <c r="B63" s="23" t="str">
        <f>E63&amp;"-"&amp;COUNTIF($E$8:E63,E63)</f>
        <v>IE-7</v>
      </c>
      <c r="C63" s="22" t="s">
        <v>140</v>
      </c>
      <c r="D63" s="22" t="s">
        <v>27</v>
      </c>
      <c r="E63" s="21" t="str">
        <f>IFERROR(VLOOKUP(D63,Hoja3!$A$2:$B$50,2,0),"")</f>
        <v>IE</v>
      </c>
      <c r="F63" s="2" t="s">
        <v>51</v>
      </c>
      <c r="G63" s="2" t="s">
        <v>38</v>
      </c>
      <c r="H63" s="20" t="str">
        <f>IF(Tabla1[[#This Row],[EXISTENCIA ACTUAL]]=0,"AGOTADO",  IF(Tabla1[[#This Row],[EXISTENCIA ACTUAL]]&lt;Tabla1[[#This Row],[STOCK MINIMO]],"MENOR AL MINIMO", "OK"))</f>
        <v>OK</v>
      </c>
      <c r="I63" s="2">
        <f>IF(Tabla1[[#This Row],[EXISTENCIA ACTUAL]]=0,0,  IF(Tabla1[[#This Row],[EXISTENCIA ACTUAL]]&lt;Tabla1[[#This Row],[STOCK MINIMO]],1, 2))</f>
        <v>2</v>
      </c>
      <c r="J63" s="2">
        <v>5</v>
      </c>
      <c r="K63" s="21">
        <f>SUMIFS(Tabla2[CANTIDAD],Tabla2[PRODUCTO],Tabla1[[#This Row],[PRODUCTO]])</f>
        <v>15</v>
      </c>
      <c r="L63" s="2" t="s">
        <v>44</v>
      </c>
      <c r="M63" s="2" t="s">
        <v>47</v>
      </c>
    </row>
    <row r="64" spans="2:13" ht="30" hidden="1" customHeight="1" x14ac:dyDescent="0.25">
      <c r="B64" s="23" t="str">
        <f>E64&amp;"-"&amp;COUNTIF($E$8:E64,E64)</f>
        <v>IE-8</v>
      </c>
      <c r="C64" s="22" t="s">
        <v>141</v>
      </c>
      <c r="D64" s="22" t="s">
        <v>27</v>
      </c>
      <c r="E64" s="21" t="str">
        <f>IFERROR(VLOOKUP(D64,Hoja3!$A$2:$B$50,2,0),"")</f>
        <v>IE</v>
      </c>
      <c r="F64" s="2" t="s">
        <v>51</v>
      </c>
      <c r="G64" s="2" t="s">
        <v>38</v>
      </c>
      <c r="H64" s="20" t="str">
        <f>IF(Tabla1[[#This Row],[EXISTENCIA ACTUAL]]=0,"AGOTADO",  IF(Tabla1[[#This Row],[EXISTENCIA ACTUAL]]&lt;Tabla1[[#This Row],[STOCK MINIMO]],"MENOR AL MINIMO", "OK"))</f>
        <v>OK</v>
      </c>
      <c r="I64" s="2">
        <f>IF(Tabla1[[#This Row],[EXISTENCIA ACTUAL]]=0,0,  IF(Tabla1[[#This Row],[EXISTENCIA ACTUAL]]&lt;Tabla1[[#This Row],[STOCK MINIMO]],1, 2))</f>
        <v>2</v>
      </c>
      <c r="J64" s="2">
        <v>5</v>
      </c>
      <c r="K64" s="21">
        <f>SUMIFS(Tabla2[CANTIDAD],Tabla2[PRODUCTO],Tabla1[[#This Row],[PRODUCTO]])</f>
        <v>25</v>
      </c>
      <c r="L64" s="2" t="s">
        <v>44</v>
      </c>
      <c r="M64" s="2" t="s">
        <v>47</v>
      </c>
    </row>
    <row r="65" spans="2:13" ht="30" hidden="1" customHeight="1" x14ac:dyDescent="0.25">
      <c r="B65" s="23" t="str">
        <f>E65&amp;"-"&amp;COUNTIF($E$8:E65,E65)</f>
        <v>ISA-7</v>
      </c>
      <c r="C65" s="22" t="s">
        <v>142</v>
      </c>
      <c r="D65" s="22" t="s">
        <v>133</v>
      </c>
      <c r="E65" s="21" t="str">
        <f>IFERROR(VLOOKUP(D65,Hoja3!$A$2:$B$50,2,0),"")</f>
        <v>ISA</v>
      </c>
      <c r="F65" s="2" t="s">
        <v>51</v>
      </c>
      <c r="G65" s="2" t="s">
        <v>38</v>
      </c>
      <c r="H65" s="20" t="str">
        <f>IF(Tabla1[[#This Row],[EXISTENCIA ACTUAL]]=0,"AGOTADO",  IF(Tabla1[[#This Row],[EXISTENCIA ACTUAL]]&lt;Tabla1[[#This Row],[STOCK MINIMO]],"MENOR AL MINIMO", "OK"))</f>
        <v>OK</v>
      </c>
      <c r="I65" s="2">
        <f>IF(Tabla1[[#This Row],[EXISTENCIA ACTUAL]]=0,0,  IF(Tabla1[[#This Row],[EXISTENCIA ACTUAL]]&lt;Tabla1[[#This Row],[STOCK MINIMO]],1, 2))</f>
        <v>2</v>
      </c>
      <c r="J65" s="2">
        <v>5</v>
      </c>
      <c r="K65" s="21">
        <f>SUMIFS(Tabla2[CANTIDAD],Tabla2[PRODUCTO],Tabla1[[#This Row],[PRODUCTO]])</f>
        <v>10</v>
      </c>
      <c r="L65" s="2" t="s">
        <v>44</v>
      </c>
      <c r="M65" s="2" t="s">
        <v>47</v>
      </c>
    </row>
    <row r="66" spans="2:13" ht="30" hidden="1" customHeight="1" x14ac:dyDescent="0.25">
      <c r="B66" s="23" t="str">
        <f>E66&amp;"-"&amp;COUNTIF($E$8:E66,E66)</f>
        <v>UTC-1</v>
      </c>
      <c r="C66" s="22" t="s">
        <v>146</v>
      </c>
      <c r="D66" s="22" t="s">
        <v>144</v>
      </c>
      <c r="E66" s="21" t="str">
        <f>IFERROR(VLOOKUP(D66,Hoja3!$A$2:$B$50,2,0),"")</f>
        <v>UTC</v>
      </c>
      <c r="F66" s="2" t="s">
        <v>51</v>
      </c>
      <c r="G66" s="2" t="s">
        <v>38</v>
      </c>
      <c r="H66" s="20" t="str">
        <f>IF(Tabla1[[#This Row],[EXISTENCIA ACTUAL]]=0,"AGOTADO",  IF(Tabla1[[#This Row],[EXISTENCIA ACTUAL]]&lt;Tabla1[[#This Row],[STOCK MINIMO]],"MENOR AL MINIMO", "OK"))</f>
        <v>OK</v>
      </c>
      <c r="I66" s="2">
        <f>IF(Tabla1[[#This Row],[EXISTENCIA ACTUAL]]=0,0,  IF(Tabla1[[#This Row],[EXISTENCIA ACTUAL]]&lt;Tabla1[[#This Row],[STOCK MINIMO]],1, 2))</f>
        <v>2</v>
      </c>
      <c r="J66" s="2">
        <v>1</v>
      </c>
      <c r="K66" s="21">
        <f>SUMIFS(Tabla2[CANTIDAD],Tabla2[PRODUCTO],Tabla1[[#This Row],[PRODUCTO]])</f>
        <v>4</v>
      </c>
      <c r="L66" s="2" t="s">
        <v>44</v>
      </c>
      <c r="M66" s="2" t="s">
        <v>47</v>
      </c>
    </row>
    <row r="67" spans="2:13" ht="30" hidden="1" customHeight="1" x14ac:dyDescent="0.25">
      <c r="B67" s="23" t="str">
        <f>E67&amp;"-"&amp;COUNTIF($E$8:E67,E67)</f>
        <v>UTC-2</v>
      </c>
      <c r="C67" s="22" t="s">
        <v>147</v>
      </c>
      <c r="D67" s="22" t="s">
        <v>144</v>
      </c>
      <c r="E67" s="21" t="str">
        <f>IFERROR(VLOOKUP(D67,Hoja3!$A$2:$B$50,2,0),"")</f>
        <v>UTC</v>
      </c>
      <c r="F67" s="2" t="s">
        <v>51</v>
      </c>
      <c r="G67" s="2" t="s">
        <v>38</v>
      </c>
      <c r="H67" s="20" t="str">
        <f>IF(Tabla1[[#This Row],[EXISTENCIA ACTUAL]]=0,"AGOTADO",  IF(Tabla1[[#This Row],[EXISTENCIA ACTUAL]]&lt;Tabla1[[#This Row],[STOCK MINIMO]],"MENOR AL MINIMO", "OK"))</f>
        <v>OK</v>
      </c>
      <c r="I67" s="2">
        <f>IF(Tabla1[[#This Row],[EXISTENCIA ACTUAL]]=0,0,  IF(Tabla1[[#This Row],[EXISTENCIA ACTUAL]]&lt;Tabla1[[#This Row],[STOCK MINIMO]],1, 2))</f>
        <v>2</v>
      </c>
      <c r="J67" s="2">
        <v>1</v>
      </c>
      <c r="K67" s="21">
        <f>SUMIFS(Tabla2[CANTIDAD],Tabla2[PRODUCTO],Tabla1[[#This Row],[PRODUCTO]])</f>
        <v>4</v>
      </c>
      <c r="L67" s="2" t="s">
        <v>44</v>
      </c>
      <c r="M67" s="2" t="s">
        <v>47</v>
      </c>
    </row>
    <row r="68" spans="2:13" ht="30" hidden="1" customHeight="1" x14ac:dyDescent="0.25">
      <c r="B68" s="23" t="str">
        <f>E68&amp;"-"&amp;COUNTIF($E$8:E68,E68)</f>
        <v>OTR-1</v>
      </c>
      <c r="C68" s="22" t="s">
        <v>150</v>
      </c>
      <c r="D68" s="22" t="s">
        <v>148</v>
      </c>
      <c r="E68" s="21" t="str">
        <f>IFERROR(VLOOKUP(D68,Hoja3!$A$2:$B$50,2,0),"")</f>
        <v>OTR</v>
      </c>
      <c r="F68" s="2" t="s">
        <v>51</v>
      </c>
      <c r="G68" s="2" t="s">
        <v>39</v>
      </c>
      <c r="H68" s="20" t="str">
        <f>IF(Tabla1[[#This Row],[EXISTENCIA ACTUAL]]=0,"AGOTADO",  IF(Tabla1[[#This Row],[EXISTENCIA ACTUAL]]&lt;Tabla1[[#This Row],[STOCK MINIMO]],"MENOR AL MINIMO", "OK"))</f>
        <v>OK</v>
      </c>
      <c r="I68" s="2">
        <f>IF(Tabla1[[#This Row],[EXISTENCIA ACTUAL]]=0,0,  IF(Tabla1[[#This Row],[EXISTENCIA ACTUAL]]&lt;Tabla1[[#This Row],[STOCK MINIMO]],1, 2))</f>
        <v>2</v>
      </c>
      <c r="J68" s="2">
        <v>1</v>
      </c>
      <c r="K68" s="21">
        <f>SUMIFS(Tabla2[CANTIDAD],Tabla2[PRODUCTO],Tabla1[[#This Row],[PRODUCTO]])</f>
        <v>100</v>
      </c>
      <c r="L68" s="2" t="s">
        <v>44</v>
      </c>
      <c r="M68" s="2" t="s">
        <v>47</v>
      </c>
    </row>
    <row r="69" spans="2:13" ht="30" hidden="1" customHeight="1" x14ac:dyDescent="0.25">
      <c r="B69" s="23" t="str">
        <f>E69&amp;"-"&amp;COUNTIF($E$8:E69,E69)</f>
        <v>OTR-2</v>
      </c>
      <c r="C69" s="22" t="s">
        <v>151</v>
      </c>
      <c r="D69" s="22" t="s">
        <v>148</v>
      </c>
      <c r="E69" s="21" t="str">
        <f>IFERROR(VLOOKUP(D69,Hoja3!$A$2:$B$50,2,0),"")</f>
        <v>OTR</v>
      </c>
      <c r="F69" s="2" t="s">
        <v>51</v>
      </c>
      <c r="G69" s="2" t="s">
        <v>39</v>
      </c>
      <c r="H69" s="20" t="str">
        <f>IF(Tabla1[[#This Row],[EXISTENCIA ACTUAL]]=0,"AGOTADO",  IF(Tabla1[[#This Row],[EXISTENCIA ACTUAL]]&lt;Tabla1[[#This Row],[STOCK MINIMO]],"MENOR AL MINIMO", "OK"))</f>
        <v>OK</v>
      </c>
      <c r="I69" s="2">
        <f>IF(Tabla1[[#This Row],[EXISTENCIA ACTUAL]]=0,0,  IF(Tabla1[[#This Row],[EXISTENCIA ACTUAL]]&lt;Tabla1[[#This Row],[STOCK MINIMO]],1, 2))</f>
        <v>2</v>
      </c>
      <c r="J69" s="2">
        <v>1</v>
      </c>
      <c r="K69" s="21">
        <f>SUMIFS(Tabla2[CANTIDAD],Tabla2[PRODUCTO],Tabla1[[#This Row],[PRODUCTO]])</f>
        <v>100</v>
      </c>
      <c r="L69" s="2" t="s">
        <v>44</v>
      </c>
      <c r="M69" s="2" t="s">
        <v>47</v>
      </c>
    </row>
    <row r="70" spans="2:13" ht="30" hidden="1" customHeight="1" x14ac:dyDescent="0.25">
      <c r="B70" s="23" t="str">
        <f>E70&amp;"-"&amp;COUNTIF($E$8:E70,E70)</f>
        <v>OTR-3</v>
      </c>
      <c r="C70" s="22" t="s">
        <v>152</v>
      </c>
      <c r="D70" s="22" t="s">
        <v>148</v>
      </c>
      <c r="E70" s="21" t="str">
        <f>IFERROR(VLOOKUP(D70,Hoja3!$A$2:$B$50,2,0),"")</f>
        <v>OTR</v>
      </c>
      <c r="F70" s="2" t="s">
        <v>51</v>
      </c>
      <c r="G70" s="2" t="s">
        <v>39</v>
      </c>
      <c r="H70" s="20" t="str">
        <f>IF(Tabla1[[#This Row],[EXISTENCIA ACTUAL]]=0,"AGOTADO",  IF(Tabla1[[#This Row],[EXISTENCIA ACTUAL]]&lt;Tabla1[[#This Row],[STOCK MINIMO]],"MENOR AL MINIMO", "OK"))</f>
        <v>OK</v>
      </c>
      <c r="I70" s="2">
        <f>IF(Tabla1[[#This Row],[EXISTENCIA ACTUAL]]=0,0,  IF(Tabla1[[#This Row],[EXISTENCIA ACTUAL]]&lt;Tabla1[[#This Row],[STOCK MINIMO]],1, 2))</f>
        <v>2</v>
      </c>
      <c r="J70" s="2">
        <v>1</v>
      </c>
      <c r="K70" s="21">
        <f>SUMIFS(Tabla2[CANTIDAD],Tabla2[PRODUCTO],Tabla1[[#This Row],[PRODUCTO]])</f>
        <v>200</v>
      </c>
      <c r="L70" s="2" t="s">
        <v>44</v>
      </c>
      <c r="M70" s="2" t="s">
        <v>47</v>
      </c>
    </row>
    <row r="71" spans="2:13" ht="30" hidden="1" customHeight="1" x14ac:dyDescent="0.25">
      <c r="B71" s="23" t="str">
        <f>E71&amp;"-"&amp;COUNTIF($E$8:E71,E71)</f>
        <v>UE-1</v>
      </c>
      <c r="C71" s="22" t="s">
        <v>155</v>
      </c>
      <c r="D71" s="22" t="s">
        <v>21</v>
      </c>
      <c r="E71" s="21" t="str">
        <f>IFERROR(VLOOKUP(D71,Hoja3!$A$2:$B$50,2,0),"")</f>
        <v>UE</v>
      </c>
      <c r="F71" s="2" t="s">
        <v>51</v>
      </c>
      <c r="G71" s="2" t="s">
        <v>38</v>
      </c>
      <c r="H71" s="20" t="str">
        <f>IF(Tabla1[[#This Row],[EXISTENCIA ACTUAL]]=0,"AGOTADO",  IF(Tabla1[[#This Row],[EXISTENCIA ACTUAL]]&lt;Tabla1[[#This Row],[STOCK MINIMO]],"MENOR AL MINIMO", "OK"))</f>
        <v>OK</v>
      </c>
      <c r="I71" s="2">
        <f>IF(Tabla1[[#This Row],[EXISTENCIA ACTUAL]]=0,0,  IF(Tabla1[[#This Row],[EXISTENCIA ACTUAL]]&lt;Tabla1[[#This Row],[STOCK MINIMO]],1, 2))</f>
        <v>2</v>
      </c>
      <c r="J71" s="2">
        <v>1</v>
      </c>
      <c r="K71" s="21">
        <f>SUMIFS(Tabla2[CANTIDAD],Tabla2[PRODUCTO],Tabla1[[#This Row],[PRODUCTO]])</f>
        <v>2</v>
      </c>
      <c r="L71" s="2" t="s">
        <v>44</v>
      </c>
      <c r="M71" s="2" t="s">
        <v>47</v>
      </c>
    </row>
    <row r="72" spans="2:13" ht="30" hidden="1" customHeight="1" x14ac:dyDescent="0.25">
      <c r="B72" s="23" t="str">
        <f>E72&amp;"-"&amp;COUNTIF($E$8:E72,E72)</f>
        <v>UE-2</v>
      </c>
      <c r="C72" s="22" t="s">
        <v>156</v>
      </c>
      <c r="D72" s="22" t="s">
        <v>21</v>
      </c>
      <c r="E72" s="21" t="str">
        <f>IFERROR(VLOOKUP(D72,Hoja3!$A$2:$B$50,2,0),"")</f>
        <v>UE</v>
      </c>
      <c r="F72" s="2" t="s">
        <v>51</v>
      </c>
      <c r="G72" s="2" t="s">
        <v>38</v>
      </c>
      <c r="H72" s="20" t="str">
        <f>IF(Tabla1[[#This Row],[EXISTENCIA ACTUAL]]=0,"AGOTADO",  IF(Tabla1[[#This Row],[EXISTENCIA ACTUAL]]&lt;Tabla1[[#This Row],[STOCK MINIMO]],"MENOR AL MINIMO", "OK"))</f>
        <v>OK</v>
      </c>
      <c r="I72" s="2">
        <f>IF(Tabla1[[#This Row],[EXISTENCIA ACTUAL]]=0,0,  IF(Tabla1[[#This Row],[EXISTENCIA ACTUAL]]&lt;Tabla1[[#This Row],[STOCK MINIMO]],1, 2))</f>
        <v>2</v>
      </c>
      <c r="J72" s="2">
        <v>1</v>
      </c>
      <c r="K72" s="21">
        <f>SUMIFS(Tabla2[CANTIDAD],Tabla2[PRODUCTO],Tabla1[[#This Row],[PRODUCTO]])</f>
        <v>1</v>
      </c>
      <c r="L72" s="2" t="s">
        <v>44</v>
      </c>
      <c r="M72" s="2" t="s">
        <v>47</v>
      </c>
    </row>
    <row r="73" spans="2:13" ht="30" hidden="1" customHeight="1" x14ac:dyDescent="0.25">
      <c r="B73" s="23" t="str">
        <f>E73&amp;"-"&amp;COUNTIF($E$8:E73,E73)</f>
        <v>UE-3</v>
      </c>
      <c r="C73" s="22" t="s">
        <v>157</v>
      </c>
      <c r="D73" s="22" t="s">
        <v>21</v>
      </c>
      <c r="E73" s="21" t="str">
        <f>IFERROR(VLOOKUP(D73,Hoja3!$A$2:$B$50,2,0),"")</f>
        <v>UE</v>
      </c>
      <c r="F73" s="2" t="s">
        <v>51</v>
      </c>
      <c r="G73" s="2" t="s">
        <v>38</v>
      </c>
      <c r="H73" s="20" t="str">
        <f>IF(Tabla1[[#This Row],[EXISTENCIA ACTUAL]]=0,"AGOTADO",  IF(Tabla1[[#This Row],[EXISTENCIA ACTUAL]]&lt;Tabla1[[#This Row],[STOCK MINIMO]],"MENOR AL MINIMO", "OK"))</f>
        <v>OK</v>
      </c>
      <c r="I73" s="2">
        <f>IF(Tabla1[[#This Row],[EXISTENCIA ACTUAL]]=0,0,  IF(Tabla1[[#This Row],[EXISTENCIA ACTUAL]]&lt;Tabla1[[#This Row],[STOCK MINIMO]],1, 2))</f>
        <v>2</v>
      </c>
      <c r="J73" s="2">
        <v>1</v>
      </c>
      <c r="K73" s="21">
        <f>SUMIFS(Tabla2[CANTIDAD],Tabla2[PRODUCTO],Tabla1[[#This Row],[PRODUCTO]])</f>
        <v>2</v>
      </c>
      <c r="L73" s="2" t="s">
        <v>44</v>
      </c>
      <c r="M73" s="2" t="s">
        <v>47</v>
      </c>
    </row>
    <row r="74" spans="2:13" ht="30" hidden="1" customHeight="1" x14ac:dyDescent="0.25">
      <c r="B74" s="23" t="str">
        <f>E74&amp;"-"&amp;COUNTIF($E$8:E74,E74)</f>
        <v>UE-4</v>
      </c>
      <c r="C74" s="22" t="s">
        <v>158</v>
      </c>
      <c r="D74" s="22" t="s">
        <v>21</v>
      </c>
      <c r="E74" s="21" t="str">
        <f>IFERROR(VLOOKUP(D74,Hoja3!$A$2:$B$50,2,0),"")</f>
        <v>UE</v>
      </c>
      <c r="F74" s="2" t="s">
        <v>51</v>
      </c>
      <c r="G74" s="2" t="s">
        <v>38</v>
      </c>
      <c r="H74" s="20" t="str">
        <f>IF(Tabla1[[#This Row],[EXISTENCIA ACTUAL]]=0,"AGOTADO",  IF(Tabla1[[#This Row],[EXISTENCIA ACTUAL]]&lt;Tabla1[[#This Row],[STOCK MINIMO]],"MENOR AL MINIMO", "OK"))</f>
        <v>OK</v>
      </c>
      <c r="I74" s="2">
        <f>IF(Tabla1[[#This Row],[EXISTENCIA ACTUAL]]=0,0,  IF(Tabla1[[#This Row],[EXISTENCIA ACTUAL]]&lt;Tabla1[[#This Row],[STOCK MINIMO]],1, 2))</f>
        <v>2</v>
      </c>
      <c r="J74" s="2">
        <v>1</v>
      </c>
      <c r="K74" s="21">
        <f>SUMIFS(Tabla2[CANTIDAD],Tabla2[PRODUCTO],Tabla1[[#This Row],[PRODUCTO]])</f>
        <v>1</v>
      </c>
      <c r="L74" s="2" t="s">
        <v>44</v>
      </c>
      <c r="M74" s="2" t="s">
        <v>47</v>
      </c>
    </row>
    <row r="75" spans="2:13" ht="30" hidden="1" customHeight="1" x14ac:dyDescent="0.25">
      <c r="B75" s="23" t="str">
        <f>E75&amp;"-"&amp;COUNTIF($E$8:E75,E75)</f>
        <v>UE-5</v>
      </c>
      <c r="C75" s="22" t="s">
        <v>159</v>
      </c>
      <c r="D75" s="22" t="s">
        <v>21</v>
      </c>
      <c r="E75" s="21" t="str">
        <f>IFERROR(VLOOKUP(D75,Hoja3!$A$2:$B$50,2,0),"")</f>
        <v>UE</v>
      </c>
      <c r="F75" s="2" t="s">
        <v>51</v>
      </c>
      <c r="G75" s="2" t="s">
        <v>38</v>
      </c>
      <c r="H75" s="20" t="str">
        <f>IF(Tabla1[[#This Row],[EXISTENCIA ACTUAL]]=0,"AGOTADO",  IF(Tabla1[[#This Row],[EXISTENCIA ACTUAL]]&lt;Tabla1[[#This Row],[STOCK MINIMO]],"MENOR AL MINIMO", "OK"))</f>
        <v>OK</v>
      </c>
      <c r="I75" s="2">
        <f>IF(Tabla1[[#This Row],[EXISTENCIA ACTUAL]]=0,0,  IF(Tabla1[[#This Row],[EXISTENCIA ACTUAL]]&lt;Tabla1[[#This Row],[STOCK MINIMO]],1, 2))</f>
        <v>2</v>
      </c>
      <c r="J75" s="2">
        <v>1</v>
      </c>
      <c r="K75" s="21">
        <f>SUMIFS(Tabla2[CANTIDAD],Tabla2[PRODUCTO],Tabla1[[#This Row],[PRODUCTO]])</f>
        <v>1</v>
      </c>
      <c r="L75" s="2" t="s">
        <v>44</v>
      </c>
      <c r="M75" s="2" t="s">
        <v>47</v>
      </c>
    </row>
    <row r="76" spans="2:13" ht="30" hidden="1" customHeight="1" x14ac:dyDescent="0.25">
      <c r="B76" s="23" t="str">
        <f>E76&amp;"-"&amp;COUNTIF($E$8:E76,E76)</f>
        <v>UE-6</v>
      </c>
      <c r="C76" s="22" t="s">
        <v>160</v>
      </c>
      <c r="D76" s="22" t="s">
        <v>21</v>
      </c>
      <c r="E76" s="21" t="str">
        <f>IFERROR(VLOOKUP(D76,Hoja3!$A$2:$B$50,2,0),"")</f>
        <v>UE</v>
      </c>
      <c r="F76" s="2" t="s">
        <v>51</v>
      </c>
      <c r="G76" s="2" t="s">
        <v>38</v>
      </c>
      <c r="H76" s="20" t="str">
        <f>IF(Tabla1[[#This Row],[EXISTENCIA ACTUAL]]=0,"AGOTADO",  IF(Tabla1[[#This Row],[EXISTENCIA ACTUAL]]&lt;Tabla1[[#This Row],[STOCK MINIMO]],"MENOR AL MINIMO", "OK"))</f>
        <v>OK</v>
      </c>
      <c r="I76" s="2">
        <f>IF(Tabla1[[#This Row],[EXISTENCIA ACTUAL]]=0,0,  IF(Tabla1[[#This Row],[EXISTENCIA ACTUAL]]&lt;Tabla1[[#This Row],[STOCK MINIMO]],1, 2))</f>
        <v>2</v>
      </c>
      <c r="J76" s="2">
        <v>1</v>
      </c>
      <c r="K76" s="21">
        <f>SUMIFS(Tabla2[CANTIDAD],Tabla2[PRODUCTO],Tabla1[[#This Row],[PRODUCTO]])</f>
        <v>1</v>
      </c>
      <c r="L76" s="2" t="s">
        <v>44</v>
      </c>
      <c r="M76" s="2" t="s">
        <v>47</v>
      </c>
    </row>
    <row r="77" spans="2:13" ht="30" hidden="1" customHeight="1" x14ac:dyDescent="0.25">
      <c r="B77" s="23" t="str">
        <f>E77&amp;"-"&amp;COUNTIF($E$8:E77,E77)</f>
        <v>UE-7</v>
      </c>
      <c r="C77" s="22" t="s">
        <v>161</v>
      </c>
      <c r="D77" s="22" t="s">
        <v>21</v>
      </c>
      <c r="E77" s="21" t="str">
        <f>IFERROR(VLOOKUP(D77,Hoja3!$A$2:$B$50,2,0),"")</f>
        <v>UE</v>
      </c>
      <c r="F77" s="2" t="s">
        <v>51</v>
      </c>
      <c r="G77" s="2" t="s">
        <v>38</v>
      </c>
      <c r="H77" s="20" t="str">
        <f>IF(Tabla1[[#This Row],[EXISTENCIA ACTUAL]]=0,"AGOTADO",  IF(Tabla1[[#This Row],[EXISTENCIA ACTUAL]]&lt;Tabla1[[#This Row],[STOCK MINIMO]],"MENOR AL MINIMO", "OK"))</f>
        <v>OK</v>
      </c>
      <c r="I77" s="2">
        <f>IF(Tabla1[[#This Row],[EXISTENCIA ACTUAL]]=0,0,  IF(Tabla1[[#This Row],[EXISTENCIA ACTUAL]]&lt;Tabla1[[#This Row],[STOCK MINIMO]],1, 2))</f>
        <v>2</v>
      </c>
      <c r="J77" s="2">
        <v>1</v>
      </c>
      <c r="K77" s="21">
        <f>SUMIFS(Tabla2[CANTIDAD],Tabla2[PRODUCTO],Tabla1[[#This Row],[PRODUCTO]])</f>
        <v>1</v>
      </c>
      <c r="L77" s="2" t="s">
        <v>44</v>
      </c>
      <c r="M77" s="2" t="s">
        <v>47</v>
      </c>
    </row>
    <row r="78" spans="2:13" ht="30" hidden="1" customHeight="1" x14ac:dyDescent="0.25">
      <c r="B78" s="23" t="str">
        <f>E78&amp;"-"&amp;COUNTIF($E$8:E78,E78)</f>
        <v>UE-8</v>
      </c>
      <c r="C78" s="22" t="s">
        <v>162</v>
      </c>
      <c r="D78" s="22" t="s">
        <v>21</v>
      </c>
      <c r="E78" s="21" t="str">
        <f>IFERROR(VLOOKUP(D78,Hoja3!$A$2:$B$50,2,0),"")</f>
        <v>UE</v>
      </c>
      <c r="F78" s="2" t="s">
        <v>51</v>
      </c>
      <c r="G78" s="2" t="s">
        <v>38</v>
      </c>
      <c r="H78" s="20" t="str">
        <f>IF(Tabla1[[#This Row],[EXISTENCIA ACTUAL]]=0,"AGOTADO",  IF(Tabla1[[#This Row],[EXISTENCIA ACTUAL]]&lt;Tabla1[[#This Row],[STOCK MINIMO]],"MENOR AL MINIMO", "OK"))</f>
        <v>OK</v>
      </c>
      <c r="I78" s="2">
        <f>IF(Tabla1[[#This Row],[EXISTENCIA ACTUAL]]=0,0,  IF(Tabla1[[#This Row],[EXISTENCIA ACTUAL]]&lt;Tabla1[[#This Row],[STOCK MINIMO]],1, 2))</f>
        <v>2</v>
      </c>
      <c r="J78" s="2">
        <v>1</v>
      </c>
      <c r="K78" s="21">
        <f>SUMIFS(Tabla2[CANTIDAD],Tabla2[PRODUCTO],Tabla1[[#This Row],[PRODUCTO]])</f>
        <v>1</v>
      </c>
      <c r="L78" s="2" t="s">
        <v>44</v>
      </c>
      <c r="M78" s="2" t="s">
        <v>47</v>
      </c>
    </row>
    <row r="79" spans="2:13" ht="30" hidden="1" customHeight="1" x14ac:dyDescent="0.25">
      <c r="B79" s="23" t="str">
        <f>E79&amp;"-"&amp;COUNTIF($E$8:E79,E79)</f>
        <v>UE-9</v>
      </c>
      <c r="C79" s="22" t="s">
        <v>163</v>
      </c>
      <c r="D79" s="22" t="s">
        <v>21</v>
      </c>
      <c r="E79" s="21" t="str">
        <f>IFERROR(VLOOKUP(D79,Hoja3!$A$2:$B$50,2,0),"")</f>
        <v>UE</v>
      </c>
      <c r="F79" s="2" t="s">
        <v>51</v>
      </c>
      <c r="G79" s="2" t="s">
        <v>38</v>
      </c>
      <c r="H79" s="20" t="str">
        <f>IF(Tabla1[[#This Row],[EXISTENCIA ACTUAL]]=0,"AGOTADO",  IF(Tabla1[[#This Row],[EXISTENCIA ACTUAL]]&lt;Tabla1[[#This Row],[STOCK MINIMO]],"MENOR AL MINIMO", "OK"))</f>
        <v>OK</v>
      </c>
      <c r="I79" s="2">
        <f>IF(Tabla1[[#This Row],[EXISTENCIA ACTUAL]]=0,0,  IF(Tabla1[[#This Row],[EXISTENCIA ACTUAL]]&lt;Tabla1[[#This Row],[STOCK MINIMO]],1, 2))</f>
        <v>2</v>
      </c>
      <c r="J79" s="2">
        <v>1</v>
      </c>
      <c r="K79" s="21">
        <f>SUMIFS(Tabla2[CANTIDAD],Tabla2[PRODUCTO],Tabla1[[#This Row],[PRODUCTO]])</f>
        <v>1</v>
      </c>
      <c r="L79" s="2" t="s">
        <v>44</v>
      </c>
      <c r="M79" s="2" t="s">
        <v>47</v>
      </c>
    </row>
    <row r="80" spans="2:13" ht="30" hidden="1" customHeight="1" x14ac:dyDescent="0.25">
      <c r="B80" s="23" t="str">
        <f>E80&amp;"-"&amp;COUNTIF($E$8:E80,E80)</f>
        <v>UE-10</v>
      </c>
      <c r="C80" s="22" t="s">
        <v>164</v>
      </c>
      <c r="D80" s="22" t="s">
        <v>21</v>
      </c>
      <c r="E80" s="21" t="str">
        <f>IFERROR(VLOOKUP(D80,Hoja3!$A$2:$B$50,2,0),"")</f>
        <v>UE</v>
      </c>
      <c r="F80" s="2" t="s">
        <v>51</v>
      </c>
      <c r="G80" s="2" t="s">
        <v>38</v>
      </c>
      <c r="H80" s="20" t="str">
        <f>IF(Tabla1[[#This Row],[EXISTENCIA ACTUAL]]=0,"AGOTADO",  IF(Tabla1[[#This Row],[EXISTENCIA ACTUAL]]&lt;Tabla1[[#This Row],[STOCK MINIMO]],"MENOR AL MINIMO", "OK"))</f>
        <v>OK</v>
      </c>
      <c r="I80" s="2">
        <f>IF(Tabla1[[#This Row],[EXISTENCIA ACTUAL]]=0,0,  IF(Tabla1[[#This Row],[EXISTENCIA ACTUAL]]&lt;Tabla1[[#This Row],[STOCK MINIMO]],1, 2))</f>
        <v>2</v>
      </c>
      <c r="J80" s="2">
        <v>1</v>
      </c>
      <c r="K80" s="21">
        <f>SUMIFS(Tabla2[CANTIDAD],Tabla2[PRODUCTO],Tabla1[[#This Row],[PRODUCTO]])</f>
        <v>1</v>
      </c>
      <c r="L80" s="2" t="s">
        <v>44</v>
      </c>
      <c r="M80" s="2" t="s">
        <v>47</v>
      </c>
    </row>
    <row r="81" spans="2:13" ht="30" hidden="1" customHeight="1" x14ac:dyDescent="0.25">
      <c r="B81" s="23" t="str">
        <f>E81&amp;"-"&amp;COUNTIF($E$8:E81,E81)</f>
        <v>UE-11</v>
      </c>
      <c r="C81" s="22" t="s">
        <v>165</v>
      </c>
      <c r="D81" s="22" t="s">
        <v>21</v>
      </c>
      <c r="E81" s="21" t="str">
        <f>IFERROR(VLOOKUP(D81,Hoja3!$A$2:$B$50,2,0),"")</f>
        <v>UE</v>
      </c>
      <c r="F81" s="2" t="s">
        <v>51</v>
      </c>
      <c r="G81" s="2" t="s">
        <v>38</v>
      </c>
      <c r="H81" s="20" t="str">
        <f>IF(Tabla1[[#This Row],[EXISTENCIA ACTUAL]]=0,"AGOTADO",  IF(Tabla1[[#This Row],[EXISTENCIA ACTUAL]]&lt;Tabla1[[#This Row],[STOCK MINIMO]],"MENOR AL MINIMO", "OK"))</f>
        <v>OK</v>
      </c>
      <c r="I81" s="2">
        <f>IF(Tabla1[[#This Row],[EXISTENCIA ACTUAL]]=0,0,  IF(Tabla1[[#This Row],[EXISTENCIA ACTUAL]]&lt;Tabla1[[#This Row],[STOCK MINIMO]],1, 2))</f>
        <v>2</v>
      </c>
      <c r="J81" s="2">
        <v>1</v>
      </c>
      <c r="K81" s="21">
        <f>SUMIFS(Tabla2[CANTIDAD],Tabla2[PRODUCTO],Tabla1[[#This Row],[PRODUCTO]])</f>
        <v>1</v>
      </c>
      <c r="L81" s="2" t="s">
        <v>44</v>
      </c>
      <c r="M81" s="2" t="s">
        <v>47</v>
      </c>
    </row>
    <row r="82" spans="2:13" ht="30" hidden="1" customHeight="1" x14ac:dyDescent="0.25">
      <c r="B82" s="23" t="str">
        <f>E82&amp;"-"&amp;COUNTIF($E$8:E82,E82)</f>
        <v>UE-12</v>
      </c>
      <c r="C82" s="22" t="s">
        <v>166</v>
      </c>
      <c r="D82" s="22" t="s">
        <v>21</v>
      </c>
      <c r="E82" s="21" t="str">
        <f>IFERROR(VLOOKUP(D82,Hoja3!$A$2:$B$50,2,0),"")</f>
        <v>UE</v>
      </c>
      <c r="F82" s="2" t="s">
        <v>51</v>
      </c>
      <c r="G82" s="2" t="s">
        <v>38</v>
      </c>
      <c r="H82" s="20" t="str">
        <f>IF(Tabla1[[#This Row],[EXISTENCIA ACTUAL]]=0,"AGOTADO",  IF(Tabla1[[#This Row],[EXISTENCIA ACTUAL]]&lt;Tabla1[[#This Row],[STOCK MINIMO]],"MENOR AL MINIMO", "OK"))</f>
        <v>OK</v>
      </c>
      <c r="I82" s="2">
        <f>IF(Tabla1[[#This Row],[EXISTENCIA ACTUAL]]=0,0,  IF(Tabla1[[#This Row],[EXISTENCIA ACTUAL]]&lt;Tabla1[[#This Row],[STOCK MINIMO]],1, 2))</f>
        <v>2</v>
      </c>
      <c r="J82" s="2">
        <v>1</v>
      </c>
      <c r="K82" s="21">
        <f>SUMIFS(Tabla2[CANTIDAD],Tabla2[PRODUCTO],Tabla1[[#This Row],[PRODUCTO]])</f>
        <v>2</v>
      </c>
      <c r="L82" s="2" t="s">
        <v>44</v>
      </c>
      <c r="M82" s="2" t="s">
        <v>47</v>
      </c>
    </row>
    <row r="83" spans="2:13" ht="30" hidden="1" customHeight="1" x14ac:dyDescent="0.25">
      <c r="B83" s="23" t="str">
        <f>E83&amp;"-"&amp;COUNTIF($E$8:E83,E83)</f>
        <v>UE-13</v>
      </c>
      <c r="C83" s="22" t="s">
        <v>167</v>
      </c>
      <c r="D83" s="22" t="s">
        <v>21</v>
      </c>
      <c r="E83" s="21" t="str">
        <f>IFERROR(VLOOKUP(D83,Hoja3!$A$2:$B$50,2,0),"")</f>
        <v>UE</v>
      </c>
      <c r="F83" s="2" t="s">
        <v>51</v>
      </c>
      <c r="G83" s="2" t="s">
        <v>38</v>
      </c>
      <c r="H83" s="20" t="str">
        <f>IF(Tabla1[[#This Row],[EXISTENCIA ACTUAL]]=0,"AGOTADO",  IF(Tabla1[[#This Row],[EXISTENCIA ACTUAL]]&lt;Tabla1[[#This Row],[STOCK MINIMO]],"MENOR AL MINIMO", "OK"))</f>
        <v>OK</v>
      </c>
      <c r="I83" s="2">
        <f>IF(Tabla1[[#This Row],[EXISTENCIA ACTUAL]]=0,0,  IF(Tabla1[[#This Row],[EXISTENCIA ACTUAL]]&lt;Tabla1[[#This Row],[STOCK MINIMO]],1, 2))</f>
        <v>2</v>
      </c>
      <c r="J83" s="2">
        <v>10</v>
      </c>
      <c r="K83" s="21">
        <f>SUMIFS(Tabla2[CANTIDAD],Tabla2[PRODUCTO],Tabla1[[#This Row],[PRODUCTO]])</f>
        <v>95</v>
      </c>
      <c r="L83" s="2" t="s">
        <v>44</v>
      </c>
      <c r="M83" s="2" t="s">
        <v>47</v>
      </c>
    </row>
    <row r="84" spans="2:13" ht="30" hidden="1" customHeight="1" x14ac:dyDescent="0.25">
      <c r="B84" s="23" t="str">
        <f>E84&amp;"-"&amp;COUNTIF($E$8:E84,E84)</f>
        <v>UE-14</v>
      </c>
      <c r="C84" s="22" t="s">
        <v>168</v>
      </c>
      <c r="D84" s="22" t="s">
        <v>21</v>
      </c>
      <c r="E84" s="21" t="str">
        <f>IFERROR(VLOOKUP(D84,Hoja3!$A$2:$B$50,2,0),"")</f>
        <v>UE</v>
      </c>
      <c r="F84" s="2" t="s">
        <v>51</v>
      </c>
      <c r="G84" s="2" t="s">
        <v>38</v>
      </c>
      <c r="H84" s="20" t="str">
        <f>IF(Tabla1[[#This Row],[EXISTENCIA ACTUAL]]=0,"AGOTADO",  IF(Tabla1[[#This Row],[EXISTENCIA ACTUAL]]&lt;Tabla1[[#This Row],[STOCK MINIMO]],"MENOR AL MINIMO", "OK"))</f>
        <v>OK</v>
      </c>
      <c r="I84" s="2">
        <f>IF(Tabla1[[#This Row],[EXISTENCIA ACTUAL]]=0,0,  IF(Tabla1[[#This Row],[EXISTENCIA ACTUAL]]&lt;Tabla1[[#This Row],[STOCK MINIMO]],1, 2))</f>
        <v>2</v>
      </c>
      <c r="J84" s="2">
        <v>5</v>
      </c>
      <c r="K84" s="21">
        <f>SUMIFS(Tabla2[CANTIDAD],Tabla2[PRODUCTO],Tabla1[[#This Row],[PRODUCTO]])</f>
        <v>50</v>
      </c>
      <c r="L84" s="2" t="s">
        <v>44</v>
      </c>
      <c r="M84" s="2" t="s">
        <v>47</v>
      </c>
    </row>
    <row r="85" spans="2:13" ht="30" hidden="1" customHeight="1" x14ac:dyDescent="0.25">
      <c r="B85" s="23" t="str">
        <f>E85&amp;"-"&amp;COUNTIF($E$8:E85,E85)</f>
        <v>UE-15</v>
      </c>
      <c r="C85" s="22" t="s">
        <v>169</v>
      </c>
      <c r="D85" s="22" t="s">
        <v>21</v>
      </c>
      <c r="E85" s="21" t="str">
        <f>IFERROR(VLOOKUP(D85,Hoja3!$A$2:$B$50,2,0),"")</f>
        <v>UE</v>
      </c>
      <c r="F85" s="2" t="s">
        <v>51</v>
      </c>
      <c r="G85" s="2" t="s">
        <v>38</v>
      </c>
      <c r="H85" s="20" t="str">
        <f>IF(Tabla1[[#This Row],[EXISTENCIA ACTUAL]]=0,"AGOTADO",  IF(Tabla1[[#This Row],[EXISTENCIA ACTUAL]]&lt;Tabla1[[#This Row],[STOCK MINIMO]],"MENOR AL MINIMO", "OK"))</f>
        <v>OK</v>
      </c>
      <c r="I85" s="2">
        <f>IF(Tabla1[[#This Row],[EXISTENCIA ACTUAL]]=0,0,  IF(Tabla1[[#This Row],[EXISTENCIA ACTUAL]]&lt;Tabla1[[#This Row],[STOCK MINIMO]],1, 2))</f>
        <v>2</v>
      </c>
      <c r="J85" s="2">
        <v>5</v>
      </c>
      <c r="K85" s="21">
        <f>SUMIFS(Tabla2[CANTIDAD],Tabla2[PRODUCTO],Tabla1[[#This Row],[PRODUCTO]])</f>
        <v>25</v>
      </c>
      <c r="L85" s="2" t="s">
        <v>44</v>
      </c>
      <c r="M85" s="2" t="s">
        <v>47</v>
      </c>
    </row>
    <row r="86" spans="2:13" ht="30" hidden="1" customHeight="1" x14ac:dyDescent="0.25">
      <c r="B86" s="23" t="str">
        <f>E86&amp;"-"&amp;COUNTIF($E$8:E86,E86)</f>
        <v>UE-16</v>
      </c>
      <c r="C86" s="22" t="s">
        <v>172</v>
      </c>
      <c r="D86" s="22" t="s">
        <v>21</v>
      </c>
      <c r="E86" s="21" t="str">
        <f>IFERROR(VLOOKUP(D86,Hoja3!$A$2:$B$50,2,0),"")</f>
        <v>UE</v>
      </c>
      <c r="F86" s="2" t="s">
        <v>51</v>
      </c>
      <c r="G86" s="2" t="s">
        <v>38</v>
      </c>
      <c r="H86" s="20" t="str">
        <f>IF(Tabla1[[#This Row],[EXISTENCIA ACTUAL]]=0,"AGOTADO",  IF(Tabla1[[#This Row],[EXISTENCIA ACTUAL]]&lt;Tabla1[[#This Row],[STOCK MINIMO]],"MENOR AL MINIMO", "OK"))</f>
        <v>OK</v>
      </c>
      <c r="I86" s="2">
        <f>IF(Tabla1[[#This Row],[EXISTENCIA ACTUAL]]=0,0,  IF(Tabla1[[#This Row],[EXISTENCIA ACTUAL]]&lt;Tabla1[[#This Row],[STOCK MINIMO]],1, 2))</f>
        <v>2</v>
      </c>
      <c r="J86" s="2">
        <v>5</v>
      </c>
      <c r="K86" s="21">
        <f>SUMIFS(Tabla2[CANTIDAD],Tabla2[PRODUCTO],Tabla1[[#This Row],[PRODUCTO]])</f>
        <v>50</v>
      </c>
      <c r="L86" s="2" t="s">
        <v>44</v>
      </c>
      <c r="M86" s="2" t="s">
        <v>47</v>
      </c>
    </row>
    <row r="87" spans="2:13" ht="30" hidden="1" customHeight="1" x14ac:dyDescent="0.25">
      <c r="B87" s="23" t="str">
        <f>E87&amp;"-"&amp;COUNTIF($E$8:E87,E87)</f>
        <v>UE-17</v>
      </c>
      <c r="C87" s="22" t="s">
        <v>171</v>
      </c>
      <c r="D87" s="22" t="s">
        <v>21</v>
      </c>
      <c r="E87" s="21" t="str">
        <f>IFERROR(VLOOKUP(D87,Hoja3!$A$2:$B$50,2,0),"")</f>
        <v>UE</v>
      </c>
      <c r="F87" s="2" t="s">
        <v>51</v>
      </c>
      <c r="G87" s="2" t="s">
        <v>38</v>
      </c>
      <c r="H87" s="20" t="str">
        <f>IF(Tabla1[[#This Row],[EXISTENCIA ACTUAL]]=0,"AGOTADO",  IF(Tabla1[[#This Row],[EXISTENCIA ACTUAL]]&lt;Tabla1[[#This Row],[STOCK MINIMO]],"MENOR AL MINIMO", "OK"))</f>
        <v>OK</v>
      </c>
      <c r="I87" s="2">
        <f>IF(Tabla1[[#This Row],[EXISTENCIA ACTUAL]]=0,0,  IF(Tabla1[[#This Row],[EXISTENCIA ACTUAL]]&lt;Tabla1[[#This Row],[STOCK MINIMO]],1, 2))</f>
        <v>2</v>
      </c>
      <c r="J87" s="2">
        <v>5</v>
      </c>
      <c r="K87" s="21">
        <f>SUMIFS(Tabla2[CANTIDAD],Tabla2[PRODUCTO],Tabla1[[#This Row],[PRODUCTO]])</f>
        <v>50</v>
      </c>
      <c r="L87" s="2" t="s">
        <v>44</v>
      </c>
      <c r="M87" s="2" t="s">
        <v>47</v>
      </c>
    </row>
    <row r="88" spans="2:13" ht="30" hidden="1" customHeight="1" x14ac:dyDescent="0.25">
      <c r="B88" s="23" t="str">
        <f>E88&amp;"-"&amp;COUNTIF($E$8:E88,E88)</f>
        <v>UE-18</v>
      </c>
      <c r="C88" s="22" t="s">
        <v>170</v>
      </c>
      <c r="D88" s="22" t="s">
        <v>21</v>
      </c>
      <c r="E88" s="21" t="str">
        <f>IFERROR(VLOOKUP(D88,Hoja3!$A$2:$B$50,2,0),"")</f>
        <v>UE</v>
      </c>
      <c r="F88" s="2" t="s">
        <v>51</v>
      </c>
      <c r="G88" s="2" t="s">
        <v>38</v>
      </c>
      <c r="H88" s="20" t="str">
        <f>IF(Tabla1[[#This Row],[EXISTENCIA ACTUAL]]=0,"AGOTADO",  IF(Tabla1[[#This Row],[EXISTENCIA ACTUAL]]&lt;Tabla1[[#This Row],[STOCK MINIMO]],"MENOR AL MINIMO", "OK"))</f>
        <v>OK</v>
      </c>
      <c r="I88" s="2">
        <f>IF(Tabla1[[#This Row],[EXISTENCIA ACTUAL]]=0,0,  IF(Tabla1[[#This Row],[EXISTENCIA ACTUAL]]&lt;Tabla1[[#This Row],[STOCK MINIMO]],1, 2))</f>
        <v>2</v>
      </c>
      <c r="J88" s="2">
        <v>5</v>
      </c>
      <c r="K88" s="21">
        <f>SUMIFS(Tabla2[CANTIDAD],Tabla2[PRODUCTO],Tabla1[[#This Row],[PRODUCTO]])</f>
        <v>50</v>
      </c>
      <c r="L88" s="2" t="s">
        <v>44</v>
      </c>
      <c r="M88" s="2" t="s">
        <v>47</v>
      </c>
    </row>
    <row r="89" spans="2:13" ht="30" hidden="1" customHeight="1" x14ac:dyDescent="0.25">
      <c r="B89" s="23" t="str">
        <f>E89&amp;"-"&amp;COUNTIF($E$8:E89,E89)</f>
        <v>UE-19</v>
      </c>
      <c r="C89" s="22" t="s">
        <v>173</v>
      </c>
      <c r="D89" s="22" t="s">
        <v>21</v>
      </c>
      <c r="E89" s="21" t="str">
        <f>IFERROR(VLOOKUP(D89,Hoja3!$A$2:$B$50,2,0),"")</f>
        <v>UE</v>
      </c>
      <c r="F89" s="2" t="s">
        <v>51</v>
      </c>
      <c r="G89" s="2" t="s">
        <v>38</v>
      </c>
      <c r="H89" s="20" t="str">
        <f>IF(Tabla1[[#This Row],[EXISTENCIA ACTUAL]]=0,"AGOTADO",  IF(Tabla1[[#This Row],[EXISTENCIA ACTUAL]]&lt;Tabla1[[#This Row],[STOCK MINIMO]],"MENOR AL MINIMO", "OK"))</f>
        <v>OK</v>
      </c>
      <c r="I89" s="2">
        <f>IF(Tabla1[[#This Row],[EXISTENCIA ACTUAL]]=0,0,  IF(Tabla1[[#This Row],[EXISTENCIA ACTUAL]]&lt;Tabla1[[#This Row],[STOCK MINIMO]],1, 2))</f>
        <v>2</v>
      </c>
      <c r="J89" s="2">
        <v>2</v>
      </c>
      <c r="K89" s="21">
        <f>SUMIFS(Tabla2[CANTIDAD],Tabla2[PRODUCTO],Tabla1[[#This Row],[PRODUCTO]])</f>
        <v>2</v>
      </c>
      <c r="L89" s="2" t="s">
        <v>44</v>
      </c>
      <c r="M89" s="2" t="s">
        <v>47</v>
      </c>
    </row>
    <row r="90" spans="2:13" ht="30" hidden="1" customHeight="1" x14ac:dyDescent="0.25">
      <c r="B90" s="23" t="str">
        <f>E90&amp;"-"&amp;COUNTIF($E$8:E90,E90)</f>
        <v>UE-20</v>
      </c>
      <c r="C90" s="22" t="s">
        <v>174</v>
      </c>
      <c r="D90" s="22" t="s">
        <v>21</v>
      </c>
      <c r="E90" s="21" t="str">
        <f>IFERROR(VLOOKUP(D90,Hoja3!$A$2:$B$50,2,0),"")</f>
        <v>UE</v>
      </c>
      <c r="F90" s="2" t="s">
        <v>51</v>
      </c>
      <c r="G90" s="2" t="s">
        <v>38</v>
      </c>
      <c r="H90" s="20" t="str">
        <f>IF(Tabla1[[#This Row],[EXISTENCIA ACTUAL]]=0,"AGOTADO",  IF(Tabla1[[#This Row],[EXISTENCIA ACTUAL]]&lt;Tabla1[[#This Row],[STOCK MINIMO]],"MENOR AL MINIMO", "OK"))</f>
        <v>OK</v>
      </c>
      <c r="I90" s="2">
        <f>IF(Tabla1[[#This Row],[EXISTENCIA ACTUAL]]=0,0,  IF(Tabla1[[#This Row],[EXISTENCIA ACTUAL]]&lt;Tabla1[[#This Row],[STOCK MINIMO]],1, 2))</f>
        <v>2</v>
      </c>
      <c r="J90" s="2">
        <v>2</v>
      </c>
      <c r="K90" s="21">
        <f>SUMIFS(Tabla2[CANTIDAD],Tabla2[PRODUCTO],Tabla1[[#This Row],[PRODUCTO]])</f>
        <v>8</v>
      </c>
      <c r="L90" s="2" t="s">
        <v>44</v>
      </c>
      <c r="M90" s="2" t="s">
        <v>47</v>
      </c>
    </row>
    <row r="91" spans="2:13" ht="30" hidden="1" customHeight="1" x14ac:dyDescent="0.25">
      <c r="B91" s="24" t="str">
        <f>E91&amp;"-"&amp;COUNTIF($E$8:E91,E91)</f>
        <v>UE-21</v>
      </c>
      <c r="C91" s="22" t="s">
        <v>175</v>
      </c>
      <c r="D91" s="22" t="s">
        <v>21</v>
      </c>
      <c r="E91" s="21" t="str">
        <f>IFERROR(VLOOKUP(D91,Hoja3!$A$2:$B$50,2,0),"")</f>
        <v>UE</v>
      </c>
      <c r="F91" s="2" t="s">
        <v>51</v>
      </c>
      <c r="G91" s="2" t="s">
        <v>38</v>
      </c>
      <c r="H91" s="20" t="str">
        <f>IF(Tabla1[[#This Row],[EXISTENCIA ACTUAL]]=0,"AGOTADO",  IF(Tabla1[[#This Row],[EXISTENCIA ACTUAL]]&lt;Tabla1[[#This Row],[STOCK MINIMO]],"MENOR AL MINIMO", "OK"))</f>
        <v>OK</v>
      </c>
      <c r="I91" s="2">
        <f>IF(Tabla1[[#This Row],[EXISTENCIA ACTUAL]]=0,0,  IF(Tabla1[[#This Row],[EXISTENCIA ACTUAL]]&lt;Tabla1[[#This Row],[STOCK MINIMO]],1, 2))</f>
        <v>2</v>
      </c>
      <c r="J91" s="2">
        <v>2</v>
      </c>
      <c r="K91" s="21">
        <f>SUMIFS(Tabla2[CANTIDAD],Tabla2[PRODUCTO],Tabla1[[#This Row],[PRODUCTO]])</f>
        <v>2</v>
      </c>
      <c r="L91" s="2" t="s">
        <v>44</v>
      </c>
      <c r="M91" s="2" t="s">
        <v>47</v>
      </c>
    </row>
    <row r="92" spans="2:13" ht="30" hidden="1" customHeight="1" x14ac:dyDescent="0.25">
      <c r="B92" s="24" t="str">
        <f>E92&amp;"-"&amp;COUNTIF($E$8:E92,E92)</f>
        <v>UE-22</v>
      </c>
      <c r="C92" s="22" t="s">
        <v>176</v>
      </c>
      <c r="D92" s="22" t="s">
        <v>21</v>
      </c>
      <c r="E92" s="21" t="str">
        <f>IFERROR(VLOOKUP(D92,Hoja3!$A$2:$B$50,2,0),"")</f>
        <v>UE</v>
      </c>
      <c r="F92" s="2" t="s">
        <v>51</v>
      </c>
      <c r="G92" s="2" t="s">
        <v>38</v>
      </c>
      <c r="H92" s="20" t="str">
        <f>IF(Tabla1[[#This Row],[EXISTENCIA ACTUAL]]=0,"AGOTADO",  IF(Tabla1[[#This Row],[EXISTENCIA ACTUAL]]&lt;Tabla1[[#This Row],[STOCK MINIMO]],"MENOR AL MINIMO", "OK"))</f>
        <v>AGOTADO</v>
      </c>
      <c r="I92" s="2">
        <f>IF(Tabla1[[#This Row],[EXISTENCIA ACTUAL]]=0,0,  IF(Tabla1[[#This Row],[EXISTENCIA ACTUAL]]&lt;Tabla1[[#This Row],[STOCK MINIMO]],1, 2))</f>
        <v>0</v>
      </c>
      <c r="J92" s="2">
        <v>2</v>
      </c>
      <c r="K92" s="21">
        <f>SUMIFS(Tabla2[CANTIDAD],Tabla2[PRODUCTO],Tabla1[[#This Row],[PRODUCTO]])</f>
        <v>0</v>
      </c>
      <c r="L92" s="2" t="s">
        <v>44</v>
      </c>
      <c r="M92" s="2" t="s">
        <v>47</v>
      </c>
    </row>
    <row r="93" spans="2:13" ht="30" hidden="1" customHeight="1" x14ac:dyDescent="0.25">
      <c r="B93" s="24" t="str">
        <f>E93&amp;"-"&amp;COUNTIF($E$8:E93,E93)</f>
        <v>UE-23</v>
      </c>
      <c r="C93" s="22" t="s">
        <v>177</v>
      </c>
      <c r="D93" s="22" t="s">
        <v>21</v>
      </c>
      <c r="E93" s="21" t="str">
        <f>IFERROR(VLOOKUP(D93,Hoja3!$A$2:$B$50,2,0),"")</f>
        <v>UE</v>
      </c>
      <c r="F93" s="2" t="s">
        <v>51</v>
      </c>
      <c r="G93" s="2" t="s">
        <v>38</v>
      </c>
      <c r="H93" s="20" t="str">
        <f>IF(Tabla1[[#This Row],[EXISTENCIA ACTUAL]]=0,"AGOTADO",  IF(Tabla1[[#This Row],[EXISTENCIA ACTUAL]]&lt;Tabla1[[#This Row],[STOCK MINIMO]],"MENOR AL MINIMO", "OK"))</f>
        <v>OK</v>
      </c>
      <c r="I93" s="2">
        <f>IF(Tabla1[[#This Row],[EXISTENCIA ACTUAL]]=0,0,  IF(Tabla1[[#This Row],[EXISTENCIA ACTUAL]]&lt;Tabla1[[#This Row],[STOCK MINIMO]],1, 2))</f>
        <v>2</v>
      </c>
      <c r="J93" s="2">
        <v>10</v>
      </c>
      <c r="K93" s="21">
        <f>SUMIFS(Tabla2[CANTIDAD],Tabla2[PRODUCTO],Tabla1[[#This Row],[PRODUCTO]])</f>
        <v>100</v>
      </c>
      <c r="L93" s="2" t="s">
        <v>44</v>
      </c>
      <c r="M93" s="2" t="s">
        <v>47</v>
      </c>
    </row>
    <row r="94" spans="2:13" ht="30" hidden="1" customHeight="1" x14ac:dyDescent="0.25">
      <c r="B94" s="24" t="str">
        <f>E94&amp;"-"&amp;COUNTIF($E$8:E94,E94)</f>
        <v>UE-24</v>
      </c>
      <c r="C94" s="22" t="s">
        <v>178</v>
      </c>
      <c r="D94" s="22" t="s">
        <v>21</v>
      </c>
      <c r="E94" s="21" t="str">
        <f>IFERROR(VLOOKUP(D94,Hoja3!$A$2:$B$50,2,0),"")</f>
        <v>UE</v>
      </c>
      <c r="F94" s="2" t="s">
        <v>51</v>
      </c>
      <c r="G94" s="2" t="s">
        <v>38</v>
      </c>
      <c r="H94" s="20" t="str">
        <f>IF(Tabla1[[#This Row],[EXISTENCIA ACTUAL]]=0,"AGOTADO",  IF(Tabla1[[#This Row],[EXISTENCIA ACTUAL]]&lt;Tabla1[[#This Row],[STOCK MINIMO]],"MENOR AL MINIMO", "OK"))</f>
        <v>OK</v>
      </c>
      <c r="I94" s="2">
        <f>IF(Tabla1[[#This Row],[EXISTENCIA ACTUAL]]=0,0,  IF(Tabla1[[#This Row],[EXISTENCIA ACTUAL]]&lt;Tabla1[[#This Row],[STOCK MINIMO]],1, 2))</f>
        <v>2</v>
      </c>
      <c r="J94" s="2">
        <v>5</v>
      </c>
      <c r="K94" s="21">
        <f>SUMIFS(Tabla2[CANTIDAD],Tabla2[PRODUCTO],Tabla1[[#This Row],[PRODUCTO]])</f>
        <v>47</v>
      </c>
      <c r="L94" s="2" t="s">
        <v>44</v>
      </c>
      <c r="M94" s="2" t="s">
        <v>47</v>
      </c>
    </row>
    <row r="95" spans="2:13" ht="30" hidden="1" customHeight="1" x14ac:dyDescent="0.25">
      <c r="B95" s="24" t="str">
        <f>E95&amp;"-"&amp;COUNTIF($E$8:E95,E95)</f>
        <v>UE-25</v>
      </c>
      <c r="C95" s="22" t="s">
        <v>179</v>
      </c>
      <c r="D95" s="22" t="s">
        <v>21</v>
      </c>
      <c r="E95" s="21" t="str">
        <f>IFERROR(VLOOKUP(D95,Hoja3!$A$2:$B$50,2,0),"")</f>
        <v>UE</v>
      </c>
      <c r="F95" s="2" t="s">
        <v>51</v>
      </c>
      <c r="G95" s="2" t="s">
        <v>38</v>
      </c>
      <c r="H95" s="20" t="str">
        <f>IF(Tabla1[[#This Row],[EXISTENCIA ACTUAL]]=0,"AGOTADO",  IF(Tabla1[[#This Row],[EXISTENCIA ACTUAL]]&lt;Tabla1[[#This Row],[STOCK MINIMO]],"MENOR AL MINIMO", "OK"))</f>
        <v>OK</v>
      </c>
      <c r="I95" s="2">
        <f>IF(Tabla1[[#This Row],[EXISTENCIA ACTUAL]]=0,0,  IF(Tabla1[[#This Row],[EXISTENCIA ACTUAL]]&lt;Tabla1[[#This Row],[STOCK MINIMO]],1, 2))</f>
        <v>2</v>
      </c>
      <c r="J95" s="2">
        <v>1</v>
      </c>
      <c r="K95" s="21">
        <f>SUMIFS(Tabla2[CANTIDAD],Tabla2[PRODUCTO],Tabla1[[#This Row],[PRODUCTO]])</f>
        <v>1</v>
      </c>
      <c r="L95" s="2" t="s">
        <v>44</v>
      </c>
      <c r="M95" s="2" t="s">
        <v>47</v>
      </c>
    </row>
    <row r="96" spans="2:13" ht="30" hidden="1" customHeight="1" x14ac:dyDescent="0.25">
      <c r="B96" s="24" t="str">
        <f>E96&amp;"-"&amp;COUNTIF($E$8:E96,E96)</f>
        <v>UE-26</v>
      </c>
      <c r="C96" s="22" t="s">
        <v>180</v>
      </c>
      <c r="D96" s="22" t="s">
        <v>21</v>
      </c>
      <c r="E96" s="21" t="str">
        <f>IFERROR(VLOOKUP(D96,Hoja3!$A$2:$B$50,2,0),"")</f>
        <v>UE</v>
      </c>
      <c r="F96" s="2" t="s">
        <v>51</v>
      </c>
      <c r="G96" s="2" t="s">
        <v>38</v>
      </c>
      <c r="H96" s="20" t="str">
        <f>IF(Tabla1[[#This Row],[EXISTENCIA ACTUAL]]=0,"AGOTADO",  IF(Tabla1[[#This Row],[EXISTENCIA ACTUAL]]&lt;Tabla1[[#This Row],[STOCK MINIMO]],"MENOR AL MINIMO", "OK"))</f>
        <v>OK</v>
      </c>
      <c r="I96" s="2">
        <f>IF(Tabla1[[#This Row],[EXISTENCIA ACTUAL]]=0,0,  IF(Tabla1[[#This Row],[EXISTENCIA ACTUAL]]&lt;Tabla1[[#This Row],[STOCK MINIMO]],1, 2))</f>
        <v>2</v>
      </c>
      <c r="J96" s="2">
        <v>1</v>
      </c>
      <c r="K96" s="21">
        <f>SUMIFS(Tabla2[CANTIDAD],Tabla2[PRODUCTO],Tabla1[[#This Row],[PRODUCTO]])</f>
        <v>1</v>
      </c>
      <c r="L96" s="2" t="s">
        <v>44</v>
      </c>
      <c r="M96" s="2" t="s">
        <v>47</v>
      </c>
    </row>
    <row r="97" spans="2:13" ht="30" hidden="1" customHeight="1" x14ac:dyDescent="0.25">
      <c r="B97" s="24" t="str">
        <f>E97&amp;"-"&amp;COUNTIF($E$8:E97,E97)</f>
        <v>UE-27</v>
      </c>
      <c r="C97" s="22" t="s">
        <v>181</v>
      </c>
      <c r="D97" s="22" t="s">
        <v>21</v>
      </c>
      <c r="E97" s="21" t="str">
        <f>IFERROR(VLOOKUP(D97,Hoja3!$A$2:$B$50,2,0),"")</f>
        <v>UE</v>
      </c>
      <c r="F97" s="2" t="s">
        <v>51</v>
      </c>
      <c r="G97" s="2" t="s">
        <v>38</v>
      </c>
      <c r="H97" s="20" t="str">
        <f>IF(Tabla1[[#This Row],[EXISTENCIA ACTUAL]]=0,"AGOTADO",  IF(Tabla1[[#This Row],[EXISTENCIA ACTUAL]]&lt;Tabla1[[#This Row],[STOCK MINIMO]],"MENOR AL MINIMO", "OK"))</f>
        <v>OK</v>
      </c>
      <c r="I97" s="2">
        <f>IF(Tabla1[[#This Row],[EXISTENCIA ACTUAL]]=0,0,  IF(Tabla1[[#This Row],[EXISTENCIA ACTUAL]]&lt;Tabla1[[#This Row],[STOCK MINIMO]],1, 2))</f>
        <v>2</v>
      </c>
      <c r="J97" s="2">
        <v>1</v>
      </c>
      <c r="K97" s="21">
        <f>SUMIFS(Tabla2[CANTIDAD],Tabla2[PRODUCTO],Tabla1[[#This Row],[PRODUCTO]])</f>
        <v>3</v>
      </c>
      <c r="L97" s="2" t="s">
        <v>44</v>
      </c>
      <c r="M97" s="2" t="s">
        <v>47</v>
      </c>
    </row>
    <row r="98" spans="2:13" ht="30" hidden="1" customHeight="1" x14ac:dyDescent="0.25">
      <c r="B98" s="24" t="str">
        <f>E98&amp;"-"&amp;COUNTIF($E$8:E98,E98)</f>
        <v>UE-28</v>
      </c>
      <c r="C98" s="22" t="s">
        <v>182</v>
      </c>
      <c r="D98" s="22" t="s">
        <v>21</v>
      </c>
      <c r="E98" s="21" t="str">
        <f>IFERROR(VLOOKUP(D98,Hoja3!$A$2:$B$50,2,0),"")</f>
        <v>UE</v>
      </c>
      <c r="F98" s="2" t="s">
        <v>51</v>
      </c>
      <c r="G98" s="2" t="s">
        <v>38</v>
      </c>
      <c r="H98" s="20" t="str">
        <f>IF(Tabla1[[#This Row],[EXISTENCIA ACTUAL]]=0,"AGOTADO",  IF(Tabla1[[#This Row],[EXISTENCIA ACTUAL]]&lt;Tabla1[[#This Row],[STOCK MINIMO]],"MENOR AL MINIMO", "OK"))</f>
        <v>OK</v>
      </c>
      <c r="I98" s="2">
        <f>IF(Tabla1[[#This Row],[EXISTENCIA ACTUAL]]=0,0,  IF(Tabla1[[#This Row],[EXISTENCIA ACTUAL]]&lt;Tabla1[[#This Row],[STOCK MINIMO]],1, 2))</f>
        <v>2</v>
      </c>
      <c r="J98" s="2">
        <v>3</v>
      </c>
      <c r="K98" s="21">
        <f>SUMIFS(Tabla2[CANTIDAD],Tabla2[PRODUCTO],Tabla1[[#This Row],[PRODUCTO]])</f>
        <v>24</v>
      </c>
      <c r="L98" s="2" t="s">
        <v>44</v>
      </c>
      <c r="M98" s="2" t="s">
        <v>47</v>
      </c>
    </row>
    <row r="99" spans="2:13" ht="30" hidden="1" customHeight="1" x14ac:dyDescent="0.25">
      <c r="B99" s="24" t="str">
        <f>E99&amp;"-"&amp;COUNTIF($E$8:E99,E99)</f>
        <v>UE-29</v>
      </c>
      <c r="C99" s="22" t="s">
        <v>183</v>
      </c>
      <c r="D99" s="22" t="s">
        <v>21</v>
      </c>
      <c r="E99" s="21" t="str">
        <f>IFERROR(VLOOKUP(D99,Hoja3!$A$2:$B$50,2,0),"")</f>
        <v>UE</v>
      </c>
      <c r="F99" s="2" t="s">
        <v>51</v>
      </c>
      <c r="G99" s="2" t="s">
        <v>38</v>
      </c>
      <c r="H99" s="20" t="str">
        <f>IF(Tabla1[[#This Row],[EXISTENCIA ACTUAL]]=0,"AGOTADO",  IF(Tabla1[[#This Row],[EXISTENCIA ACTUAL]]&lt;Tabla1[[#This Row],[STOCK MINIMO]],"MENOR AL MINIMO", "OK"))</f>
        <v>OK</v>
      </c>
      <c r="I99" s="2">
        <f>IF(Tabla1[[#This Row],[EXISTENCIA ACTUAL]]=0,0,  IF(Tabla1[[#This Row],[EXISTENCIA ACTUAL]]&lt;Tabla1[[#This Row],[STOCK MINIMO]],1, 2))</f>
        <v>2</v>
      </c>
      <c r="J99" s="2">
        <v>2</v>
      </c>
      <c r="K99" s="21">
        <f>SUMIFS(Tabla2[CANTIDAD],Tabla2[PRODUCTO],Tabla1[[#This Row],[PRODUCTO]])</f>
        <v>8</v>
      </c>
      <c r="L99" s="2" t="s">
        <v>44</v>
      </c>
      <c r="M99" s="2" t="s">
        <v>47</v>
      </c>
    </row>
    <row r="100" spans="2:13" ht="30" hidden="1" customHeight="1" x14ac:dyDescent="0.25">
      <c r="B100" s="24" t="str">
        <f>E100&amp;"-"&amp;COUNTIF($E$8:E100,E100)</f>
        <v>UE-30</v>
      </c>
      <c r="C100" s="22" t="s">
        <v>184</v>
      </c>
      <c r="D100" s="22" t="s">
        <v>21</v>
      </c>
      <c r="E100" s="21" t="str">
        <f>IFERROR(VLOOKUP(D100,Hoja3!$A$2:$B$50,2,0),"")</f>
        <v>UE</v>
      </c>
      <c r="F100" s="2" t="s">
        <v>51</v>
      </c>
      <c r="G100" s="2" t="s">
        <v>38</v>
      </c>
      <c r="H100" s="20" t="str">
        <f>IF(Tabla1[[#This Row],[EXISTENCIA ACTUAL]]=0,"AGOTADO",  IF(Tabla1[[#This Row],[EXISTENCIA ACTUAL]]&lt;Tabla1[[#This Row],[STOCK MINIMO]],"MENOR AL MINIMO", "OK"))</f>
        <v>OK</v>
      </c>
      <c r="I100" s="2">
        <f>IF(Tabla1[[#This Row],[EXISTENCIA ACTUAL]]=0,0,  IF(Tabla1[[#This Row],[EXISTENCIA ACTUAL]]&lt;Tabla1[[#This Row],[STOCK MINIMO]],1, 2))</f>
        <v>2</v>
      </c>
      <c r="J100" s="2">
        <v>2</v>
      </c>
      <c r="K100" s="21">
        <f>SUMIFS(Tabla2[CANTIDAD],Tabla2[PRODUCTO],Tabla1[[#This Row],[PRODUCTO]])</f>
        <v>12</v>
      </c>
      <c r="L100" s="2" t="s">
        <v>44</v>
      </c>
      <c r="M100" s="2" t="s">
        <v>47</v>
      </c>
    </row>
    <row r="101" spans="2:13" ht="30" hidden="1" customHeight="1" x14ac:dyDescent="0.25">
      <c r="B101" s="24" t="str">
        <f>E101&amp;"-"&amp;COUNTIF($E$8:E101,E101)</f>
        <v>UE-31</v>
      </c>
      <c r="C101" s="22" t="s">
        <v>185</v>
      </c>
      <c r="D101" s="22" t="s">
        <v>21</v>
      </c>
      <c r="E101" s="21" t="str">
        <f>IFERROR(VLOOKUP(D101,Hoja3!$A$2:$B$50,2,0),"")</f>
        <v>UE</v>
      </c>
      <c r="F101" s="2" t="s">
        <v>51</v>
      </c>
      <c r="G101" s="2" t="s">
        <v>38</v>
      </c>
      <c r="H101" s="20" t="str">
        <f>IF(Tabla1[[#This Row],[EXISTENCIA ACTUAL]]=0,"AGOTADO",  IF(Tabla1[[#This Row],[EXISTENCIA ACTUAL]]&lt;Tabla1[[#This Row],[STOCK MINIMO]],"MENOR AL MINIMO", "OK"))</f>
        <v>OK</v>
      </c>
      <c r="I101" s="2">
        <f>IF(Tabla1[[#This Row],[EXISTENCIA ACTUAL]]=0,0,  IF(Tabla1[[#This Row],[EXISTENCIA ACTUAL]]&lt;Tabla1[[#This Row],[STOCK MINIMO]],1, 2))</f>
        <v>2</v>
      </c>
      <c r="J101" s="2">
        <v>10</v>
      </c>
      <c r="K101" s="21">
        <f>SUMIFS(Tabla2[CANTIDAD],Tabla2[PRODUCTO],Tabla1[[#This Row],[PRODUCTO]])</f>
        <v>50</v>
      </c>
      <c r="L101" s="2" t="s">
        <v>44</v>
      </c>
      <c r="M101" s="2" t="s">
        <v>47</v>
      </c>
    </row>
    <row r="102" spans="2:13" ht="30" hidden="1" customHeight="1" x14ac:dyDescent="0.25">
      <c r="B102" s="24" t="str">
        <f>E102&amp;"-"&amp;COUNTIF($E$8:E102,E102)</f>
        <v>UE-32</v>
      </c>
      <c r="C102" s="22" t="s">
        <v>186</v>
      </c>
      <c r="D102" s="22" t="s">
        <v>21</v>
      </c>
      <c r="E102" s="21" t="str">
        <f>IFERROR(VLOOKUP(D102,Hoja3!$A$2:$B$50,2,0),"")</f>
        <v>UE</v>
      </c>
      <c r="F102" s="2" t="s">
        <v>51</v>
      </c>
      <c r="G102" s="2" t="s">
        <v>38</v>
      </c>
      <c r="H102" s="20" t="str">
        <f>IF(Tabla1[[#This Row],[EXISTENCIA ACTUAL]]=0,"AGOTADO",  IF(Tabla1[[#This Row],[EXISTENCIA ACTUAL]]&lt;Tabla1[[#This Row],[STOCK MINIMO]],"MENOR AL MINIMO", "OK"))</f>
        <v>AGOTADO</v>
      </c>
      <c r="I102" s="2">
        <f>IF(Tabla1[[#This Row],[EXISTENCIA ACTUAL]]=0,0,  IF(Tabla1[[#This Row],[EXISTENCIA ACTUAL]]&lt;Tabla1[[#This Row],[STOCK MINIMO]],1, 2))</f>
        <v>0</v>
      </c>
      <c r="J102" s="2">
        <v>2</v>
      </c>
      <c r="K102" s="21">
        <f>SUMIFS(Tabla2[CANTIDAD],Tabla2[PRODUCTO],Tabla1[[#This Row],[PRODUCTO]])</f>
        <v>0</v>
      </c>
      <c r="L102" s="2" t="s">
        <v>44</v>
      </c>
      <c r="M102" s="2" t="s">
        <v>47</v>
      </c>
    </row>
    <row r="103" spans="2:13" ht="30" hidden="1" customHeight="1" x14ac:dyDescent="0.25">
      <c r="B103" s="24" t="str">
        <f>E103&amp;"-"&amp;COUNTIF($E$8:E103,E103)</f>
        <v>UE-33</v>
      </c>
      <c r="C103" s="22" t="s">
        <v>187</v>
      </c>
      <c r="D103" s="22" t="s">
        <v>21</v>
      </c>
      <c r="E103" s="21" t="str">
        <f>IFERROR(VLOOKUP(D103,Hoja3!$A$2:$B$50,2,0),"")</f>
        <v>UE</v>
      </c>
      <c r="F103" s="2" t="s">
        <v>51</v>
      </c>
      <c r="G103" s="2" t="s">
        <v>38</v>
      </c>
      <c r="H103" s="20" t="str">
        <f>IF(Tabla1[[#This Row],[EXISTENCIA ACTUAL]]=0,"AGOTADO",  IF(Tabla1[[#This Row],[EXISTENCIA ACTUAL]]&lt;Tabla1[[#This Row],[STOCK MINIMO]],"MENOR AL MINIMO", "OK"))</f>
        <v>AGOTADO</v>
      </c>
      <c r="I103" s="2">
        <f>IF(Tabla1[[#This Row],[EXISTENCIA ACTUAL]]=0,0,  IF(Tabla1[[#This Row],[EXISTENCIA ACTUAL]]&lt;Tabla1[[#This Row],[STOCK MINIMO]],1, 2))</f>
        <v>0</v>
      </c>
      <c r="J103" s="2">
        <v>1</v>
      </c>
      <c r="K103" s="21">
        <f>SUMIFS(Tabla2[CANTIDAD],Tabla2[PRODUCTO],Tabla1[[#This Row],[PRODUCTO]])</f>
        <v>0</v>
      </c>
      <c r="L103" s="2" t="s">
        <v>44</v>
      </c>
      <c r="M103" s="2" t="s">
        <v>47</v>
      </c>
    </row>
    <row r="104" spans="2:13" ht="30" hidden="1" customHeight="1" x14ac:dyDescent="0.25">
      <c r="B104" s="24" t="str">
        <f>E104&amp;"-"&amp;COUNTIF($E$8:E104,E104)</f>
        <v>UE-34</v>
      </c>
      <c r="C104" s="22" t="s">
        <v>188</v>
      </c>
      <c r="D104" s="22" t="s">
        <v>21</v>
      </c>
      <c r="E104" s="21" t="str">
        <f>IFERROR(VLOOKUP(D104,Hoja3!$A$2:$B$50,2,0),"")</f>
        <v>UE</v>
      </c>
      <c r="F104" s="2" t="s">
        <v>51</v>
      </c>
      <c r="G104" s="2" t="s">
        <v>38</v>
      </c>
      <c r="H104" s="20" t="str">
        <f>IF(Tabla1[[#This Row],[EXISTENCIA ACTUAL]]=0,"AGOTADO",  IF(Tabla1[[#This Row],[EXISTENCIA ACTUAL]]&lt;Tabla1[[#This Row],[STOCK MINIMO]],"MENOR AL MINIMO", "OK"))</f>
        <v>OK</v>
      </c>
      <c r="I104" s="2">
        <f>IF(Tabla1[[#This Row],[EXISTENCIA ACTUAL]]=0,0,  IF(Tabla1[[#This Row],[EXISTENCIA ACTUAL]]&lt;Tabla1[[#This Row],[STOCK MINIMO]],1, 2))</f>
        <v>2</v>
      </c>
      <c r="J104" s="2">
        <v>1</v>
      </c>
      <c r="K104" s="21">
        <f>SUMIFS(Tabla2[CANTIDAD],Tabla2[PRODUCTO],Tabla1[[#This Row],[PRODUCTO]])</f>
        <v>1</v>
      </c>
      <c r="L104" s="2" t="s">
        <v>44</v>
      </c>
      <c r="M104" s="2" t="s">
        <v>47</v>
      </c>
    </row>
    <row r="105" spans="2:13" ht="30" hidden="1" customHeight="1" x14ac:dyDescent="0.25">
      <c r="B105" s="24" t="str">
        <f>E105&amp;"-"&amp;COUNTIF($E$8:E105,E105)</f>
        <v>UE-35</v>
      </c>
      <c r="C105" s="22" t="s">
        <v>189</v>
      </c>
      <c r="D105" s="22" t="s">
        <v>21</v>
      </c>
      <c r="E105" s="21" t="str">
        <f>IFERROR(VLOOKUP(D105,Hoja3!$A$2:$B$50,2,0),"")</f>
        <v>UE</v>
      </c>
      <c r="F105" s="2" t="s">
        <v>51</v>
      </c>
      <c r="G105" s="2" t="s">
        <v>38</v>
      </c>
      <c r="H105" s="20" t="str">
        <f>IF(Tabla1[[#This Row],[EXISTENCIA ACTUAL]]=0,"AGOTADO",  IF(Tabla1[[#This Row],[EXISTENCIA ACTUAL]]&lt;Tabla1[[#This Row],[STOCK MINIMO]],"MENOR AL MINIMO", "OK"))</f>
        <v>OK</v>
      </c>
      <c r="I105" s="2">
        <f>IF(Tabla1[[#This Row],[EXISTENCIA ACTUAL]]=0,0,  IF(Tabla1[[#This Row],[EXISTENCIA ACTUAL]]&lt;Tabla1[[#This Row],[STOCK MINIMO]],1, 2))</f>
        <v>2</v>
      </c>
      <c r="J105" s="2">
        <v>1</v>
      </c>
      <c r="K105" s="21">
        <f>SUMIFS(Tabla2[CANTIDAD],Tabla2[PRODUCTO],Tabla1[[#This Row],[PRODUCTO]])</f>
        <v>2</v>
      </c>
      <c r="L105" s="2" t="s">
        <v>44</v>
      </c>
      <c r="M105" s="2" t="s">
        <v>47</v>
      </c>
    </row>
    <row r="106" spans="2:13" ht="30" hidden="1" customHeight="1" x14ac:dyDescent="0.25">
      <c r="B106" s="24" t="str">
        <f>E106&amp;"-"&amp;COUNTIF($E$8:E106,E106)</f>
        <v>UE-36</v>
      </c>
      <c r="C106" s="22" t="s">
        <v>190</v>
      </c>
      <c r="D106" s="22" t="s">
        <v>21</v>
      </c>
      <c r="E106" s="21" t="str">
        <f>IFERROR(VLOOKUP(D106,Hoja3!$A$2:$B$50,2,0),"")</f>
        <v>UE</v>
      </c>
      <c r="F106" s="2" t="s">
        <v>51</v>
      </c>
      <c r="G106" s="2" t="s">
        <v>38</v>
      </c>
      <c r="H106" s="20" t="str">
        <f>IF(Tabla1[[#This Row],[EXISTENCIA ACTUAL]]=0,"AGOTADO",  IF(Tabla1[[#This Row],[EXISTENCIA ACTUAL]]&lt;Tabla1[[#This Row],[STOCK MINIMO]],"MENOR AL MINIMO", "OK"))</f>
        <v>OK</v>
      </c>
      <c r="I106" s="2">
        <f>IF(Tabla1[[#This Row],[EXISTENCIA ACTUAL]]=0,0,  IF(Tabla1[[#This Row],[EXISTENCIA ACTUAL]]&lt;Tabla1[[#This Row],[STOCK MINIMO]],1, 2))</f>
        <v>2</v>
      </c>
      <c r="J106" s="2">
        <v>1</v>
      </c>
      <c r="K106" s="21">
        <f>SUMIFS(Tabla2[CANTIDAD],Tabla2[PRODUCTO],Tabla1[[#This Row],[PRODUCTO]])</f>
        <v>2</v>
      </c>
      <c r="L106" s="2" t="s">
        <v>44</v>
      </c>
      <c r="M106" s="2" t="s">
        <v>47</v>
      </c>
    </row>
    <row r="107" spans="2:13" ht="30" hidden="1" customHeight="1" x14ac:dyDescent="0.25">
      <c r="B107" s="24" t="str">
        <f>E107&amp;"-"&amp;COUNTIF($E$8:E107,E107)</f>
        <v>UE-37</v>
      </c>
      <c r="C107" s="22" t="s">
        <v>191</v>
      </c>
      <c r="D107" s="22" t="s">
        <v>21</v>
      </c>
      <c r="E107" s="21" t="str">
        <f>IFERROR(VLOOKUP(D107,Hoja3!$A$2:$B$50,2,0),"")</f>
        <v>UE</v>
      </c>
      <c r="F107" s="2" t="s">
        <v>51</v>
      </c>
      <c r="G107" s="2" t="s">
        <v>38</v>
      </c>
      <c r="H107" s="20" t="str">
        <f>IF(Tabla1[[#This Row],[EXISTENCIA ACTUAL]]=0,"AGOTADO",  IF(Tabla1[[#This Row],[EXISTENCIA ACTUAL]]&lt;Tabla1[[#This Row],[STOCK MINIMO]],"MENOR AL MINIMO", "OK"))</f>
        <v>OK</v>
      </c>
      <c r="I107" s="2">
        <f>IF(Tabla1[[#This Row],[EXISTENCIA ACTUAL]]=0,0,  IF(Tabla1[[#This Row],[EXISTENCIA ACTUAL]]&lt;Tabla1[[#This Row],[STOCK MINIMO]],1, 2))</f>
        <v>2</v>
      </c>
      <c r="J107" s="2">
        <v>1</v>
      </c>
      <c r="K107" s="21">
        <f>SUMIFS(Tabla2[CANTIDAD],Tabla2[PRODUCTO],Tabla1[[#This Row],[PRODUCTO]])</f>
        <v>1</v>
      </c>
      <c r="L107" s="2" t="s">
        <v>44</v>
      </c>
      <c r="M107" s="2" t="s">
        <v>47</v>
      </c>
    </row>
    <row r="108" spans="2:13" ht="30" hidden="1" customHeight="1" x14ac:dyDescent="0.25">
      <c r="B108" s="24" t="str">
        <f>E108&amp;"-"&amp;COUNTIF($E$8:E108,E108)</f>
        <v>UE-38</v>
      </c>
      <c r="C108" s="22" t="s">
        <v>192</v>
      </c>
      <c r="D108" s="22" t="s">
        <v>21</v>
      </c>
      <c r="E108" s="21" t="str">
        <f>IFERROR(VLOOKUP(D108,Hoja3!$A$2:$B$50,2,0),"")</f>
        <v>UE</v>
      </c>
      <c r="F108" s="2" t="s">
        <v>51</v>
      </c>
      <c r="G108" s="2" t="s">
        <v>38</v>
      </c>
      <c r="H108" s="20" t="str">
        <f>IF(Tabla1[[#This Row],[EXISTENCIA ACTUAL]]=0,"AGOTADO",  IF(Tabla1[[#This Row],[EXISTENCIA ACTUAL]]&lt;Tabla1[[#This Row],[STOCK MINIMO]],"MENOR AL MINIMO", "OK"))</f>
        <v>AGOTADO</v>
      </c>
      <c r="I108" s="2">
        <f>IF(Tabla1[[#This Row],[EXISTENCIA ACTUAL]]=0,0,  IF(Tabla1[[#This Row],[EXISTENCIA ACTUAL]]&lt;Tabla1[[#This Row],[STOCK MINIMO]],1, 2))</f>
        <v>0</v>
      </c>
      <c r="J108" s="2">
        <v>1</v>
      </c>
      <c r="K108" s="21">
        <f>SUMIFS(Tabla2[CANTIDAD],Tabla2[PRODUCTO],Tabla1[[#This Row],[PRODUCTO]])</f>
        <v>0</v>
      </c>
      <c r="L108" s="2" t="s">
        <v>44</v>
      </c>
      <c r="M108" s="2" t="s">
        <v>47</v>
      </c>
    </row>
    <row r="109" spans="2:13" ht="30" hidden="1" customHeight="1" x14ac:dyDescent="0.25">
      <c r="B109" s="24" t="str">
        <f>E109&amp;"-"&amp;COUNTIF($E$8:E109,E109)</f>
        <v>UE-39</v>
      </c>
      <c r="C109" s="22" t="s">
        <v>193</v>
      </c>
      <c r="D109" s="22" t="s">
        <v>21</v>
      </c>
      <c r="E109" s="21" t="str">
        <f>IFERROR(VLOOKUP(D109,Hoja3!$A$2:$B$50,2,0),"")</f>
        <v>UE</v>
      </c>
      <c r="F109" s="2" t="s">
        <v>51</v>
      </c>
      <c r="G109" s="2" t="s">
        <v>38</v>
      </c>
      <c r="H109" s="20" t="str">
        <f>IF(Tabla1[[#This Row],[EXISTENCIA ACTUAL]]=0,"AGOTADO",  IF(Tabla1[[#This Row],[EXISTENCIA ACTUAL]]&lt;Tabla1[[#This Row],[STOCK MINIMO]],"MENOR AL MINIMO", "OK"))</f>
        <v>OK</v>
      </c>
      <c r="I109" s="2">
        <f>IF(Tabla1[[#This Row],[EXISTENCIA ACTUAL]]=0,0,  IF(Tabla1[[#This Row],[EXISTENCIA ACTUAL]]&lt;Tabla1[[#This Row],[STOCK MINIMO]],1, 2))</f>
        <v>2</v>
      </c>
      <c r="J109" s="2">
        <v>1</v>
      </c>
      <c r="K109" s="21">
        <f>SUMIFS(Tabla2[CANTIDAD],Tabla2[PRODUCTO],Tabla1[[#This Row],[PRODUCTO]])</f>
        <v>2</v>
      </c>
      <c r="L109" s="2" t="s">
        <v>44</v>
      </c>
      <c r="M109" s="2" t="s">
        <v>47</v>
      </c>
    </row>
    <row r="110" spans="2:13" ht="30" hidden="1" customHeight="1" x14ac:dyDescent="0.25">
      <c r="B110" s="24" t="str">
        <f>E110&amp;"-"&amp;COUNTIF($E$8:E110,E110)</f>
        <v>UE-40</v>
      </c>
      <c r="C110" s="22" t="s">
        <v>194</v>
      </c>
      <c r="D110" s="22" t="s">
        <v>21</v>
      </c>
      <c r="E110" s="21" t="str">
        <f>IFERROR(VLOOKUP(D110,Hoja3!$A$2:$B$50,2,0),"")</f>
        <v>UE</v>
      </c>
      <c r="F110" s="2" t="s">
        <v>51</v>
      </c>
      <c r="G110" s="2" t="s">
        <v>38</v>
      </c>
      <c r="H110" s="20" t="str">
        <f>IF(Tabla1[[#This Row],[EXISTENCIA ACTUAL]]=0,"AGOTADO",  IF(Tabla1[[#This Row],[EXISTENCIA ACTUAL]]&lt;Tabla1[[#This Row],[STOCK MINIMO]],"MENOR AL MINIMO", "OK"))</f>
        <v>OK</v>
      </c>
      <c r="I110" s="2">
        <f>IF(Tabla1[[#This Row],[EXISTENCIA ACTUAL]]=0,0,  IF(Tabla1[[#This Row],[EXISTENCIA ACTUAL]]&lt;Tabla1[[#This Row],[STOCK MINIMO]],1, 2))</f>
        <v>2</v>
      </c>
      <c r="J110" s="2">
        <v>1</v>
      </c>
      <c r="K110" s="21">
        <f>SUMIFS(Tabla2[CANTIDAD],Tabla2[PRODUCTO],Tabla1[[#This Row],[PRODUCTO]])</f>
        <v>1</v>
      </c>
      <c r="L110" s="2" t="s">
        <v>44</v>
      </c>
      <c r="M110" s="2" t="s">
        <v>47</v>
      </c>
    </row>
    <row r="111" spans="2:13" ht="30" hidden="1" customHeight="1" x14ac:dyDescent="0.25">
      <c r="B111" s="24" t="str">
        <f>E111&amp;"-"&amp;COUNTIF($E$8:E111,E111)</f>
        <v>UE-41</v>
      </c>
      <c r="C111" s="22" t="s">
        <v>195</v>
      </c>
      <c r="D111" s="22" t="s">
        <v>21</v>
      </c>
      <c r="E111" s="21" t="str">
        <f>IFERROR(VLOOKUP(D111,Hoja3!$A$2:$B$50,2,0),"")</f>
        <v>UE</v>
      </c>
      <c r="F111" s="2" t="s">
        <v>51</v>
      </c>
      <c r="G111" s="2" t="s">
        <v>38</v>
      </c>
      <c r="H111" s="20" t="str">
        <f>IF(Tabla1[[#This Row],[EXISTENCIA ACTUAL]]=0,"AGOTADO",  IF(Tabla1[[#This Row],[EXISTENCIA ACTUAL]]&lt;Tabla1[[#This Row],[STOCK MINIMO]],"MENOR AL MINIMO", "OK"))</f>
        <v>OK</v>
      </c>
      <c r="I111" s="2">
        <f>IF(Tabla1[[#This Row],[EXISTENCIA ACTUAL]]=0,0,  IF(Tabla1[[#This Row],[EXISTENCIA ACTUAL]]&lt;Tabla1[[#This Row],[STOCK MINIMO]],1, 2))</f>
        <v>2</v>
      </c>
      <c r="J111" s="2">
        <v>1</v>
      </c>
      <c r="K111" s="21">
        <f>SUMIFS(Tabla2[CANTIDAD],Tabla2[PRODUCTO],Tabla1[[#This Row],[PRODUCTO]])</f>
        <v>3</v>
      </c>
      <c r="L111" s="2" t="s">
        <v>44</v>
      </c>
      <c r="M111" s="2" t="s">
        <v>47</v>
      </c>
    </row>
    <row r="112" spans="2:13" ht="30" hidden="1" customHeight="1" x14ac:dyDescent="0.25">
      <c r="B112" s="24" t="str">
        <f>E112&amp;"-"&amp;COUNTIF($E$8:E112,E112)</f>
        <v>UE-42</v>
      </c>
      <c r="C112" s="22" t="s">
        <v>196</v>
      </c>
      <c r="D112" s="22" t="s">
        <v>21</v>
      </c>
      <c r="E112" s="21" t="str">
        <f>IFERROR(VLOOKUP(D112,Hoja3!$A$2:$B$50,2,0),"")</f>
        <v>UE</v>
      </c>
      <c r="F112" s="2" t="s">
        <v>51</v>
      </c>
      <c r="G112" s="2" t="s">
        <v>38</v>
      </c>
      <c r="H112" s="20" t="str">
        <f>IF(Tabla1[[#This Row],[EXISTENCIA ACTUAL]]=0,"AGOTADO",  IF(Tabla1[[#This Row],[EXISTENCIA ACTUAL]]&lt;Tabla1[[#This Row],[STOCK MINIMO]],"MENOR AL MINIMO", "OK"))</f>
        <v>OK</v>
      </c>
      <c r="I112" s="2">
        <f>IF(Tabla1[[#This Row],[EXISTENCIA ACTUAL]]=0,0,  IF(Tabla1[[#This Row],[EXISTENCIA ACTUAL]]&lt;Tabla1[[#This Row],[STOCK MINIMO]],1, 2))</f>
        <v>2</v>
      </c>
      <c r="J112" s="2">
        <v>1</v>
      </c>
      <c r="K112" s="21">
        <f>SUMIFS(Tabla2[CANTIDAD],Tabla2[PRODUCTO],Tabla1[[#This Row],[PRODUCTO]])</f>
        <v>3</v>
      </c>
      <c r="L112" s="2" t="s">
        <v>44</v>
      </c>
      <c r="M112" s="2" t="s">
        <v>47</v>
      </c>
    </row>
    <row r="113" spans="2:14" ht="30" hidden="1" customHeight="1" x14ac:dyDescent="0.25">
      <c r="B113" s="24" t="str">
        <f>E113&amp;"-"&amp;COUNTIF($E$8:E113,E113)</f>
        <v>UE-43</v>
      </c>
      <c r="C113" s="22" t="s">
        <v>197</v>
      </c>
      <c r="D113" s="22" t="s">
        <v>21</v>
      </c>
      <c r="E113" s="21" t="str">
        <f>IFERROR(VLOOKUP(D113,Hoja3!$A$2:$B$50,2,0),"")</f>
        <v>UE</v>
      </c>
      <c r="F113" s="2" t="s">
        <v>51</v>
      </c>
      <c r="G113" s="2" t="s">
        <v>96</v>
      </c>
      <c r="H113" s="20" t="str">
        <f>IF(Tabla1[[#This Row],[EXISTENCIA ACTUAL]]=0,"AGOTADO",  IF(Tabla1[[#This Row],[EXISTENCIA ACTUAL]]&lt;Tabla1[[#This Row],[STOCK MINIMO]],"MENOR AL MINIMO", "OK"))</f>
        <v>OK</v>
      </c>
      <c r="I113" s="2">
        <f>IF(Tabla1[[#This Row],[EXISTENCIA ACTUAL]]=0,0,  IF(Tabla1[[#This Row],[EXISTENCIA ACTUAL]]&lt;Tabla1[[#This Row],[STOCK MINIMO]],1, 2))</f>
        <v>2</v>
      </c>
      <c r="J113" s="2">
        <v>1</v>
      </c>
      <c r="K113" s="21">
        <f>SUMIFS(Tabla2[CANTIDAD],Tabla2[PRODUCTO],Tabla1[[#This Row],[PRODUCTO]])</f>
        <v>3</v>
      </c>
      <c r="L113" s="2" t="s">
        <v>44</v>
      </c>
      <c r="M113" s="2" t="s">
        <v>47</v>
      </c>
    </row>
    <row r="114" spans="2:14" ht="30" hidden="1" customHeight="1" x14ac:dyDescent="0.25">
      <c r="B114" s="24" t="str">
        <f>E114&amp;"-"&amp;COUNTIF($E$8:E114,E114)</f>
        <v>UE-44</v>
      </c>
      <c r="C114" s="22" t="s">
        <v>198</v>
      </c>
      <c r="D114" s="22" t="s">
        <v>21</v>
      </c>
      <c r="E114" s="21" t="str">
        <f>IFERROR(VLOOKUP(D114,Hoja3!$A$2:$B$50,2,0),"")</f>
        <v>UE</v>
      </c>
      <c r="F114" s="2" t="s">
        <v>51</v>
      </c>
      <c r="G114" s="2" t="s">
        <v>38</v>
      </c>
      <c r="H114" s="20" t="str">
        <f>IF(Tabla1[[#This Row],[EXISTENCIA ACTUAL]]=0,"AGOTADO",  IF(Tabla1[[#This Row],[EXISTENCIA ACTUAL]]&lt;Tabla1[[#This Row],[STOCK MINIMO]],"MENOR AL MINIMO", "OK"))</f>
        <v>OK</v>
      </c>
      <c r="I114" s="2">
        <f>IF(Tabla1[[#This Row],[EXISTENCIA ACTUAL]]=0,0,  IF(Tabla1[[#This Row],[EXISTENCIA ACTUAL]]&lt;Tabla1[[#This Row],[STOCK MINIMO]],1, 2))</f>
        <v>2</v>
      </c>
      <c r="J114" s="2">
        <v>10</v>
      </c>
      <c r="K114" s="21">
        <f>SUMIFS(Tabla2[CANTIDAD],Tabla2[PRODUCTO],Tabla1[[#This Row],[PRODUCTO]])</f>
        <v>150</v>
      </c>
      <c r="L114" s="2" t="s">
        <v>44</v>
      </c>
      <c r="M114" s="2" t="s">
        <v>47</v>
      </c>
    </row>
    <row r="115" spans="2:14" ht="30" hidden="1" customHeight="1" x14ac:dyDescent="0.25">
      <c r="B115" s="24" t="str">
        <f>E115&amp;"-"&amp;COUNTIF($E$8:E115,E115)</f>
        <v>UE-45</v>
      </c>
      <c r="C115" s="22" t="s">
        <v>199</v>
      </c>
      <c r="D115" s="22" t="s">
        <v>21</v>
      </c>
      <c r="E115" s="21" t="str">
        <f>IFERROR(VLOOKUP(D115,Hoja3!$A$2:$B$50,2,0),"")</f>
        <v>UE</v>
      </c>
      <c r="F115" s="2" t="s">
        <v>51</v>
      </c>
      <c r="G115" s="2" t="s">
        <v>38</v>
      </c>
      <c r="H115" s="20" t="str">
        <f>IF(Tabla1[[#This Row],[EXISTENCIA ACTUAL]]=0,"AGOTADO",  IF(Tabla1[[#This Row],[EXISTENCIA ACTUAL]]&lt;Tabla1[[#This Row],[STOCK MINIMO]],"MENOR AL MINIMO", "OK"))</f>
        <v>OK</v>
      </c>
      <c r="I115" s="2">
        <f>IF(Tabla1[[#This Row],[EXISTENCIA ACTUAL]]=0,0,  IF(Tabla1[[#This Row],[EXISTENCIA ACTUAL]]&lt;Tabla1[[#This Row],[STOCK MINIMO]],1, 2))</f>
        <v>2</v>
      </c>
      <c r="J115" s="2">
        <v>1</v>
      </c>
      <c r="K115" s="21">
        <f>SUMIFS(Tabla2[CANTIDAD],Tabla2[PRODUCTO],Tabla1[[#This Row],[PRODUCTO]])</f>
        <v>1</v>
      </c>
      <c r="L115" s="2" t="s">
        <v>44</v>
      </c>
      <c r="M115" s="2" t="s">
        <v>47</v>
      </c>
    </row>
    <row r="116" spans="2:14" ht="30" hidden="1" customHeight="1" x14ac:dyDescent="0.25">
      <c r="B116" s="24" t="str">
        <f>E116&amp;"-"&amp;COUNTIF($E$8:E116,E116)</f>
        <v>UE-46</v>
      </c>
      <c r="C116" s="22" t="s">
        <v>200</v>
      </c>
      <c r="D116" s="22" t="s">
        <v>21</v>
      </c>
      <c r="E116" s="21" t="str">
        <f>IFERROR(VLOOKUP(D116,Hoja3!$A$2:$B$50,2,0),"")</f>
        <v>UE</v>
      </c>
      <c r="F116" s="2" t="s">
        <v>51</v>
      </c>
      <c r="G116" s="2" t="s">
        <v>38</v>
      </c>
      <c r="H116" s="20" t="str">
        <f>IF(Tabla1[[#This Row],[EXISTENCIA ACTUAL]]=0,"AGOTADO",  IF(Tabla1[[#This Row],[EXISTENCIA ACTUAL]]&lt;Tabla1[[#This Row],[STOCK MINIMO]],"MENOR AL MINIMO", "OK"))</f>
        <v>OK</v>
      </c>
      <c r="I116" s="2">
        <f>IF(Tabla1[[#This Row],[EXISTENCIA ACTUAL]]=0,0,  IF(Tabla1[[#This Row],[EXISTENCIA ACTUAL]]&lt;Tabla1[[#This Row],[STOCK MINIMO]],1, 2))</f>
        <v>2</v>
      </c>
      <c r="J116" s="2">
        <v>1</v>
      </c>
      <c r="K116" s="21">
        <f>SUMIFS(Tabla2[CANTIDAD],Tabla2[PRODUCTO],Tabla1[[#This Row],[PRODUCTO]])</f>
        <v>1</v>
      </c>
      <c r="L116" s="2" t="s">
        <v>44</v>
      </c>
      <c r="M116" s="2" t="s">
        <v>47</v>
      </c>
    </row>
    <row r="117" spans="2:14" ht="30" hidden="1" customHeight="1" x14ac:dyDescent="0.25">
      <c r="B117" s="24" t="str">
        <f>E117&amp;"-"&amp;COUNTIF($E$8:E117,E117)</f>
        <v>UE-47</v>
      </c>
      <c r="C117" s="22" t="s">
        <v>201</v>
      </c>
      <c r="D117" s="22" t="s">
        <v>21</v>
      </c>
      <c r="E117" s="21" t="str">
        <f>IFERROR(VLOOKUP(D117,Hoja3!$A$2:$B$50,2,0),"")</f>
        <v>UE</v>
      </c>
      <c r="F117" s="2" t="s">
        <v>51</v>
      </c>
      <c r="G117" s="2" t="s">
        <v>38</v>
      </c>
      <c r="H117" s="20" t="str">
        <f>IF(Tabla1[[#This Row],[EXISTENCIA ACTUAL]]=0,"AGOTADO",  IF(Tabla1[[#This Row],[EXISTENCIA ACTUAL]]&lt;Tabla1[[#This Row],[STOCK MINIMO]],"MENOR AL MINIMO", "OK"))</f>
        <v>OK</v>
      </c>
      <c r="I117" s="2">
        <f>IF(Tabla1[[#This Row],[EXISTENCIA ACTUAL]]=0,0,  IF(Tabla1[[#This Row],[EXISTENCIA ACTUAL]]&lt;Tabla1[[#This Row],[STOCK MINIMO]],1, 2))</f>
        <v>2</v>
      </c>
      <c r="J117" s="2">
        <v>1</v>
      </c>
      <c r="K117" s="21">
        <f>SUMIFS(Tabla2[CANTIDAD],Tabla2[PRODUCTO],Tabla1[[#This Row],[PRODUCTO]])</f>
        <v>2</v>
      </c>
      <c r="L117" s="2" t="s">
        <v>44</v>
      </c>
      <c r="M117" s="2" t="s">
        <v>47</v>
      </c>
      <c r="N117" t="s">
        <v>202</v>
      </c>
    </row>
    <row r="118" spans="2:14" ht="30" hidden="1" customHeight="1" x14ac:dyDescent="0.25">
      <c r="B118" s="24" t="str">
        <f>E118&amp;"-"&amp;COUNTIF($E$8:E118,E118)</f>
        <v>UE-48</v>
      </c>
      <c r="C118" s="22" t="s">
        <v>203</v>
      </c>
      <c r="D118" s="22" t="s">
        <v>21</v>
      </c>
      <c r="E118" s="21" t="str">
        <f>IFERROR(VLOOKUP(D118,Hoja3!$A$2:$B$50,2,0),"")</f>
        <v>UE</v>
      </c>
      <c r="F118" s="2" t="s">
        <v>51</v>
      </c>
      <c r="G118" s="2" t="s">
        <v>38</v>
      </c>
      <c r="H118" s="20" t="str">
        <f>IF(Tabla1[[#This Row],[EXISTENCIA ACTUAL]]=0,"AGOTADO",  IF(Tabla1[[#This Row],[EXISTENCIA ACTUAL]]&lt;Tabla1[[#This Row],[STOCK MINIMO]],"MENOR AL MINIMO", "OK"))</f>
        <v>OK</v>
      </c>
      <c r="I118" s="2">
        <f>IF(Tabla1[[#This Row],[EXISTENCIA ACTUAL]]=0,0,  IF(Tabla1[[#This Row],[EXISTENCIA ACTUAL]]&lt;Tabla1[[#This Row],[STOCK MINIMO]],1, 2))</f>
        <v>2</v>
      </c>
      <c r="J118" s="2">
        <v>1</v>
      </c>
      <c r="K118" s="21">
        <f>SUMIFS(Tabla2[CANTIDAD],Tabla2[PRODUCTO],Tabla1[[#This Row],[PRODUCTO]])</f>
        <v>2</v>
      </c>
      <c r="L118" s="2" t="s">
        <v>44</v>
      </c>
      <c r="M118" s="2" t="s">
        <v>47</v>
      </c>
    </row>
    <row r="119" spans="2:14" ht="30" hidden="1" customHeight="1" x14ac:dyDescent="0.25">
      <c r="B119" s="24" t="str">
        <f>E119&amp;"-"&amp;COUNTIF($E$8:E119,E119)</f>
        <v>UE-49</v>
      </c>
      <c r="C119" s="22" t="s">
        <v>204</v>
      </c>
      <c r="D119" s="22" t="s">
        <v>21</v>
      </c>
      <c r="E119" s="21" t="str">
        <f>IFERROR(VLOOKUP(D119,Hoja3!$A$2:$B$50,2,0),"")</f>
        <v>UE</v>
      </c>
      <c r="F119" s="2" t="s">
        <v>51</v>
      </c>
      <c r="G119" s="2" t="s">
        <v>38</v>
      </c>
      <c r="H119" s="20" t="str">
        <f>IF(Tabla1[[#This Row],[EXISTENCIA ACTUAL]]=0,"AGOTADO",  IF(Tabla1[[#This Row],[EXISTENCIA ACTUAL]]&lt;Tabla1[[#This Row],[STOCK MINIMO]],"MENOR AL MINIMO", "OK"))</f>
        <v>OK</v>
      </c>
      <c r="I119" s="2">
        <f>IF(Tabla1[[#This Row],[EXISTENCIA ACTUAL]]=0,0,  IF(Tabla1[[#This Row],[EXISTENCIA ACTUAL]]&lt;Tabla1[[#This Row],[STOCK MINIMO]],1, 2))</f>
        <v>2</v>
      </c>
      <c r="J119" s="2">
        <v>1</v>
      </c>
      <c r="K119" s="21">
        <f>SUMIFS(Tabla2[CANTIDAD],Tabla2[PRODUCTO],Tabla1[[#This Row],[PRODUCTO]])</f>
        <v>1</v>
      </c>
      <c r="L119" s="2" t="s">
        <v>44</v>
      </c>
      <c r="M119" s="2" t="s">
        <v>47</v>
      </c>
    </row>
    <row r="120" spans="2:14" ht="30" hidden="1" customHeight="1" x14ac:dyDescent="0.25">
      <c r="B120" s="24" t="str">
        <f>E120&amp;"-"&amp;COUNTIF($E$8:E120,E120)</f>
        <v>UE-50</v>
      </c>
      <c r="C120" s="22" t="s">
        <v>205</v>
      </c>
      <c r="D120" s="22" t="s">
        <v>21</v>
      </c>
      <c r="E120" s="21" t="str">
        <f>IFERROR(VLOOKUP(D120,Hoja3!$A$2:$B$50,2,0),"")</f>
        <v>UE</v>
      </c>
      <c r="F120" s="2" t="s">
        <v>51</v>
      </c>
      <c r="G120" s="2" t="s">
        <v>38</v>
      </c>
      <c r="H120" s="20" t="str">
        <f>IF(Tabla1[[#This Row],[EXISTENCIA ACTUAL]]=0,"AGOTADO",  IF(Tabla1[[#This Row],[EXISTENCIA ACTUAL]]&lt;Tabla1[[#This Row],[STOCK MINIMO]],"MENOR AL MINIMO", "OK"))</f>
        <v>OK</v>
      </c>
      <c r="I120" s="2">
        <f>IF(Tabla1[[#This Row],[EXISTENCIA ACTUAL]]=0,0,  IF(Tabla1[[#This Row],[EXISTENCIA ACTUAL]]&lt;Tabla1[[#This Row],[STOCK MINIMO]],1, 2))</f>
        <v>2</v>
      </c>
      <c r="J120" s="2">
        <v>1</v>
      </c>
      <c r="K120" s="21">
        <f>SUMIFS(Tabla2[CANTIDAD],Tabla2[PRODUCTO],Tabla1[[#This Row],[PRODUCTO]])</f>
        <v>1</v>
      </c>
      <c r="L120" s="2" t="s">
        <v>44</v>
      </c>
      <c r="M120" s="2" t="s">
        <v>47</v>
      </c>
    </row>
    <row r="121" spans="2:14" ht="30" hidden="1" customHeight="1" x14ac:dyDescent="0.25">
      <c r="B121" s="24" t="str">
        <f>E121&amp;"-"&amp;COUNTIF($E$8:E121,E121)</f>
        <v>UE-51</v>
      </c>
      <c r="C121" s="22" t="s">
        <v>206</v>
      </c>
      <c r="D121" s="22" t="s">
        <v>21</v>
      </c>
      <c r="E121" s="21" t="str">
        <f>IFERROR(VLOOKUP(D121,Hoja3!$A$2:$B$50,2,0),"")</f>
        <v>UE</v>
      </c>
      <c r="F121" s="2" t="s">
        <v>51</v>
      </c>
      <c r="G121" s="2" t="s">
        <v>38</v>
      </c>
      <c r="H121" s="20" t="str">
        <f>IF(Tabla1[[#This Row],[EXISTENCIA ACTUAL]]=0,"AGOTADO",  IF(Tabla1[[#This Row],[EXISTENCIA ACTUAL]]&lt;Tabla1[[#This Row],[STOCK MINIMO]],"MENOR AL MINIMO", "OK"))</f>
        <v>OK</v>
      </c>
      <c r="I121" s="2">
        <f>IF(Tabla1[[#This Row],[EXISTENCIA ACTUAL]]=0,0,  IF(Tabla1[[#This Row],[EXISTENCIA ACTUAL]]&lt;Tabla1[[#This Row],[STOCK MINIMO]],1, 2))</f>
        <v>2</v>
      </c>
      <c r="J121" s="2">
        <v>1</v>
      </c>
      <c r="K121" s="21">
        <f>SUMIFS(Tabla2[CANTIDAD],Tabla2[PRODUCTO],Tabla1[[#This Row],[PRODUCTO]])</f>
        <v>1</v>
      </c>
      <c r="L121" s="2" t="s">
        <v>44</v>
      </c>
      <c r="M121" s="2" t="s">
        <v>47</v>
      </c>
    </row>
    <row r="122" spans="2:14" ht="30" hidden="1" customHeight="1" x14ac:dyDescent="0.25">
      <c r="B122" s="24" t="str">
        <f>E122&amp;"-"&amp;COUNTIF($E$8:E122,E122)</f>
        <v>UE-52</v>
      </c>
      <c r="C122" s="22" t="s">
        <v>207</v>
      </c>
      <c r="D122" s="22" t="s">
        <v>21</v>
      </c>
      <c r="E122" s="21" t="str">
        <f>IFERROR(VLOOKUP(D122,Hoja3!$A$2:$B$50,2,0),"")</f>
        <v>UE</v>
      </c>
      <c r="F122" s="2" t="s">
        <v>51</v>
      </c>
      <c r="G122" s="2" t="s">
        <v>38</v>
      </c>
      <c r="H122" s="20" t="str">
        <f>IF(Tabla1[[#This Row],[EXISTENCIA ACTUAL]]=0,"AGOTADO",  IF(Tabla1[[#This Row],[EXISTENCIA ACTUAL]]&lt;Tabla1[[#This Row],[STOCK MINIMO]],"MENOR AL MINIMO", "OK"))</f>
        <v>OK</v>
      </c>
      <c r="I122" s="2">
        <f>IF(Tabla1[[#This Row],[EXISTENCIA ACTUAL]]=0,0,  IF(Tabla1[[#This Row],[EXISTENCIA ACTUAL]]&lt;Tabla1[[#This Row],[STOCK MINIMO]],1, 2))</f>
        <v>2</v>
      </c>
      <c r="J122" s="2">
        <v>1</v>
      </c>
      <c r="K122" s="21">
        <f>SUMIFS(Tabla2[CANTIDAD],Tabla2[PRODUCTO],Tabla1[[#This Row],[PRODUCTO]])</f>
        <v>2</v>
      </c>
      <c r="L122" s="2" t="s">
        <v>44</v>
      </c>
      <c r="M122" s="2" t="s">
        <v>47</v>
      </c>
    </row>
    <row r="123" spans="2:14" ht="30" hidden="1" customHeight="1" x14ac:dyDescent="0.25">
      <c r="B123" s="24" t="str">
        <f>E123&amp;"-"&amp;COUNTIF($E$8:E123,E123)</f>
        <v>ULI-1</v>
      </c>
      <c r="C123" s="22" t="s">
        <v>210</v>
      </c>
      <c r="D123" s="22" t="s">
        <v>208</v>
      </c>
      <c r="E123" s="21" t="str">
        <f>IFERROR(VLOOKUP(D123,Hoja3!$A$2:$B$50,2,0),"")</f>
        <v>ULI</v>
      </c>
      <c r="F123" s="2" t="s">
        <v>51</v>
      </c>
      <c r="G123" s="2" t="s">
        <v>38</v>
      </c>
      <c r="H123" s="20" t="str">
        <f>IF(Tabla1[[#This Row],[EXISTENCIA ACTUAL]]=0,"AGOTADO",  IF(Tabla1[[#This Row],[EXISTENCIA ACTUAL]]&lt;Tabla1[[#This Row],[STOCK MINIMO]],"MENOR AL MINIMO", "OK"))</f>
        <v>OK</v>
      </c>
      <c r="I123" s="2">
        <f>IF(Tabla1[[#This Row],[EXISTENCIA ACTUAL]]=0,0,  IF(Tabla1[[#This Row],[EXISTENCIA ACTUAL]]&lt;Tabla1[[#This Row],[STOCK MINIMO]],1, 2))</f>
        <v>2</v>
      </c>
      <c r="J123" s="2">
        <v>1</v>
      </c>
      <c r="K123" s="21">
        <f>SUMIFS(Tabla2[CANTIDAD],Tabla2[PRODUCTO],Tabla1[[#This Row],[PRODUCTO]])</f>
        <v>1</v>
      </c>
      <c r="L123" s="2" t="s">
        <v>44</v>
      </c>
      <c r="M123" s="2" t="s">
        <v>47</v>
      </c>
    </row>
    <row r="124" spans="2:14" ht="30" hidden="1" customHeight="1" x14ac:dyDescent="0.25">
      <c r="B124" s="24" t="str">
        <f>E124&amp;"-"&amp;COUNTIF($E$8:E124,E124)</f>
        <v>HM-2</v>
      </c>
      <c r="C124" s="22" t="s">
        <v>211</v>
      </c>
      <c r="D124" s="22" t="s">
        <v>19</v>
      </c>
      <c r="E124" s="21" t="str">
        <f>IFERROR(VLOOKUP(D124,Hoja3!$A$2:$B$50,2,0),"")</f>
        <v>HM</v>
      </c>
      <c r="F124" s="2" t="s">
        <v>51</v>
      </c>
      <c r="G124" s="2" t="s">
        <v>38</v>
      </c>
      <c r="H124" s="20" t="str">
        <f>IF(Tabla1[[#This Row],[EXISTENCIA ACTUAL]]=0,"AGOTADO",  IF(Tabla1[[#This Row],[EXISTENCIA ACTUAL]]&lt;Tabla1[[#This Row],[STOCK MINIMO]],"MENOR AL MINIMO", "OK"))</f>
        <v>OK</v>
      </c>
      <c r="I124" s="2">
        <f>IF(Tabla1[[#This Row],[EXISTENCIA ACTUAL]]=0,0,  IF(Tabla1[[#This Row],[EXISTENCIA ACTUAL]]&lt;Tabla1[[#This Row],[STOCK MINIMO]],1, 2))</f>
        <v>2</v>
      </c>
      <c r="J124" s="2">
        <v>1</v>
      </c>
      <c r="K124" s="21">
        <f>SUMIFS(Tabla2[CANTIDAD],Tabla2[PRODUCTO],Tabla1[[#This Row],[PRODUCTO]])</f>
        <v>1</v>
      </c>
      <c r="L124" s="2" t="s">
        <v>44</v>
      </c>
      <c r="M124" s="2" t="s">
        <v>47</v>
      </c>
    </row>
    <row r="125" spans="2:14" ht="30" hidden="1" customHeight="1" x14ac:dyDescent="0.25">
      <c r="B125" s="24" t="str">
        <f>E125&amp;"-"&amp;COUNTIF($E$8:E125,E125)</f>
        <v>IS-35</v>
      </c>
      <c r="C125" s="22" t="s">
        <v>212</v>
      </c>
      <c r="D125" s="22" t="s">
        <v>24</v>
      </c>
      <c r="E125" s="21" t="str">
        <f>IFERROR(VLOOKUP(D125,Hoja3!$A$2:$B$50,2,0),"")</f>
        <v>IS</v>
      </c>
      <c r="F125" s="2" t="s">
        <v>51</v>
      </c>
      <c r="G125" s="2" t="s">
        <v>38</v>
      </c>
      <c r="H125" s="20" t="str">
        <f>IF(Tabla1[[#This Row],[EXISTENCIA ACTUAL]]=0,"AGOTADO",  IF(Tabla1[[#This Row],[EXISTENCIA ACTUAL]]&lt;Tabla1[[#This Row],[STOCK MINIMO]],"MENOR AL MINIMO", "OK"))</f>
        <v>AGOTADO</v>
      </c>
      <c r="I125" s="2">
        <f>IF(Tabla1[[#This Row],[EXISTENCIA ACTUAL]]=0,0,  IF(Tabla1[[#This Row],[EXISTENCIA ACTUAL]]&lt;Tabla1[[#This Row],[STOCK MINIMO]],1, 2))</f>
        <v>0</v>
      </c>
      <c r="J125" s="2">
        <v>3</v>
      </c>
      <c r="K125" s="21">
        <f>SUMIFS(Tabla2[CANTIDAD],Tabla2[PRODUCTO],Tabla1[[#This Row],[PRODUCTO]])</f>
        <v>0</v>
      </c>
      <c r="L125" s="2" t="s">
        <v>44</v>
      </c>
      <c r="M125" s="2" t="s">
        <v>47</v>
      </c>
    </row>
    <row r="126" spans="2:14" ht="30" hidden="1" customHeight="1" x14ac:dyDescent="0.25">
      <c r="B126" s="24" t="str">
        <f>E126&amp;"-"&amp;COUNTIF($E$8:E126,E126)</f>
        <v>UE-53</v>
      </c>
      <c r="C126" s="22" t="s">
        <v>213</v>
      </c>
      <c r="D126" s="22" t="s">
        <v>21</v>
      </c>
      <c r="E126" s="21" t="str">
        <f>IFERROR(VLOOKUP(D126,Hoja3!$A$2:$B$50,2,0),"")</f>
        <v>UE</v>
      </c>
      <c r="F126" s="2" t="s">
        <v>51</v>
      </c>
      <c r="G126" s="2" t="s">
        <v>215</v>
      </c>
      <c r="H126" s="20" t="str">
        <f>IF(Tabla1[[#This Row],[EXISTENCIA ACTUAL]]=0,"AGOTADO",  IF(Tabla1[[#This Row],[EXISTENCIA ACTUAL]]&lt;Tabla1[[#This Row],[STOCK MINIMO]],"MENOR AL MINIMO", "OK"))</f>
        <v>OK</v>
      </c>
      <c r="I126" s="2">
        <f>IF(Tabla1[[#This Row],[EXISTENCIA ACTUAL]]=0,0,  IF(Tabla1[[#This Row],[EXISTENCIA ACTUAL]]&lt;Tabla1[[#This Row],[STOCK MINIMO]],1, 2))</f>
        <v>2</v>
      </c>
      <c r="J126" s="2">
        <v>1</v>
      </c>
      <c r="K126" s="21">
        <f>SUMIFS(Tabla2[CANTIDAD],Tabla2[PRODUCTO],Tabla1[[#This Row],[PRODUCTO]])</f>
        <v>1</v>
      </c>
      <c r="L126" s="2" t="s">
        <v>44</v>
      </c>
      <c r="M126" s="2" t="s">
        <v>47</v>
      </c>
    </row>
    <row r="127" spans="2:14" ht="30" hidden="1" customHeight="1" x14ac:dyDescent="0.25">
      <c r="B127" s="24" t="str">
        <f>E127&amp;"-"&amp;COUNTIF($E$8:E127,E127)</f>
        <v>UE-54</v>
      </c>
      <c r="C127" s="22" t="s">
        <v>216</v>
      </c>
      <c r="D127" s="22" t="s">
        <v>21</v>
      </c>
      <c r="E127" s="21" t="str">
        <f>IFERROR(VLOOKUP(D127,Hoja3!$A$2:$B$50,2,0),"")</f>
        <v>UE</v>
      </c>
      <c r="F127" s="2" t="s">
        <v>51</v>
      </c>
      <c r="G127" s="2" t="s">
        <v>215</v>
      </c>
      <c r="H127" s="20" t="str">
        <f>IF(Tabla1[[#This Row],[EXISTENCIA ACTUAL]]=0,"AGOTADO",  IF(Tabla1[[#This Row],[EXISTENCIA ACTUAL]]&lt;Tabla1[[#This Row],[STOCK MINIMO]],"MENOR AL MINIMO", "OK"))</f>
        <v>OK</v>
      </c>
      <c r="I127" s="2">
        <f>IF(Tabla1[[#This Row],[EXISTENCIA ACTUAL]]=0,0,  IF(Tabla1[[#This Row],[EXISTENCIA ACTUAL]]&lt;Tabla1[[#This Row],[STOCK MINIMO]],1, 2))</f>
        <v>2</v>
      </c>
      <c r="J127" s="2">
        <v>1</v>
      </c>
      <c r="K127" s="21">
        <f>SUMIFS(Tabla2[CANTIDAD],Tabla2[PRODUCTO],Tabla1[[#This Row],[PRODUCTO]])</f>
        <v>1</v>
      </c>
      <c r="L127" s="2" t="s">
        <v>44</v>
      </c>
      <c r="M127" s="2" t="s">
        <v>47</v>
      </c>
    </row>
    <row r="128" spans="2:14" ht="30" hidden="1" customHeight="1" x14ac:dyDescent="0.25">
      <c r="B128" s="24" t="str">
        <f>E128&amp;"-"&amp;COUNTIF($E$8:E128,E128)</f>
        <v>UE-55</v>
      </c>
      <c r="C128" s="22" t="s">
        <v>217</v>
      </c>
      <c r="D128" s="22" t="s">
        <v>21</v>
      </c>
      <c r="E128" s="21" t="str">
        <f>IFERROR(VLOOKUP(D128,Hoja3!$A$2:$B$50,2,0),"")</f>
        <v>UE</v>
      </c>
      <c r="F128" s="2" t="s">
        <v>51</v>
      </c>
      <c r="G128" s="2" t="s">
        <v>38</v>
      </c>
      <c r="H128" s="20" t="str">
        <f>IF(Tabla1[[#This Row],[EXISTENCIA ACTUAL]]=0,"AGOTADO",  IF(Tabla1[[#This Row],[EXISTENCIA ACTUAL]]&lt;Tabla1[[#This Row],[STOCK MINIMO]],"MENOR AL MINIMO", "OK"))</f>
        <v>OK</v>
      </c>
      <c r="I128" s="2">
        <f>IF(Tabla1[[#This Row],[EXISTENCIA ACTUAL]]=0,0,  IF(Tabla1[[#This Row],[EXISTENCIA ACTUAL]]&lt;Tabla1[[#This Row],[STOCK MINIMO]],1, 2))</f>
        <v>2</v>
      </c>
      <c r="J128" s="2">
        <v>1</v>
      </c>
      <c r="K128" s="21">
        <f>SUMIFS(Tabla2[CANTIDAD],Tabla2[PRODUCTO],Tabla1[[#This Row],[PRODUCTO]])</f>
        <v>1</v>
      </c>
      <c r="L128" s="2" t="s">
        <v>44</v>
      </c>
      <c r="M128" s="2" t="s">
        <v>47</v>
      </c>
    </row>
    <row r="129" spans="2:15" ht="30" customHeight="1" x14ac:dyDescent="0.25">
      <c r="B129" s="24" t="str">
        <f>E129&amp;"-"&amp;COUNTIF($E$8:E129,E129)</f>
        <v>COM-1</v>
      </c>
      <c r="C129" s="22" t="s">
        <v>272</v>
      </c>
      <c r="D129" s="22" t="s">
        <v>26</v>
      </c>
      <c r="E129" s="21" t="str">
        <f>IFERROR(VLOOKUP(D129,Hoja3!$A$2:$B$50,2,0),"")</f>
        <v>COM</v>
      </c>
      <c r="F129" s="2" t="s">
        <v>51</v>
      </c>
      <c r="G129" s="2" t="s">
        <v>41</v>
      </c>
      <c r="H129" s="20" t="str">
        <f>IF(Tabla1[[#This Row],[EXISTENCIA ACTUAL]]=0,"AGOTADO",  IF(Tabla1[[#This Row],[EXISTENCIA ACTUAL]]&lt;Tabla1[[#This Row],[STOCK MINIMO]],"MENOR AL MINIMO", "OK"))</f>
        <v>OK</v>
      </c>
      <c r="I129" s="2">
        <f>IF(Tabla1[[#This Row],[EXISTENCIA ACTUAL]]=0,0,  IF(Tabla1[[#This Row],[EXISTENCIA ACTUAL]]&lt;Tabla1[[#This Row],[STOCK MINIMO]],1, 2))</f>
        <v>2</v>
      </c>
      <c r="J129" s="2">
        <v>1</v>
      </c>
      <c r="K129" s="21">
        <f>SUMIFS(Tabla2[CANTIDAD],Tabla2[PRODUCTO],Tabla1[[#This Row],[PRODUCTO]])</f>
        <v>5.6230000000000002</v>
      </c>
      <c r="L129" s="2" t="s">
        <v>44</v>
      </c>
      <c r="M129" s="2" t="s">
        <v>47</v>
      </c>
      <c r="O129" t="s">
        <v>273</v>
      </c>
    </row>
    <row r="130" spans="2:15" ht="30" customHeight="1" x14ac:dyDescent="0.25">
      <c r="B130" s="24" t="str">
        <f>E130&amp;"-"&amp;COUNTIF($E$8:E130,E130)</f>
        <v>IE-9</v>
      </c>
      <c r="C130" s="22" t="s">
        <v>274</v>
      </c>
      <c r="D130" s="22" t="s">
        <v>27</v>
      </c>
      <c r="E130" s="21" t="str">
        <f>IFERROR(VLOOKUP(D130,Hoja3!$A$2:$B$50,2,0),"")</f>
        <v>IE</v>
      </c>
      <c r="F130" s="2" t="s">
        <v>51</v>
      </c>
      <c r="G130" s="2" t="s">
        <v>215</v>
      </c>
      <c r="H130" s="20" t="str">
        <f>IF(Tabla1[[#This Row],[EXISTENCIA ACTUAL]]=0,"AGOTADO",  IF(Tabla1[[#This Row],[EXISTENCIA ACTUAL]]&lt;Tabla1[[#This Row],[STOCK MINIMO]],"MENOR AL MINIMO", "OK"))</f>
        <v>AGOTADO</v>
      </c>
      <c r="I130" s="2">
        <f>IF(Tabla1[[#This Row],[EXISTENCIA ACTUAL]]=0,0,  IF(Tabla1[[#This Row],[EXISTENCIA ACTUAL]]&lt;Tabla1[[#This Row],[STOCK MINIMO]],1, 2))</f>
        <v>0</v>
      </c>
      <c r="J130" s="2">
        <v>1</v>
      </c>
      <c r="K130" s="21">
        <f>SUMIFS(Tabla2[CANTIDAD],Tabla2[PRODUCTO],Tabla1[[#This Row],[PRODUCTO]])</f>
        <v>0</v>
      </c>
      <c r="L130" s="2" t="s">
        <v>44</v>
      </c>
      <c r="M130" s="2" t="s">
        <v>47</v>
      </c>
      <c r="O130" t="s">
        <v>275</v>
      </c>
    </row>
    <row r="131" spans="2:15" ht="30" hidden="1" customHeight="1" x14ac:dyDescent="0.25">
      <c r="B131" s="24" t="str">
        <f>E131&amp;"-"&amp;COUNTIF($E$8:E131,E131)</f>
        <v>HM-3</v>
      </c>
      <c r="C131" s="22" t="s">
        <v>294</v>
      </c>
      <c r="D131" s="22" t="s">
        <v>19</v>
      </c>
      <c r="E131" s="21" t="str">
        <f>IFERROR(VLOOKUP(D131,Hoja3!$A$2:$B$50,2,0),"")</f>
        <v>HM</v>
      </c>
      <c r="F131" s="2" t="s">
        <v>51</v>
      </c>
      <c r="G131" s="2" t="s">
        <v>38</v>
      </c>
      <c r="H131" s="20" t="str">
        <f>IF(Tabla1[[#This Row],[EXISTENCIA ACTUAL]]=0,"AGOTADO",  IF(Tabla1[[#This Row],[EXISTENCIA ACTUAL]]&lt;Tabla1[[#This Row],[STOCK MINIMO]],"MENOR AL MINIMO", "OK"))</f>
        <v>AGOTADO</v>
      </c>
      <c r="I131" s="2">
        <f>IF(Tabla1[[#This Row],[EXISTENCIA ACTUAL]]=0,0,  IF(Tabla1[[#This Row],[EXISTENCIA ACTUAL]]&lt;Tabla1[[#This Row],[STOCK MINIMO]],1, 2))</f>
        <v>0</v>
      </c>
      <c r="J131" s="2">
        <v>5</v>
      </c>
      <c r="K131" s="21">
        <f>SUMIFS(Tabla2[CANTIDAD],Tabla2[PRODUCTO],Tabla1[[#This Row],[PRODUCTO]])</f>
        <v>0</v>
      </c>
      <c r="L131" s="2" t="s">
        <v>44</v>
      </c>
      <c r="M131" s="2" t="s">
        <v>47</v>
      </c>
    </row>
    <row r="132" spans="2:15" ht="30" customHeight="1" x14ac:dyDescent="0.25">
      <c r="B132" s="24" t="str">
        <f>E132&amp;"-"&amp;COUNTIF($E$8:E132,E132)</f>
        <v>ISA-8</v>
      </c>
      <c r="C132" s="22" t="s">
        <v>279</v>
      </c>
      <c r="D132" s="22" t="s">
        <v>133</v>
      </c>
      <c r="E132" s="21" t="str">
        <f>IFERROR(VLOOKUP(D132,Hoja3!$A$2:$B$50,2,0),"")</f>
        <v>ISA</v>
      </c>
      <c r="F132" s="2" t="s">
        <v>51</v>
      </c>
      <c r="G132" s="2" t="s">
        <v>38</v>
      </c>
      <c r="H132" s="20" t="str">
        <f>IF(Tabla1[[#This Row],[EXISTENCIA ACTUAL]]=0,"AGOTADO",  IF(Tabla1[[#This Row],[EXISTENCIA ACTUAL]]&lt;Tabla1[[#This Row],[STOCK MINIMO]],"MENOR AL MINIMO", "OK"))</f>
        <v>OK</v>
      </c>
      <c r="I132" s="2">
        <f>IF(Tabla1[[#This Row],[EXISTENCIA ACTUAL]]=0,0,  IF(Tabla1[[#This Row],[EXISTENCIA ACTUAL]]&lt;Tabla1[[#This Row],[STOCK MINIMO]],1, 2))</f>
        <v>2</v>
      </c>
      <c r="J132" s="2">
        <v>1</v>
      </c>
      <c r="K132" s="21">
        <f>SUMIFS(Tabla2[CANTIDAD],Tabla2[PRODUCTO],Tabla1[[#This Row],[PRODUCTO]])</f>
        <v>1</v>
      </c>
      <c r="L132" s="2" t="s">
        <v>44</v>
      </c>
      <c r="M132" s="2" t="s">
        <v>47</v>
      </c>
      <c r="O132" t="s">
        <v>280</v>
      </c>
    </row>
    <row r="133" spans="2:15" ht="30" customHeight="1" x14ac:dyDescent="0.25">
      <c r="B133" s="24" t="str">
        <f>E133&amp;"-"&amp;COUNTIF($E$8:E133,E133)</f>
        <v>ISA-9</v>
      </c>
      <c r="C133" s="22" t="s">
        <v>283</v>
      </c>
      <c r="D133" s="22" t="s">
        <v>133</v>
      </c>
      <c r="E133" s="21" t="str">
        <f>IFERROR(VLOOKUP(D133,Hoja3!$A$2:$B$50,2,0),"")</f>
        <v>ISA</v>
      </c>
      <c r="F133" s="2" t="s">
        <v>51</v>
      </c>
      <c r="G133" s="2" t="s">
        <v>38</v>
      </c>
      <c r="H133" s="20" t="str">
        <f>IF(Tabla1[[#This Row],[EXISTENCIA ACTUAL]]=0,"AGOTADO",  IF(Tabla1[[#This Row],[EXISTENCIA ACTUAL]]&lt;Tabla1[[#This Row],[STOCK MINIMO]],"MENOR AL MINIMO", "OK"))</f>
        <v>AGOTADO</v>
      </c>
      <c r="I133" s="2">
        <f>IF(Tabla1[[#This Row],[EXISTENCIA ACTUAL]]=0,0,  IF(Tabla1[[#This Row],[EXISTENCIA ACTUAL]]&lt;Tabla1[[#This Row],[STOCK MINIMO]],1, 2))</f>
        <v>0</v>
      </c>
      <c r="J133" s="2">
        <v>1</v>
      </c>
      <c r="K133" s="21">
        <f>SUMIFS(Tabla2[CANTIDAD],Tabla2[PRODUCTO],Tabla1[[#This Row],[PRODUCTO]])</f>
        <v>0</v>
      </c>
      <c r="L133" s="2" t="s">
        <v>44</v>
      </c>
      <c r="M133" s="2" t="s">
        <v>47</v>
      </c>
      <c r="O133" t="s">
        <v>280</v>
      </c>
    </row>
    <row r="134" spans="2:15" ht="30" hidden="1" customHeight="1" x14ac:dyDescent="0.25">
      <c r="B134" s="24" t="str">
        <f>E134&amp;"-"&amp;COUNTIF($E$8:E291,E134)</f>
        <v>OTR-19</v>
      </c>
      <c r="C134" s="22" t="s">
        <v>285</v>
      </c>
      <c r="D134" s="22" t="s">
        <v>148</v>
      </c>
      <c r="E134" s="21" t="str">
        <f>IFERROR(VLOOKUP(D134,Hoja3!$A$2:$B$50,2,0),"")</f>
        <v>OTR</v>
      </c>
      <c r="F134" s="2" t="s">
        <v>51</v>
      </c>
      <c r="G134" s="2" t="s">
        <v>38</v>
      </c>
      <c r="H134" s="20" t="str">
        <f>IF(Tabla1[[#This Row],[EXISTENCIA ACTUAL]]=0,"AGOTADO",  IF(Tabla1[[#This Row],[EXISTENCIA ACTUAL]]&lt;Tabla1[[#This Row],[STOCK MINIMO]],"MENOR AL MINIMO", "OK"))</f>
        <v>MENOR AL MINIMO</v>
      </c>
      <c r="I134" s="2">
        <f>IF(Tabla1[[#This Row],[EXISTENCIA ACTUAL]]=0,0,  IF(Tabla1[[#This Row],[EXISTENCIA ACTUAL]]&lt;Tabla1[[#This Row],[STOCK MINIMO]],1, 2))</f>
        <v>1</v>
      </c>
      <c r="J134" s="2">
        <v>3</v>
      </c>
      <c r="K134" s="21">
        <f>SUMIFS(Tabla2[CANTIDAD],Tabla2[PRODUCTO],Tabla1[[#This Row],[PRODUCTO]])</f>
        <v>1</v>
      </c>
      <c r="L134" s="1" t="s">
        <v>45</v>
      </c>
      <c r="M134" s="2"/>
    </row>
    <row r="135" spans="2:15" ht="30" hidden="1" customHeight="1" x14ac:dyDescent="0.25">
      <c r="B135" s="24" t="str">
        <f>E135&amp;"-"&amp;COUNTIF($E$8:E135,E135)</f>
        <v>HM-4</v>
      </c>
      <c r="C135" s="22" t="s">
        <v>293</v>
      </c>
      <c r="D135" s="22" t="s">
        <v>19</v>
      </c>
      <c r="E135" s="21" t="str">
        <f>IFERROR(VLOOKUP(D135,Hoja3!$A$2:$B$50,2,0),"")</f>
        <v>HM</v>
      </c>
      <c r="F135" s="2" t="s">
        <v>51</v>
      </c>
      <c r="G135" s="2" t="s">
        <v>38</v>
      </c>
      <c r="H135" s="20" t="str">
        <f>IF(Tabla1[[#This Row],[EXISTENCIA ACTUAL]]=0,"AGOTADO",  IF(Tabla1[[#This Row],[EXISTENCIA ACTUAL]]&lt;Tabla1[[#This Row],[STOCK MINIMO]],"MENOR AL MINIMO", "OK"))</f>
        <v>OK</v>
      </c>
      <c r="I135" s="2">
        <f>IF(Tabla1[[#This Row],[EXISTENCIA ACTUAL]]=0,0,  IF(Tabla1[[#This Row],[EXISTENCIA ACTUAL]]&lt;Tabla1[[#This Row],[STOCK MINIMO]],1, 2))</f>
        <v>2</v>
      </c>
      <c r="J135" s="2">
        <v>1</v>
      </c>
      <c r="K135" s="21">
        <f>SUMIFS(Tabla2[CANTIDAD],Tabla2[PRODUCTO],Tabla1[[#This Row],[PRODUCTO]])</f>
        <v>1</v>
      </c>
      <c r="L135" s="2" t="s">
        <v>44</v>
      </c>
      <c r="M135" s="2" t="s">
        <v>47</v>
      </c>
    </row>
    <row r="136" spans="2:15" ht="30" hidden="1" customHeight="1" x14ac:dyDescent="0.25">
      <c r="B136" s="24" t="str">
        <f>E136&amp;"-"&amp;COUNTIF($E$8:E136,E136)</f>
        <v>HM-5</v>
      </c>
      <c r="C136" s="22" t="s">
        <v>295</v>
      </c>
      <c r="D136" s="22" t="s">
        <v>19</v>
      </c>
      <c r="E136" s="21" t="str">
        <f>IFERROR(VLOOKUP(D136,Hoja3!$A$2:$B$50,2,0),"")</f>
        <v>HM</v>
      </c>
      <c r="F136" s="2" t="s">
        <v>51</v>
      </c>
      <c r="G136" s="2" t="s">
        <v>38</v>
      </c>
      <c r="H136" s="20" t="str">
        <f>IF(Tabla1[[#This Row],[EXISTENCIA ACTUAL]]=0,"AGOTADO",  IF(Tabla1[[#This Row],[EXISTENCIA ACTUAL]]&lt;Tabla1[[#This Row],[STOCK MINIMO]],"MENOR AL MINIMO", "OK"))</f>
        <v>MENOR AL MINIMO</v>
      </c>
      <c r="I136" s="2">
        <f>IF(Tabla1[[#This Row],[EXISTENCIA ACTUAL]]=0,0,  IF(Tabla1[[#This Row],[EXISTENCIA ACTUAL]]&lt;Tabla1[[#This Row],[STOCK MINIMO]],1, 2))</f>
        <v>1</v>
      </c>
      <c r="J136" s="2">
        <v>5</v>
      </c>
      <c r="K136" s="21">
        <f>SUMIFS(Tabla2[CANTIDAD],Tabla2[PRODUCTO],Tabla1[[#This Row],[PRODUCTO]])</f>
        <v>1</v>
      </c>
      <c r="L136" s="2" t="s">
        <v>44</v>
      </c>
      <c r="M136" s="2" t="s">
        <v>47</v>
      </c>
    </row>
    <row r="137" spans="2:15" ht="30" customHeight="1" x14ac:dyDescent="0.25">
      <c r="B137" s="24" t="str">
        <f>E137&amp;"-"&amp;COUNTIF($E$8:E137,E137)</f>
        <v>COM-2</v>
      </c>
      <c r="C137" s="22" t="s">
        <v>296</v>
      </c>
      <c r="D137" s="22" t="s">
        <v>26</v>
      </c>
      <c r="E137" s="21" t="str">
        <f>IFERROR(VLOOKUP(D137,Hoja3!$A$2:$B$50,2,0),"")</f>
        <v>COM</v>
      </c>
      <c r="F137" s="2" t="s">
        <v>51</v>
      </c>
      <c r="G137" s="2" t="s">
        <v>41</v>
      </c>
      <c r="H137" s="20" t="str">
        <f>IF(Tabla1[[#This Row],[EXISTENCIA ACTUAL]]=0,"AGOTADO",  IF(Tabla1[[#This Row],[EXISTENCIA ACTUAL]]&lt;Tabla1[[#This Row],[STOCK MINIMO]],"MENOR AL MINIMO", "OK"))</f>
        <v>OK</v>
      </c>
      <c r="I137" s="2">
        <f>IF(Tabla1[[#This Row],[EXISTENCIA ACTUAL]]=0,0,  IF(Tabla1[[#This Row],[EXISTENCIA ACTUAL]]&lt;Tabla1[[#This Row],[STOCK MINIMO]],1, 2))</f>
        <v>2</v>
      </c>
      <c r="J137" s="2">
        <v>450</v>
      </c>
      <c r="K137" s="21">
        <f>SUMIFS(Tabla2[CANTIDAD],Tabla2[PRODUCTO],Tabla1[[#This Row],[PRODUCTO]])</f>
        <v>1417</v>
      </c>
      <c r="L137" s="2" t="s">
        <v>44</v>
      </c>
      <c r="M137" s="2" t="s">
        <v>47</v>
      </c>
      <c r="O137" t="s">
        <v>22</v>
      </c>
    </row>
    <row r="138" spans="2:15" ht="30" hidden="1" customHeight="1" x14ac:dyDescent="0.25">
      <c r="B138" s="24" t="str">
        <f>E138&amp;"-"&amp;COUNTIF($E$8:E138,E138)</f>
        <v>IS-36</v>
      </c>
      <c r="C138" s="22" t="s">
        <v>300</v>
      </c>
      <c r="D138" s="22" t="s">
        <v>24</v>
      </c>
      <c r="E138" s="21" t="str">
        <f>IFERROR(VLOOKUP(D138,Hoja3!$A$2:$B$50,2,0),"")</f>
        <v>IS</v>
      </c>
      <c r="F138" s="2" t="s">
        <v>51</v>
      </c>
      <c r="G138" s="2" t="s">
        <v>38</v>
      </c>
      <c r="H138" s="20" t="str">
        <f>IF(Tabla1[[#This Row],[EXISTENCIA ACTUAL]]=0,"AGOTADO",  IF(Tabla1[[#This Row],[EXISTENCIA ACTUAL]]&lt;Tabla1[[#This Row],[STOCK MINIMO]],"MENOR AL MINIMO", "OK"))</f>
        <v>MENOR AL MINIMO</v>
      </c>
      <c r="I138" s="2">
        <f>IF(Tabla1[[#This Row],[EXISTENCIA ACTUAL]]=0,0,  IF(Tabla1[[#This Row],[EXISTENCIA ACTUAL]]&lt;Tabla1[[#This Row],[STOCK MINIMO]],1, 2))</f>
        <v>1</v>
      </c>
      <c r="J138" s="2">
        <v>5</v>
      </c>
      <c r="K138" s="21">
        <f>SUMIFS(Tabla2[CANTIDAD],Tabla2[PRODUCTO],Tabla1[[#This Row],[PRODUCTO]])</f>
        <v>4</v>
      </c>
      <c r="L138" s="2" t="s">
        <v>44</v>
      </c>
      <c r="M138" s="2" t="s">
        <v>47</v>
      </c>
    </row>
    <row r="139" spans="2:15" ht="30" hidden="1" customHeight="1" x14ac:dyDescent="0.25">
      <c r="B139" s="24" t="str">
        <f>E139&amp;"-"&amp;COUNTIF($E$8:E139,E139)</f>
        <v>ISA-10</v>
      </c>
      <c r="C139" s="22" t="s">
        <v>311</v>
      </c>
      <c r="D139" s="22" t="s">
        <v>133</v>
      </c>
      <c r="E139" s="21" t="str">
        <f>IFERROR(VLOOKUP(D139,Hoja3!$A$2:$B$50,2,0),"")</f>
        <v>ISA</v>
      </c>
      <c r="F139" s="2" t="s">
        <v>51</v>
      </c>
      <c r="G139" s="2" t="s">
        <v>38</v>
      </c>
      <c r="H139" s="20" t="str">
        <f>IF(Tabla1[[#This Row],[EXISTENCIA ACTUAL]]=0,"AGOTADO",  IF(Tabla1[[#This Row],[EXISTENCIA ACTUAL]]&lt;Tabla1[[#This Row],[STOCK MINIMO]],"MENOR AL MINIMO", "OK"))</f>
        <v>MENOR AL MINIMO</v>
      </c>
      <c r="I139" s="2">
        <f>IF(Tabla1[[#This Row],[EXISTENCIA ACTUAL]]=0,0,  IF(Tabla1[[#This Row],[EXISTENCIA ACTUAL]]&lt;Tabla1[[#This Row],[STOCK MINIMO]],1, 2))</f>
        <v>1</v>
      </c>
      <c r="J139" s="2">
        <v>2</v>
      </c>
      <c r="K139" s="21">
        <f>SUMIFS(Tabla2[CANTIDAD],Tabla2[PRODUCTO],Tabla1[[#This Row],[PRODUCTO]])</f>
        <v>1</v>
      </c>
      <c r="L139" s="2" t="s">
        <v>44</v>
      </c>
      <c r="M139" s="2" t="s">
        <v>47</v>
      </c>
    </row>
    <row r="140" spans="2:15" ht="30" hidden="1" customHeight="1" x14ac:dyDescent="0.25">
      <c r="B140" s="24" t="str">
        <f>E140&amp;"-"&amp;COUNTIF($E$8:E140,E140)</f>
        <v>HM-6</v>
      </c>
      <c r="C140" s="22" t="s">
        <v>312</v>
      </c>
      <c r="D140" s="22" t="s">
        <v>19</v>
      </c>
      <c r="E140" s="21" t="str">
        <f>IFERROR(VLOOKUP(D140,Hoja3!$A$2:$B$50,2,0),"")</f>
        <v>HM</v>
      </c>
      <c r="F140" s="2" t="s">
        <v>51</v>
      </c>
      <c r="G140" s="2" t="s">
        <v>38</v>
      </c>
      <c r="H140" s="20" t="str">
        <f>IF(Tabla1[[#This Row],[EXISTENCIA ACTUAL]]=0,"AGOTADO",  IF(Tabla1[[#This Row],[EXISTENCIA ACTUAL]]&lt;Tabla1[[#This Row],[STOCK MINIMO]],"MENOR AL MINIMO", "OK"))</f>
        <v>OK</v>
      </c>
      <c r="I140" s="2">
        <f>IF(Tabla1[[#This Row],[EXISTENCIA ACTUAL]]=0,0,  IF(Tabla1[[#This Row],[EXISTENCIA ACTUAL]]&lt;Tabla1[[#This Row],[STOCK MINIMO]],1, 2))</f>
        <v>2</v>
      </c>
      <c r="J140" s="2">
        <v>1</v>
      </c>
      <c r="K140" s="21">
        <f>SUMIFS(Tabla2[CANTIDAD],Tabla2[PRODUCTO],Tabla1[[#This Row],[PRODUCTO]])</f>
        <v>1</v>
      </c>
      <c r="L140" s="2" t="s">
        <v>44</v>
      </c>
      <c r="M140" s="2" t="s">
        <v>47</v>
      </c>
    </row>
    <row r="141" spans="2:15" ht="30" hidden="1" customHeight="1" x14ac:dyDescent="0.25">
      <c r="B141" s="24" t="str">
        <f>E141&amp;"-"&amp;COUNTIF($E$8:E141,E141)</f>
        <v>OTR-5</v>
      </c>
      <c r="C141" s="22" t="s">
        <v>313</v>
      </c>
      <c r="D141" s="22" t="s">
        <v>148</v>
      </c>
      <c r="E141" s="21" t="str">
        <f>IFERROR(VLOOKUP(D141,Hoja3!$A$2:$B$50,2,0),"")</f>
        <v>OTR</v>
      </c>
      <c r="F141" s="2" t="s">
        <v>51</v>
      </c>
      <c r="G141" s="2" t="s">
        <v>37</v>
      </c>
      <c r="H141" s="20" t="str">
        <f>IF(Tabla1[[#This Row],[EXISTENCIA ACTUAL]]=0,"AGOTADO",  IF(Tabla1[[#This Row],[EXISTENCIA ACTUAL]]&lt;Tabla1[[#This Row],[STOCK MINIMO]],"MENOR AL MINIMO", "OK"))</f>
        <v>OK</v>
      </c>
      <c r="I141" s="2">
        <f>IF(Tabla1[[#This Row],[EXISTENCIA ACTUAL]]=0,0,  IF(Tabla1[[#This Row],[EXISTENCIA ACTUAL]]&lt;Tabla1[[#This Row],[STOCK MINIMO]],1, 2))</f>
        <v>2</v>
      </c>
      <c r="J141" s="2">
        <v>1</v>
      </c>
      <c r="K141" s="21">
        <f>SUMIFS(Tabla2[CANTIDAD],Tabla2[PRODUCTO],Tabla1[[#This Row],[PRODUCTO]])</f>
        <v>6</v>
      </c>
      <c r="L141" s="2" t="s">
        <v>44</v>
      </c>
      <c r="M141" s="2"/>
    </row>
    <row r="142" spans="2:15" ht="30" hidden="1" customHeight="1" x14ac:dyDescent="0.25">
      <c r="B142" s="24" t="str">
        <f>E142&amp;"-"&amp;COUNTIF($E$8:E142,E142)</f>
        <v>IE-10</v>
      </c>
      <c r="C142" s="22" t="s">
        <v>315</v>
      </c>
      <c r="D142" s="22" t="s">
        <v>27</v>
      </c>
      <c r="E142" s="21" t="str">
        <f>IFERROR(VLOOKUP(D142,Hoja3!$A$2:$B$50,2,0),"")</f>
        <v>IE</v>
      </c>
      <c r="F142" s="2" t="s">
        <v>51</v>
      </c>
      <c r="G142" s="2" t="s">
        <v>39</v>
      </c>
      <c r="H142" s="20" t="str">
        <f>IF(Tabla1[[#This Row],[EXISTENCIA ACTUAL]]=0,"AGOTADO",  IF(Tabla1[[#This Row],[EXISTENCIA ACTUAL]]&lt;Tabla1[[#This Row],[STOCK MINIMO]],"MENOR AL MINIMO", "OK"))</f>
        <v>OK</v>
      </c>
      <c r="I142" s="2">
        <f>IF(Tabla1[[#This Row],[EXISTENCIA ACTUAL]]=0,0,  IF(Tabla1[[#This Row],[EXISTENCIA ACTUAL]]&lt;Tabla1[[#This Row],[STOCK MINIMO]],1, 2))</f>
        <v>2</v>
      </c>
      <c r="J142" s="2">
        <v>5</v>
      </c>
      <c r="K142" s="21">
        <f>SUMIFS(Tabla2[CANTIDAD],Tabla2[PRODUCTO],Tabla1[[#This Row],[PRODUCTO]])</f>
        <v>15</v>
      </c>
      <c r="L142" s="2" t="s">
        <v>44</v>
      </c>
      <c r="M142" s="2"/>
    </row>
    <row r="143" spans="2:15" ht="30" hidden="1" customHeight="1" x14ac:dyDescent="0.25">
      <c r="B143" s="24" t="str">
        <f>E143&amp;"-"&amp;COUNTIF($E$8:E143,E143)</f>
        <v>HM-7</v>
      </c>
      <c r="C143" s="22" t="s">
        <v>314</v>
      </c>
      <c r="D143" s="22" t="s">
        <v>19</v>
      </c>
      <c r="E143" s="21" t="str">
        <f>IFERROR(VLOOKUP(D143,Hoja3!$A$2:$B$50,2,0),"")</f>
        <v>HM</v>
      </c>
      <c r="F143" s="2" t="s">
        <v>51</v>
      </c>
      <c r="G143" s="2" t="s">
        <v>38</v>
      </c>
      <c r="H143" s="20" t="str">
        <f>IF(Tabla1[[#This Row],[EXISTENCIA ACTUAL]]=0,"AGOTADO",  IF(Tabla1[[#This Row],[EXISTENCIA ACTUAL]]&lt;Tabla1[[#This Row],[STOCK MINIMO]],"MENOR AL MINIMO", "OK"))</f>
        <v>OK</v>
      </c>
      <c r="I143" s="2">
        <f>IF(Tabla1[[#This Row],[EXISTENCIA ACTUAL]]=0,0,  IF(Tabla1[[#This Row],[EXISTENCIA ACTUAL]]&lt;Tabla1[[#This Row],[STOCK MINIMO]],1, 2))</f>
        <v>2</v>
      </c>
      <c r="J143" s="2">
        <v>1</v>
      </c>
      <c r="K143" s="21">
        <f>SUMIFS(Tabla2[CANTIDAD],Tabla2[PRODUCTO],Tabla1[[#This Row],[PRODUCTO]])</f>
        <v>1</v>
      </c>
      <c r="L143" s="2" t="s">
        <v>44</v>
      </c>
      <c r="M143" s="2"/>
    </row>
    <row r="144" spans="2:15" ht="30" hidden="1" customHeight="1" x14ac:dyDescent="0.25">
      <c r="B144" s="24" t="str">
        <f>E144&amp;"-"&amp;COUNTIF($E$8:E144,E144)</f>
        <v>UE-56</v>
      </c>
      <c r="C144" s="22" t="s">
        <v>325</v>
      </c>
      <c r="D144" s="22" t="s">
        <v>21</v>
      </c>
      <c r="E144" s="21" t="str">
        <f>IFERROR(VLOOKUP(D144,Hoja3!$A$2:$B$50,2,0),"")</f>
        <v>UE</v>
      </c>
      <c r="F144" s="2" t="s">
        <v>51</v>
      </c>
      <c r="G144" s="2" t="s">
        <v>37</v>
      </c>
      <c r="H144" s="20" t="str">
        <f>IF(Tabla1[[#This Row],[EXISTENCIA ACTUAL]]=0,"AGOTADO",  IF(Tabla1[[#This Row],[EXISTENCIA ACTUAL]]&lt;Tabla1[[#This Row],[STOCK MINIMO]],"MENOR AL MINIMO", "OK"))</f>
        <v>OK</v>
      </c>
      <c r="I144" s="2">
        <f>IF(Tabla1[[#This Row],[EXISTENCIA ACTUAL]]=0,0,  IF(Tabla1[[#This Row],[EXISTENCIA ACTUAL]]&lt;Tabla1[[#This Row],[STOCK MINIMO]],1, 2))</f>
        <v>2</v>
      </c>
      <c r="J144" s="2">
        <v>2</v>
      </c>
      <c r="K144" s="21">
        <f>SUMIFS(Tabla2[CANTIDAD],Tabla2[PRODUCTO],Tabla1[[#This Row],[PRODUCTO]])</f>
        <v>22</v>
      </c>
      <c r="L144" s="2" t="s">
        <v>44</v>
      </c>
      <c r="M144" s="2"/>
    </row>
    <row r="145" spans="2:13" ht="30" hidden="1" customHeight="1" x14ac:dyDescent="0.25">
      <c r="B145" s="24" t="str">
        <f>E145&amp;"-"&amp;COUNTIF($E$8:E145,E145)</f>
        <v>HM-8</v>
      </c>
      <c r="C145" s="22" t="s">
        <v>326</v>
      </c>
      <c r="D145" s="22" t="s">
        <v>19</v>
      </c>
      <c r="E145" s="21" t="str">
        <f>IFERROR(VLOOKUP(D145,Hoja3!$A$2:$B$50,2,0),"")</f>
        <v>HM</v>
      </c>
      <c r="F145" s="2" t="s">
        <v>51</v>
      </c>
      <c r="G145" s="2" t="s">
        <v>39</v>
      </c>
      <c r="H145" s="20" t="str">
        <f>IF(Tabla1[[#This Row],[EXISTENCIA ACTUAL]]=0,"AGOTADO",  IF(Tabla1[[#This Row],[EXISTENCIA ACTUAL]]&lt;Tabla1[[#This Row],[STOCK MINIMO]],"MENOR AL MINIMO", "OK"))</f>
        <v>OK</v>
      </c>
      <c r="I145" s="2">
        <f>IF(Tabla1[[#This Row],[EXISTENCIA ACTUAL]]=0,0,  IF(Tabla1[[#This Row],[EXISTENCIA ACTUAL]]&lt;Tabla1[[#This Row],[STOCK MINIMO]],1, 2))</f>
        <v>2</v>
      </c>
      <c r="J145" s="2">
        <v>10</v>
      </c>
      <c r="K145" s="21">
        <f>SUMIFS(Tabla2[CANTIDAD],Tabla2[PRODUCTO],Tabla1[[#This Row],[PRODUCTO]])</f>
        <v>100</v>
      </c>
      <c r="L145" s="2" t="s">
        <v>44</v>
      </c>
      <c r="M145" s="2"/>
    </row>
    <row r="146" spans="2:13" ht="30" hidden="1" customHeight="1" x14ac:dyDescent="0.25">
      <c r="B146" s="24" t="str">
        <f>E146&amp;"-"&amp;COUNTIF($E$8:E146,E146)</f>
        <v>HM-9</v>
      </c>
      <c r="C146" s="22" t="s">
        <v>327</v>
      </c>
      <c r="D146" s="22" t="s">
        <v>19</v>
      </c>
      <c r="E146" s="21" t="str">
        <f>IFERROR(VLOOKUP(D146,Hoja3!$A$2:$B$50,2,0),"")</f>
        <v>HM</v>
      </c>
      <c r="F146" s="2" t="s">
        <v>51</v>
      </c>
      <c r="G146" s="2" t="s">
        <v>39</v>
      </c>
      <c r="H146" s="20" t="str">
        <f>IF(Tabla1[[#This Row],[EXISTENCIA ACTUAL]]=0,"AGOTADO",  IF(Tabla1[[#This Row],[EXISTENCIA ACTUAL]]&lt;Tabla1[[#This Row],[STOCK MINIMO]],"MENOR AL MINIMO", "OK"))</f>
        <v>OK</v>
      </c>
      <c r="I146" s="2">
        <f>IF(Tabla1[[#This Row],[EXISTENCIA ACTUAL]]=0,0,  IF(Tabla1[[#This Row],[EXISTENCIA ACTUAL]]&lt;Tabla1[[#This Row],[STOCK MINIMO]],1, 2))</f>
        <v>2</v>
      </c>
      <c r="J146" s="2">
        <v>5</v>
      </c>
      <c r="K146" s="21">
        <f>SUMIFS(Tabla2[CANTIDAD],Tabla2[PRODUCTO],Tabla1[[#This Row],[PRODUCTO]])</f>
        <v>50</v>
      </c>
      <c r="L146" s="2" t="s">
        <v>44</v>
      </c>
      <c r="M146" s="2"/>
    </row>
    <row r="147" spans="2:13" ht="30" hidden="1" customHeight="1" x14ac:dyDescent="0.25">
      <c r="B147" s="24" t="str">
        <f>E147&amp;"-"&amp;COUNTIF($E$8:E147,E147)</f>
        <v>HM-10</v>
      </c>
      <c r="C147" s="22" t="s">
        <v>328</v>
      </c>
      <c r="D147" s="22" t="s">
        <v>19</v>
      </c>
      <c r="E147" s="21" t="str">
        <f>IFERROR(VLOOKUP(D147,Hoja3!$A$2:$B$50,2,0),"")</f>
        <v>HM</v>
      </c>
      <c r="F147" s="2" t="s">
        <v>51</v>
      </c>
      <c r="G147" s="2" t="s">
        <v>39</v>
      </c>
      <c r="H147" s="20" t="str">
        <f>IF(Tabla1[[#This Row],[EXISTENCIA ACTUAL]]=0,"AGOTADO",  IF(Tabla1[[#This Row],[EXISTENCIA ACTUAL]]&lt;Tabla1[[#This Row],[STOCK MINIMO]],"MENOR AL MINIMO", "OK"))</f>
        <v>OK</v>
      </c>
      <c r="I147" s="2">
        <f>IF(Tabla1[[#This Row],[EXISTENCIA ACTUAL]]=0,0,  IF(Tabla1[[#This Row],[EXISTENCIA ACTUAL]]&lt;Tabla1[[#This Row],[STOCK MINIMO]],1, 2))</f>
        <v>2</v>
      </c>
      <c r="J147" s="2">
        <v>5</v>
      </c>
      <c r="K147" s="21">
        <f>SUMIFS(Tabla2[CANTIDAD],Tabla2[PRODUCTO],Tabla1[[#This Row],[PRODUCTO]])</f>
        <v>50</v>
      </c>
      <c r="L147" s="2" t="s">
        <v>44</v>
      </c>
      <c r="M147" s="2"/>
    </row>
    <row r="148" spans="2:13" ht="30" hidden="1" customHeight="1" x14ac:dyDescent="0.25">
      <c r="B148" s="24" t="str">
        <f>E148&amp;"-"&amp;COUNTIF($E$8:E148,E148)</f>
        <v>ULI-2</v>
      </c>
      <c r="C148" s="22" t="s">
        <v>329</v>
      </c>
      <c r="D148" s="22" t="s">
        <v>208</v>
      </c>
      <c r="E148" s="21" t="str">
        <f>IFERROR(VLOOKUP(D148,Hoja3!$A$2:$B$50,2,0),"")</f>
        <v>ULI</v>
      </c>
      <c r="F148" s="2" t="s">
        <v>51</v>
      </c>
      <c r="G148" s="2" t="s">
        <v>41</v>
      </c>
      <c r="H148" s="20" t="str">
        <f>IF(Tabla1[[#This Row],[EXISTENCIA ACTUAL]]=0,"AGOTADO",  IF(Tabla1[[#This Row],[EXISTENCIA ACTUAL]]&lt;Tabla1[[#This Row],[STOCK MINIMO]],"MENOR AL MINIMO", "OK"))</f>
        <v>OK</v>
      </c>
      <c r="I148" s="2">
        <f>IF(Tabla1[[#This Row],[EXISTENCIA ACTUAL]]=0,0,  IF(Tabla1[[#This Row],[EXISTENCIA ACTUAL]]&lt;Tabla1[[#This Row],[STOCK MINIMO]],1, 2))</f>
        <v>2</v>
      </c>
      <c r="J148" s="2">
        <v>1</v>
      </c>
      <c r="K148" s="21">
        <f>SUMIFS(Tabla2[CANTIDAD],Tabla2[PRODUCTO],Tabla1[[#This Row],[PRODUCTO]])</f>
        <v>1</v>
      </c>
      <c r="L148" s="2" t="s">
        <v>44</v>
      </c>
      <c r="M148" s="2"/>
    </row>
    <row r="149" spans="2:13" ht="30" hidden="1" customHeight="1" x14ac:dyDescent="0.25">
      <c r="B149" s="24" t="str">
        <f>E149&amp;"-"&amp;COUNTIF($E$8:E149,E149)</f>
        <v>ULI-3</v>
      </c>
      <c r="C149" s="22" t="s">
        <v>330</v>
      </c>
      <c r="D149" s="22" t="s">
        <v>208</v>
      </c>
      <c r="E149" s="21" t="str">
        <f>IFERROR(VLOOKUP(D149,Hoja3!$A$2:$B$50,2,0),"")</f>
        <v>ULI</v>
      </c>
      <c r="F149" s="2" t="s">
        <v>51</v>
      </c>
      <c r="G149" s="2" t="s">
        <v>40</v>
      </c>
      <c r="H149" s="20" t="str">
        <f>IF(Tabla1[[#This Row],[EXISTENCIA ACTUAL]]=0,"AGOTADO",  IF(Tabla1[[#This Row],[EXISTENCIA ACTUAL]]&lt;Tabla1[[#This Row],[STOCK MINIMO]],"MENOR AL MINIMO", "OK"))</f>
        <v>OK</v>
      </c>
      <c r="I149" s="2">
        <f>IF(Tabla1[[#This Row],[EXISTENCIA ACTUAL]]=0,0,  IF(Tabla1[[#This Row],[EXISTENCIA ACTUAL]]&lt;Tabla1[[#This Row],[STOCK MINIMO]],1, 2))</f>
        <v>2</v>
      </c>
      <c r="J149" s="2">
        <v>1</v>
      </c>
      <c r="K149" s="21">
        <f>SUMIFS(Tabla2[CANTIDAD],Tabla2[PRODUCTO],Tabla1[[#This Row],[PRODUCTO]])</f>
        <v>2</v>
      </c>
      <c r="L149" s="2" t="s">
        <v>44</v>
      </c>
      <c r="M149" s="2"/>
    </row>
    <row r="150" spans="2:13" ht="30" hidden="1" customHeight="1" x14ac:dyDescent="0.25">
      <c r="B150" s="24" t="str">
        <f>E150&amp;"-"&amp;COUNTIF($E$8:E150,E150)</f>
        <v>ULI-4</v>
      </c>
      <c r="C150" s="22" t="s">
        <v>331</v>
      </c>
      <c r="D150" s="22" t="s">
        <v>208</v>
      </c>
      <c r="E150" s="21" t="str">
        <f>IFERROR(VLOOKUP(D150,Hoja3!$A$2:$B$50,2,0),"")</f>
        <v>ULI</v>
      </c>
      <c r="F150" s="2" t="s">
        <v>51</v>
      </c>
      <c r="G150" s="2" t="s">
        <v>333</v>
      </c>
      <c r="H150" s="20" t="str">
        <f>IF(Tabla1[[#This Row],[EXISTENCIA ACTUAL]]=0,"AGOTADO",  IF(Tabla1[[#This Row],[EXISTENCIA ACTUAL]]&lt;Tabla1[[#This Row],[STOCK MINIMO]],"MENOR AL MINIMO", "OK"))</f>
        <v>OK</v>
      </c>
      <c r="I150" s="2">
        <f>IF(Tabla1[[#This Row],[EXISTENCIA ACTUAL]]=0,0,  IF(Tabla1[[#This Row],[EXISTENCIA ACTUAL]]&lt;Tabla1[[#This Row],[STOCK MINIMO]],1, 2))</f>
        <v>2</v>
      </c>
      <c r="J150" s="2">
        <v>1</v>
      </c>
      <c r="K150" s="21">
        <f>SUMIFS(Tabla2[CANTIDAD],Tabla2[PRODUCTO],Tabla1[[#This Row],[PRODUCTO]])</f>
        <v>2</v>
      </c>
      <c r="L150" s="2" t="s">
        <v>44</v>
      </c>
      <c r="M150" s="2"/>
    </row>
    <row r="151" spans="2:13" ht="30" hidden="1" customHeight="1" x14ac:dyDescent="0.25">
      <c r="B151" s="24" t="str">
        <f>E151&amp;"-"&amp;COUNTIF($E$8:E151,E151)</f>
        <v>ULI-5</v>
      </c>
      <c r="C151" s="22" t="s">
        <v>335</v>
      </c>
      <c r="D151" s="22" t="s">
        <v>208</v>
      </c>
      <c r="E151" s="21" t="str">
        <f>IFERROR(VLOOKUP(D151,Hoja3!$A$2:$B$50,2,0),"")</f>
        <v>ULI</v>
      </c>
      <c r="F151" s="2" t="s">
        <v>51</v>
      </c>
      <c r="G151" s="2" t="s">
        <v>40</v>
      </c>
      <c r="H151" s="20" t="str">
        <f>IF(Tabla1[[#This Row],[EXISTENCIA ACTUAL]]=0,"AGOTADO",  IF(Tabla1[[#This Row],[EXISTENCIA ACTUAL]]&lt;Tabla1[[#This Row],[STOCK MINIMO]],"MENOR AL MINIMO", "OK"))</f>
        <v>OK</v>
      </c>
      <c r="I151" s="2">
        <f>IF(Tabla1[[#This Row],[EXISTENCIA ACTUAL]]=0,0,  IF(Tabla1[[#This Row],[EXISTENCIA ACTUAL]]&lt;Tabla1[[#This Row],[STOCK MINIMO]],1, 2))</f>
        <v>2</v>
      </c>
      <c r="J151" s="2">
        <v>1</v>
      </c>
      <c r="K151" s="21">
        <f>SUMIFS(Tabla2[CANTIDAD],Tabla2[PRODUCTO],Tabla1[[#This Row],[PRODUCTO]])</f>
        <v>3</v>
      </c>
      <c r="L151" s="2" t="s">
        <v>44</v>
      </c>
      <c r="M151" s="2"/>
    </row>
    <row r="152" spans="2:13" ht="30" hidden="1" customHeight="1" x14ac:dyDescent="0.25">
      <c r="B152" s="24" t="str">
        <f>E152&amp;"-"&amp;COUNTIF($E$8:E152,E152)</f>
        <v>ISA-11</v>
      </c>
      <c r="C152" s="22" t="s">
        <v>336</v>
      </c>
      <c r="D152" s="22" t="s">
        <v>133</v>
      </c>
      <c r="E152" s="21" t="str">
        <f>IFERROR(VLOOKUP(D152,Hoja3!$A$2:$B$50,2,0),"")</f>
        <v>ISA</v>
      </c>
      <c r="F152" s="2" t="s">
        <v>51</v>
      </c>
      <c r="G152" s="2" t="s">
        <v>41</v>
      </c>
      <c r="H152" s="20" t="str">
        <f>IF(Tabla1[[#This Row],[EXISTENCIA ACTUAL]]=0,"AGOTADO",  IF(Tabla1[[#This Row],[EXISTENCIA ACTUAL]]&lt;Tabla1[[#This Row],[STOCK MINIMO]],"MENOR AL MINIMO", "OK"))</f>
        <v>OK</v>
      </c>
      <c r="I152" s="2">
        <f>IF(Tabla1[[#This Row],[EXISTENCIA ACTUAL]]=0,0,  IF(Tabla1[[#This Row],[EXISTENCIA ACTUAL]]&lt;Tabla1[[#This Row],[STOCK MINIMO]],1, 2))</f>
        <v>2</v>
      </c>
      <c r="J152" s="2">
        <v>1</v>
      </c>
      <c r="K152" s="21">
        <f>SUMIFS(Tabla2[CANTIDAD],Tabla2[PRODUCTO],Tabla1[[#This Row],[PRODUCTO]])</f>
        <v>1</v>
      </c>
      <c r="L152" s="2" t="s">
        <v>44</v>
      </c>
      <c r="M152" s="2"/>
    </row>
    <row r="153" spans="2:13" ht="30" hidden="1" customHeight="1" x14ac:dyDescent="0.25">
      <c r="B153" s="24" t="str">
        <f>E153&amp;"-"&amp;COUNTIF($E$8:E153,E153)</f>
        <v>HM-11</v>
      </c>
      <c r="C153" s="22" t="s">
        <v>337</v>
      </c>
      <c r="D153" s="22" t="s">
        <v>19</v>
      </c>
      <c r="E153" s="21" t="str">
        <f>IFERROR(VLOOKUP(D153,Hoja3!$A$2:$B$50,2,0),"")</f>
        <v>HM</v>
      </c>
      <c r="F153" s="2" t="s">
        <v>51</v>
      </c>
      <c r="G153" s="2" t="s">
        <v>38</v>
      </c>
      <c r="H153" s="20" t="str">
        <f>IF(Tabla1[[#This Row],[EXISTENCIA ACTUAL]]=0,"AGOTADO",  IF(Tabla1[[#This Row],[EXISTENCIA ACTUAL]]&lt;Tabla1[[#This Row],[STOCK MINIMO]],"MENOR AL MINIMO", "OK"))</f>
        <v>OK</v>
      </c>
      <c r="I153" s="2">
        <f>IF(Tabla1[[#This Row],[EXISTENCIA ACTUAL]]=0,0,  IF(Tabla1[[#This Row],[EXISTENCIA ACTUAL]]&lt;Tabla1[[#This Row],[STOCK MINIMO]],1, 2))</f>
        <v>2</v>
      </c>
      <c r="J153" s="2">
        <v>2</v>
      </c>
      <c r="K153" s="21">
        <f>SUMIFS(Tabla2[CANTIDAD],Tabla2[PRODUCTO],Tabla1[[#This Row],[PRODUCTO]])</f>
        <v>5</v>
      </c>
      <c r="L153" s="2" t="s">
        <v>45</v>
      </c>
      <c r="M153" s="2"/>
    </row>
    <row r="154" spans="2:13" ht="30" hidden="1" customHeight="1" x14ac:dyDescent="0.25">
      <c r="B154" s="24" t="str">
        <f>E154&amp;"-"&amp;COUNTIF($E$8:E154,E154)</f>
        <v>IS-37</v>
      </c>
      <c r="C154" s="22" t="s">
        <v>339</v>
      </c>
      <c r="D154" s="22" t="s">
        <v>24</v>
      </c>
      <c r="E154" s="21" t="str">
        <f>IFERROR(VLOOKUP(D154,Hoja3!$A$2:$B$50,2,0),"")</f>
        <v>IS</v>
      </c>
      <c r="F154" s="2" t="s">
        <v>51</v>
      </c>
      <c r="G154" s="2" t="s">
        <v>38</v>
      </c>
      <c r="H154" s="20" t="str">
        <f>IF(Tabla1[[#This Row],[EXISTENCIA ACTUAL]]=0,"AGOTADO",  IF(Tabla1[[#This Row],[EXISTENCIA ACTUAL]]&lt;Tabla1[[#This Row],[STOCK MINIMO]],"MENOR AL MINIMO", "OK"))</f>
        <v>AGOTADO</v>
      </c>
      <c r="I154" s="2">
        <f>IF(Tabla1[[#This Row],[EXISTENCIA ACTUAL]]=0,0,  IF(Tabla1[[#This Row],[EXISTENCIA ACTUAL]]&lt;Tabla1[[#This Row],[STOCK MINIMO]],1, 2))</f>
        <v>0</v>
      </c>
      <c r="J154" s="2">
        <v>1</v>
      </c>
      <c r="K154" s="21">
        <f>SUMIFS(Tabla2[CANTIDAD],Tabla2[PRODUCTO],Tabla1[[#This Row],[PRODUCTO]])</f>
        <v>0</v>
      </c>
      <c r="L154" s="2" t="s">
        <v>44</v>
      </c>
      <c r="M154" s="2" t="s">
        <v>47</v>
      </c>
    </row>
    <row r="155" spans="2:13" ht="30" hidden="1" customHeight="1" x14ac:dyDescent="0.25">
      <c r="B155" s="24" t="str">
        <f>E155&amp;"-"&amp;COUNTIF($E$8:E155,E155)</f>
        <v>IS-38</v>
      </c>
      <c r="C155" s="22" t="s">
        <v>341</v>
      </c>
      <c r="D155" s="22" t="s">
        <v>24</v>
      </c>
      <c r="E155" s="21" t="str">
        <f>IFERROR(VLOOKUP(D155,Hoja3!$A$2:$B$50,2,0),"")</f>
        <v>IS</v>
      </c>
      <c r="F155" s="2" t="s">
        <v>51</v>
      </c>
      <c r="G155" s="2" t="s">
        <v>38</v>
      </c>
      <c r="H155" s="20" t="str">
        <f>IF(Tabla1[[#This Row],[EXISTENCIA ACTUAL]]=0,"AGOTADO",  IF(Tabla1[[#This Row],[EXISTENCIA ACTUAL]]&lt;Tabla1[[#This Row],[STOCK MINIMO]],"MENOR AL MINIMO", "OK"))</f>
        <v>OK</v>
      </c>
      <c r="I155" s="2">
        <f>IF(Tabla1[[#This Row],[EXISTENCIA ACTUAL]]=0,0,  IF(Tabla1[[#This Row],[EXISTENCIA ACTUAL]]&lt;Tabla1[[#This Row],[STOCK MINIMO]],1, 2))</f>
        <v>2</v>
      </c>
      <c r="J155" s="2">
        <v>1</v>
      </c>
      <c r="K155" s="21">
        <f>SUMIFS(Tabla2[CANTIDAD],Tabla2[PRODUCTO],Tabla1[[#This Row],[PRODUCTO]])</f>
        <v>1</v>
      </c>
      <c r="L155" s="2" t="s">
        <v>45</v>
      </c>
      <c r="M155" s="2" t="s">
        <v>47</v>
      </c>
    </row>
    <row r="156" spans="2:13" ht="30" hidden="1" customHeight="1" x14ac:dyDescent="0.25">
      <c r="B156" s="24" t="str">
        <f>E156&amp;"-"&amp;COUNTIF($E$8:E156,E156)</f>
        <v>IS-39</v>
      </c>
      <c r="C156" s="22" t="s">
        <v>342</v>
      </c>
      <c r="D156" s="22" t="s">
        <v>24</v>
      </c>
      <c r="E156" s="21" t="str">
        <f>IFERROR(VLOOKUP(D156,Hoja3!$A$2:$B$50,2,0),"")</f>
        <v>IS</v>
      </c>
      <c r="F156" s="2" t="s">
        <v>51</v>
      </c>
      <c r="G156" s="2" t="s">
        <v>38</v>
      </c>
      <c r="H156" s="20" t="str">
        <f>IF(Tabla1[[#This Row],[EXISTENCIA ACTUAL]]=0,"AGOTADO",  IF(Tabla1[[#This Row],[EXISTENCIA ACTUAL]]&lt;Tabla1[[#This Row],[STOCK MINIMO]],"MENOR AL MINIMO", "OK"))</f>
        <v>OK</v>
      </c>
      <c r="I156" s="2">
        <f>IF(Tabla1[[#This Row],[EXISTENCIA ACTUAL]]=0,0,  IF(Tabla1[[#This Row],[EXISTENCIA ACTUAL]]&lt;Tabla1[[#This Row],[STOCK MINIMO]],1, 2))</f>
        <v>2</v>
      </c>
      <c r="J156" s="2">
        <v>1</v>
      </c>
      <c r="K156" s="21">
        <f>SUMIFS(Tabla2[CANTIDAD],Tabla2[PRODUCTO],Tabla1[[#This Row],[PRODUCTO]])</f>
        <v>2</v>
      </c>
      <c r="L156" s="2" t="s">
        <v>45</v>
      </c>
      <c r="M156" s="2" t="s">
        <v>47</v>
      </c>
    </row>
    <row r="157" spans="2:13" ht="30" hidden="1" customHeight="1" x14ac:dyDescent="0.25">
      <c r="B157" s="24" t="str">
        <f>E157&amp;"-"&amp;COUNTIF($E$8:E157,E157)</f>
        <v>HM-12</v>
      </c>
      <c r="C157" s="22" t="s">
        <v>343</v>
      </c>
      <c r="D157" s="22" t="s">
        <v>19</v>
      </c>
      <c r="E157" s="21" t="str">
        <f>IFERROR(VLOOKUP(D157,Hoja3!$A$2:$B$50,2,0),"")</f>
        <v>HM</v>
      </c>
      <c r="F157" s="2" t="s">
        <v>51</v>
      </c>
      <c r="G157" s="2" t="s">
        <v>38</v>
      </c>
      <c r="H157" s="20" t="str">
        <f>IF(Tabla1[[#This Row],[EXISTENCIA ACTUAL]]=0,"AGOTADO",  IF(Tabla1[[#This Row],[EXISTENCIA ACTUAL]]&lt;Tabla1[[#This Row],[STOCK MINIMO]],"MENOR AL MINIMO", "OK"))</f>
        <v>OK</v>
      </c>
      <c r="I157" s="2">
        <f>IF(Tabla1[[#This Row],[EXISTENCIA ACTUAL]]=0,0,  IF(Tabla1[[#This Row],[EXISTENCIA ACTUAL]]&lt;Tabla1[[#This Row],[STOCK MINIMO]],1, 2))</f>
        <v>2</v>
      </c>
      <c r="J157" s="2">
        <v>1</v>
      </c>
      <c r="K157" s="21">
        <f>SUMIFS(Tabla2[CANTIDAD],Tabla2[PRODUCTO],Tabla1[[#This Row],[PRODUCTO]])</f>
        <v>1</v>
      </c>
      <c r="L157" s="2" t="s">
        <v>44</v>
      </c>
      <c r="M157" s="2" t="s">
        <v>47</v>
      </c>
    </row>
    <row r="158" spans="2:13" ht="30" hidden="1" customHeight="1" x14ac:dyDescent="0.25">
      <c r="B158" s="24" t="str">
        <f>E158&amp;"-"&amp;COUNTIF($E$8:E158,E158)</f>
        <v>HM-13</v>
      </c>
      <c r="C158" s="22" t="s">
        <v>344</v>
      </c>
      <c r="D158" s="22" t="s">
        <v>19</v>
      </c>
      <c r="E158" s="21" t="str">
        <f>IFERROR(VLOOKUP(D158,Hoja3!$A$2:$B$50,2,0),"")</f>
        <v>HM</v>
      </c>
      <c r="F158" s="2" t="s">
        <v>51</v>
      </c>
      <c r="G158" s="2" t="s">
        <v>38</v>
      </c>
      <c r="H158" s="20" t="str">
        <f>IF(Tabla1[[#This Row],[EXISTENCIA ACTUAL]]=0,"AGOTADO",  IF(Tabla1[[#This Row],[EXISTENCIA ACTUAL]]&lt;Tabla1[[#This Row],[STOCK MINIMO]],"MENOR AL MINIMO", "OK"))</f>
        <v>OK</v>
      </c>
      <c r="I158" s="2">
        <f>IF(Tabla1[[#This Row],[EXISTENCIA ACTUAL]]=0,0,  IF(Tabla1[[#This Row],[EXISTENCIA ACTUAL]]&lt;Tabla1[[#This Row],[STOCK MINIMO]],1, 2))</f>
        <v>2</v>
      </c>
      <c r="J158" s="2">
        <v>1</v>
      </c>
      <c r="K158" s="21">
        <f>SUMIFS(Tabla2[CANTIDAD],Tabla2[PRODUCTO],Tabla1[[#This Row],[PRODUCTO]])</f>
        <v>2</v>
      </c>
      <c r="L158" s="2" t="s">
        <v>44</v>
      </c>
      <c r="M158" s="2" t="s">
        <v>47</v>
      </c>
    </row>
    <row r="159" spans="2:13" ht="30" hidden="1" customHeight="1" x14ac:dyDescent="0.25">
      <c r="B159" s="24" t="str">
        <f>E159&amp;"-"&amp;COUNTIF($E$8:E159,E159)</f>
        <v>UTC-3</v>
      </c>
      <c r="C159" s="22" t="s">
        <v>345</v>
      </c>
      <c r="D159" s="22" t="s">
        <v>144</v>
      </c>
      <c r="E159" s="21" t="str">
        <f>IFERROR(VLOOKUP(D159,Hoja3!$A$2:$B$50,2,0),"")</f>
        <v>UTC</v>
      </c>
      <c r="F159" s="2" t="s">
        <v>51</v>
      </c>
      <c r="G159" s="2" t="s">
        <v>38</v>
      </c>
      <c r="H159" s="20" t="str">
        <f>IF(Tabla1[[#This Row],[EXISTENCIA ACTUAL]]=0,"AGOTADO",  IF(Tabla1[[#This Row],[EXISTENCIA ACTUAL]]&lt;Tabla1[[#This Row],[STOCK MINIMO]],"MENOR AL MINIMO", "OK"))</f>
        <v>OK</v>
      </c>
      <c r="I159" s="2">
        <f>IF(Tabla1[[#This Row],[EXISTENCIA ACTUAL]]=0,0,  IF(Tabla1[[#This Row],[EXISTENCIA ACTUAL]]&lt;Tabla1[[#This Row],[STOCK MINIMO]],1, 2))</f>
        <v>2</v>
      </c>
      <c r="J159" s="2">
        <v>2</v>
      </c>
      <c r="K159" s="21">
        <f>SUMIFS(Tabla2[CANTIDAD],Tabla2[PRODUCTO],Tabla1[[#This Row],[PRODUCTO]])</f>
        <v>33</v>
      </c>
      <c r="L159" s="2" t="s">
        <v>44</v>
      </c>
      <c r="M159" s="2" t="s">
        <v>47</v>
      </c>
    </row>
    <row r="160" spans="2:13" ht="30" hidden="1" customHeight="1" x14ac:dyDescent="0.25">
      <c r="B160" s="24" t="str">
        <f>E160&amp;"-"&amp;COUNTIF($E$8:E160,E160)</f>
        <v>UTC-4</v>
      </c>
      <c r="C160" s="22" t="s">
        <v>346</v>
      </c>
      <c r="D160" s="22" t="s">
        <v>144</v>
      </c>
      <c r="E160" s="21" t="str">
        <f>IFERROR(VLOOKUP(D160,Hoja3!$A$2:$B$50,2,0),"")</f>
        <v>UTC</v>
      </c>
      <c r="F160" s="2" t="s">
        <v>51</v>
      </c>
      <c r="G160" s="2" t="s">
        <v>38</v>
      </c>
      <c r="H160" s="20" t="str">
        <f>IF(Tabla1[[#This Row],[EXISTENCIA ACTUAL]]=0,"AGOTADO",  IF(Tabla1[[#This Row],[EXISTENCIA ACTUAL]]&lt;Tabla1[[#This Row],[STOCK MINIMO]],"MENOR AL MINIMO", "OK"))</f>
        <v>OK</v>
      </c>
      <c r="I160" s="2">
        <f>IF(Tabla1[[#This Row],[EXISTENCIA ACTUAL]]=0,0,  IF(Tabla1[[#This Row],[EXISTENCIA ACTUAL]]&lt;Tabla1[[#This Row],[STOCK MINIMO]],1, 2))</f>
        <v>2</v>
      </c>
      <c r="J160" s="2">
        <v>2</v>
      </c>
      <c r="K160" s="21">
        <f>SUMIFS(Tabla2[CANTIDAD],Tabla2[PRODUCTO],Tabla1[[#This Row],[PRODUCTO]])</f>
        <v>16</v>
      </c>
      <c r="L160" s="2" t="s">
        <v>44</v>
      </c>
      <c r="M160" s="2" t="s">
        <v>47</v>
      </c>
    </row>
    <row r="161" spans="2:15" ht="30" customHeight="1" x14ac:dyDescent="0.25">
      <c r="B161" s="24" t="str">
        <f>E161&amp;"-"&amp;COUNTIF($E$8:E161,E161)</f>
        <v>AF-3</v>
      </c>
      <c r="C161" s="22" t="s">
        <v>347</v>
      </c>
      <c r="D161" s="22" t="s">
        <v>91</v>
      </c>
      <c r="E161" s="21" t="str">
        <f>IFERROR(VLOOKUP(D161,Hoja3!$A$2:$B$50,2,0),"")</f>
        <v>AF</v>
      </c>
      <c r="F161" s="2" t="s">
        <v>51</v>
      </c>
      <c r="G161" s="2" t="s">
        <v>38</v>
      </c>
      <c r="H161" s="20" t="str">
        <f>IF(Tabla1[[#This Row],[EXISTENCIA ACTUAL]]=0,"AGOTADO",  IF(Tabla1[[#This Row],[EXISTENCIA ACTUAL]]&lt;Tabla1[[#This Row],[STOCK MINIMO]],"MENOR AL MINIMO", "OK"))</f>
        <v>OK</v>
      </c>
      <c r="I161" s="2">
        <f>IF(Tabla1[[#This Row],[EXISTENCIA ACTUAL]]=0,0,  IF(Tabla1[[#This Row],[EXISTENCIA ACTUAL]]&lt;Tabla1[[#This Row],[STOCK MINIMO]],1, 2))</f>
        <v>2</v>
      </c>
      <c r="J161" s="2">
        <v>50</v>
      </c>
      <c r="K161" s="21">
        <f>SUMIFS(Tabla2[CANTIDAD],Tabla2[PRODUCTO],Tabla1[[#This Row],[PRODUCTO]])</f>
        <v>2350</v>
      </c>
      <c r="L161" s="2" t="s">
        <v>44</v>
      </c>
      <c r="M161" s="2" t="s">
        <v>47</v>
      </c>
      <c r="O161" t="s">
        <v>348</v>
      </c>
    </row>
    <row r="162" spans="2:15" ht="30" customHeight="1" x14ac:dyDescent="0.25">
      <c r="B162" s="24" t="str">
        <f>E162&amp;"-"&amp;COUNTIF($E$8:E162,E162)</f>
        <v>AF-4</v>
      </c>
      <c r="C162" s="22" t="s">
        <v>349</v>
      </c>
      <c r="D162" s="22" t="s">
        <v>91</v>
      </c>
      <c r="E162" s="21" t="str">
        <f>IFERROR(VLOOKUP(D162,Hoja3!$A$2:$B$50,2,0),"")</f>
        <v>AF</v>
      </c>
      <c r="F162" s="2" t="s">
        <v>51</v>
      </c>
      <c r="G162" s="2" t="s">
        <v>38</v>
      </c>
      <c r="H162" s="20" t="str">
        <f>IF(Tabla1[[#This Row],[EXISTENCIA ACTUAL]]=0,"AGOTADO",  IF(Tabla1[[#This Row],[EXISTENCIA ACTUAL]]&lt;Tabla1[[#This Row],[STOCK MINIMO]],"MENOR AL MINIMO", "OK"))</f>
        <v>OK</v>
      </c>
      <c r="I162" s="2">
        <f>IF(Tabla1[[#This Row],[EXISTENCIA ACTUAL]]=0,0,  IF(Tabla1[[#This Row],[EXISTENCIA ACTUAL]]&lt;Tabla1[[#This Row],[STOCK MINIMO]],1, 2))</f>
        <v>2</v>
      </c>
      <c r="J162" s="2">
        <v>50</v>
      </c>
      <c r="K162" s="21">
        <f>SUMIFS(Tabla2[CANTIDAD],Tabla2[PRODUCTO],Tabla1[[#This Row],[PRODUCTO]])</f>
        <v>1783</v>
      </c>
      <c r="L162" s="2" t="s">
        <v>44</v>
      </c>
      <c r="M162" s="2" t="s">
        <v>47</v>
      </c>
      <c r="O162" t="s">
        <v>350</v>
      </c>
    </row>
    <row r="163" spans="2:15" ht="30" customHeight="1" x14ac:dyDescent="0.25">
      <c r="B163" s="24" t="str">
        <f>E163&amp;"-"&amp;COUNTIF($E$8:E163,E163)</f>
        <v>AF-5</v>
      </c>
      <c r="C163" s="22" t="s">
        <v>351</v>
      </c>
      <c r="D163" s="22" t="s">
        <v>91</v>
      </c>
      <c r="E163" s="21" t="str">
        <f>IFERROR(VLOOKUP(D163,Hoja3!$A$2:$B$50,2,0),"")</f>
        <v>AF</v>
      </c>
      <c r="F163" s="2" t="s">
        <v>51</v>
      </c>
      <c r="G163" s="2" t="s">
        <v>38</v>
      </c>
      <c r="H163" s="20" t="str">
        <f>IF(Tabla1[[#This Row],[EXISTENCIA ACTUAL]]=0,"AGOTADO",  IF(Tabla1[[#This Row],[EXISTENCIA ACTUAL]]&lt;Tabla1[[#This Row],[STOCK MINIMO]],"MENOR AL MINIMO", "OK"))</f>
        <v>OK</v>
      </c>
      <c r="I163" s="2">
        <f>IF(Tabla1[[#This Row],[EXISTENCIA ACTUAL]]=0,0,  IF(Tabla1[[#This Row],[EXISTENCIA ACTUAL]]&lt;Tabla1[[#This Row],[STOCK MINIMO]],1, 2))</f>
        <v>2</v>
      </c>
      <c r="J163" s="2">
        <v>50</v>
      </c>
      <c r="K163" s="21">
        <f>SUMIFS(Tabla2[CANTIDAD],Tabla2[PRODUCTO],Tabla1[[#This Row],[PRODUCTO]])</f>
        <v>2424</v>
      </c>
      <c r="L163" s="2" t="s">
        <v>44</v>
      </c>
      <c r="M163" s="2" t="s">
        <v>47</v>
      </c>
      <c r="O163" t="s">
        <v>348</v>
      </c>
    </row>
    <row r="164" spans="2:15" ht="30" customHeight="1" x14ac:dyDescent="0.25">
      <c r="B164" s="24" t="str">
        <f>E164&amp;"-"&amp;COUNTIF($E$8:E164,E164)</f>
        <v>AGU-1</v>
      </c>
      <c r="C164" s="22" t="s">
        <v>357</v>
      </c>
      <c r="D164" s="22" t="s">
        <v>355</v>
      </c>
      <c r="E164" s="21" t="str">
        <f>IFERROR(VLOOKUP(D164,Hoja3!$A$2:$B$50,2,0),"")</f>
        <v>AGU</v>
      </c>
      <c r="F164" s="2" t="s">
        <v>51</v>
      </c>
      <c r="G164" s="2" t="s">
        <v>38</v>
      </c>
      <c r="H164" s="20" t="str">
        <f>IF(Tabla1[[#This Row],[EXISTENCIA ACTUAL]]=0,"AGOTADO",  IF(Tabla1[[#This Row],[EXISTENCIA ACTUAL]]&lt;Tabla1[[#This Row],[STOCK MINIMO]],"MENOR AL MINIMO", "OK"))</f>
        <v>OK</v>
      </c>
      <c r="I164" s="2">
        <f>IF(Tabla1[[#This Row],[EXISTENCIA ACTUAL]]=0,0,  IF(Tabla1[[#This Row],[EXISTENCIA ACTUAL]]&lt;Tabla1[[#This Row],[STOCK MINIMO]],1, 2))</f>
        <v>2</v>
      </c>
      <c r="J164" s="2">
        <v>5</v>
      </c>
      <c r="K164" s="21">
        <f>SUMIFS(Tabla2[CANTIDAD],Tabla2[PRODUCTO],Tabla1[[#This Row],[PRODUCTO]])</f>
        <v>9</v>
      </c>
      <c r="L164" s="2" t="s">
        <v>44</v>
      </c>
      <c r="M164" s="2" t="s">
        <v>47</v>
      </c>
      <c r="O164" t="s">
        <v>6</v>
      </c>
    </row>
    <row r="165" spans="2:15" ht="30" customHeight="1" x14ac:dyDescent="0.25">
      <c r="B165" s="24" t="str">
        <f>E165&amp;"-"&amp;COUNTIF($E$8:E165,E165)</f>
        <v>OTR-6</v>
      </c>
      <c r="C165" s="22" t="s">
        <v>358</v>
      </c>
      <c r="D165" s="22" t="s">
        <v>148</v>
      </c>
      <c r="E165" s="21" t="str">
        <f>IFERROR(VLOOKUP(D165,Hoja3!$A$2:$B$50,2,0),"")</f>
        <v>OTR</v>
      </c>
      <c r="F165" s="2" t="s">
        <v>51</v>
      </c>
      <c r="G165" s="2" t="s">
        <v>38</v>
      </c>
      <c r="H165" s="20" t="str">
        <f>IF(Tabla1[[#This Row],[EXISTENCIA ACTUAL]]=0,"AGOTADO",  IF(Tabla1[[#This Row],[EXISTENCIA ACTUAL]]&lt;Tabla1[[#This Row],[STOCK MINIMO]],"MENOR AL MINIMO", "OK"))</f>
        <v>OK</v>
      </c>
      <c r="I165" s="2">
        <f>IF(Tabla1[[#This Row],[EXISTENCIA ACTUAL]]=0,0,  IF(Tabla1[[#This Row],[EXISTENCIA ACTUAL]]&lt;Tabla1[[#This Row],[STOCK MINIMO]],1, 2))</f>
        <v>2</v>
      </c>
      <c r="J165" s="2">
        <v>1</v>
      </c>
      <c r="K165" s="21">
        <f>SUMIFS(Tabla2[CANTIDAD],Tabla2[PRODUCTO],Tabla1[[#This Row],[PRODUCTO]])</f>
        <v>2</v>
      </c>
      <c r="L165" s="2" t="s">
        <v>44</v>
      </c>
      <c r="M165" s="2" t="s">
        <v>47</v>
      </c>
      <c r="O165" t="s">
        <v>6</v>
      </c>
    </row>
    <row r="166" spans="2:15" ht="30" customHeight="1" x14ac:dyDescent="0.25">
      <c r="B166" s="24" t="str">
        <f>E166&amp;"-"&amp;COUNTIF($E$8:E166,E166)</f>
        <v>CAR-2</v>
      </c>
      <c r="C166" s="22" t="s">
        <v>367</v>
      </c>
      <c r="D166" s="22" t="s">
        <v>18</v>
      </c>
      <c r="E166" s="21" t="str">
        <f>IFERROR(VLOOKUP(D166,Hoja3!$A$2:$B$50,2,0),"")</f>
        <v>CAR</v>
      </c>
      <c r="F166" s="2" t="s">
        <v>51</v>
      </c>
      <c r="G166" s="2" t="s">
        <v>38</v>
      </c>
      <c r="H166" s="20" t="str">
        <f>IF(Tabla1[[#This Row],[EXISTENCIA ACTUAL]]=0,"AGOTADO",  IF(Tabla1[[#This Row],[EXISTENCIA ACTUAL]]&lt;Tabla1[[#This Row],[STOCK MINIMO]],"MENOR AL MINIMO", "OK"))</f>
        <v>OK</v>
      </c>
      <c r="I166" s="2">
        <f>IF(Tabla1[[#This Row],[EXISTENCIA ACTUAL]]=0,0,  IF(Tabla1[[#This Row],[EXISTENCIA ACTUAL]]&lt;Tabla1[[#This Row],[STOCK MINIMO]],1, 2))</f>
        <v>2</v>
      </c>
      <c r="J166" s="2">
        <v>10</v>
      </c>
      <c r="K166" s="21">
        <f>SUMIFS(Tabla2[CANTIDAD],Tabla2[PRODUCTO],Tabla1[[#This Row],[PRODUCTO]])</f>
        <v>50</v>
      </c>
      <c r="L166" s="2" t="s">
        <v>44</v>
      </c>
      <c r="M166" s="2" t="s">
        <v>47</v>
      </c>
      <c r="O166" t="s">
        <v>18</v>
      </c>
    </row>
    <row r="167" spans="2:15" ht="30" customHeight="1" x14ac:dyDescent="0.25">
      <c r="B167" s="24" t="str">
        <f>E167&amp;"-"&amp;COUNTIF($E$8:E167,E167)</f>
        <v>UE-57</v>
      </c>
      <c r="C167" s="22" t="s">
        <v>368</v>
      </c>
      <c r="D167" s="22" t="s">
        <v>21</v>
      </c>
      <c r="E167" s="21" t="str">
        <f>IFERROR(VLOOKUP(D167,Hoja3!$A$2:$B$50,2,0),"")</f>
        <v>UE</v>
      </c>
      <c r="F167" s="2" t="s">
        <v>51</v>
      </c>
      <c r="G167" s="2" t="s">
        <v>38</v>
      </c>
      <c r="H167" s="20" t="str">
        <f>IF(Tabla1[[#This Row],[EXISTENCIA ACTUAL]]=0,"AGOTADO",  IF(Tabla1[[#This Row],[EXISTENCIA ACTUAL]]&lt;Tabla1[[#This Row],[STOCK MINIMO]],"MENOR AL MINIMO", "OK"))</f>
        <v>OK</v>
      </c>
      <c r="I167" s="2">
        <f>IF(Tabla1[[#This Row],[EXISTENCIA ACTUAL]]=0,0,  IF(Tabla1[[#This Row],[EXISTENCIA ACTUAL]]&lt;Tabla1[[#This Row],[STOCK MINIMO]],1, 2))</f>
        <v>2</v>
      </c>
      <c r="J167" s="2">
        <v>5</v>
      </c>
      <c r="K167" s="21">
        <f>SUMIFS(Tabla2[CANTIDAD],Tabla2[PRODUCTO],Tabla1[[#This Row],[PRODUCTO]])</f>
        <v>13</v>
      </c>
      <c r="L167" s="2" t="s">
        <v>44</v>
      </c>
      <c r="M167" s="2" t="s">
        <v>47</v>
      </c>
      <c r="O167" t="s">
        <v>366</v>
      </c>
    </row>
    <row r="168" spans="2:15" ht="30" hidden="1" customHeight="1" x14ac:dyDescent="0.25">
      <c r="B168" s="24" t="str">
        <f>E168&amp;"-"&amp;COUNTIF($E$8:E168,E168)</f>
        <v>OTR-7</v>
      </c>
      <c r="C168" s="22" t="s">
        <v>369</v>
      </c>
      <c r="D168" s="22" t="s">
        <v>148</v>
      </c>
      <c r="E168" s="21" t="str">
        <f>IFERROR(VLOOKUP(D168,Hoja3!$A$2:$B$50,2,0),"")</f>
        <v>OTR</v>
      </c>
      <c r="F168" s="2" t="s">
        <v>51</v>
      </c>
      <c r="G168" s="2" t="s">
        <v>39</v>
      </c>
      <c r="H168" s="20" t="str">
        <f>IF(Tabla1[[#This Row],[EXISTENCIA ACTUAL]]=0,"AGOTADO",  IF(Tabla1[[#This Row],[EXISTENCIA ACTUAL]]&lt;Tabla1[[#This Row],[STOCK MINIMO]],"MENOR AL MINIMO", "OK"))</f>
        <v>OK</v>
      </c>
      <c r="I168" s="2">
        <f>IF(Tabla1[[#This Row],[EXISTENCIA ACTUAL]]=0,0,  IF(Tabla1[[#This Row],[EXISTENCIA ACTUAL]]&lt;Tabla1[[#This Row],[STOCK MINIMO]],1, 2))</f>
        <v>2</v>
      </c>
      <c r="J168" s="2">
        <v>5</v>
      </c>
      <c r="K168" s="21">
        <f>SUMIFS(Tabla2[CANTIDAD],Tabla2[PRODUCTO],Tabla1[[#This Row],[PRODUCTO]])</f>
        <v>50</v>
      </c>
      <c r="L168" s="2" t="s">
        <v>44</v>
      </c>
      <c r="M168" s="2" t="s">
        <v>47</v>
      </c>
    </row>
    <row r="169" spans="2:15" ht="30" hidden="1" customHeight="1" x14ac:dyDescent="0.25">
      <c r="B169" s="24" t="str">
        <f>E169&amp;"-"&amp;COUNTIF($E$8:E169,E169)</f>
        <v>HM-14</v>
      </c>
      <c r="C169" s="22" t="s">
        <v>370</v>
      </c>
      <c r="D169" s="22" t="s">
        <v>19</v>
      </c>
      <c r="E169" s="21" t="str">
        <f>IFERROR(VLOOKUP(D169,Hoja3!$A$2:$B$50,2,0),"")</f>
        <v>HM</v>
      </c>
      <c r="F169" s="2" t="s">
        <v>51</v>
      </c>
      <c r="G169" s="2" t="s">
        <v>38</v>
      </c>
      <c r="H169" s="20" t="str">
        <f>IF(Tabla1[[#This Row],[EXISTENCIA ACTUAL]]=0,"AGOTADO",  IF(Tabla1[[#This Row],[EXISTENCIA ACTUAL]]&lt;Tabla1[[#This Row],[STOCK MINIMO]],"MENOR AL MINIMO", "OK"))</f>
        <v>OK</v>
      </c>
      <c r="I169" s="2">
        <f>IF(Tabla1[[#This Row],[EXISTENCIA ACTUAL]]=0,0,  IF(Tabla1[[#This Row],[EXISTENCIA ACTUAL]]&lt;Tabla1[[#This Row],[STOCK MINIMO]],1, 2))</f>
        <v>2</v>
      </c>
      <c r="J169" s="2">
        <v>1</v>
      </c>
      <c r="K169" s="21">
        <f>SUMIFS(Tabla2[CANTIDAD],Tabla2[PRODUCTO],Tabla1[[#This Row],[PRODUCTO]])</f>
        <v>1</v>
      </c>
      <c r="L169" s="2" t="s">
        <v>45</v>
      </c>
      <c r="M169" s="2" t="s">
        <v>47</v>
      </c>
    </row>
    <row r="170" spans="2:15" ht="30" hidden="1" customHeight="1" x14ac:dyDescent="0.25">
      <c r="B170" s="24" t="str">
        <f>E170&amp;"-"&amp;COUNTIF($E$8:E170,E170)</f>
        <v>HM-15</v>
      </c>
      <c r="C170" s="22" t="s">
        <v>371</v>
      </c>
      <c r="D170" s="22" t="s">
        <v>19</v>
      </c>
      <c r="E170" s="21" t="str">
        <f>IFERROR(VLOOKUP(D170,Hoja3!$A$2:$B$50,2,0),"")</f>
        <v>HM</v>
      </c>
      <c r="F170" s="2" t="s">
        <v>51</v>
      </c>
      <c r="G170" s="2" t="s">
        <v>38</v>
      </c>
      <c r="H170" s="20" t="str">
        <f>IF(Tabla1[[#This Row],[EXISTENCIA ACTUAL]]=0,"AGOTADO",  IF(Tabla1[[#This Row],[EXISTENCIA ACTUAL]]&lt;Tabla1[[#This Row],[STOCK MINIMO]],"MENOR AL MINIMO", "OK"))</f>
        <v>OK</v>
      </c>
      <c r="I170" s="2">
        <f>IF(Tabla1[[#This Row],[EXISTENCIA ACTUAL]]=0,0,  IF(Tabla1[[#This Row],[EXISTENCIA ACTUAL]]&lt;Tabla1[[#This Row],[STOCK MINIMO]],1, 2))</f>
        <v>2</v>
      </c>
      <c r="J170" s="2">
        <v>1</v>
      </c>
      <c r="K170" s="21">
        <f>SUMIFS(Tabla2[CANTIDAD],Tabla2[PRODUCTO],Tabla1[[#This Row],[PRODUCTO]])</f>
        <v>1</v>
      </c>
      <c r="L170" s="2" t="s">
        <v>45</v>
      </c>
      <c r="M170" s="2" t="s">
        <v>47</v>
      </c>
    </row>
    <row r="171" spans="2:15" ht="30" hidden="1" customHeight="1" x14ac:dyDescent="0.25">
      <c r="B171" s="24" t="str">
        <f>E171&amp;"-"&amp;COUNTIF($E$8:E171,E171)</f>
        <v>HM-16</v>
      </c>
      <c r="C171" s="22" t="s">
        <v>372</v>
      </c>
      <c r="D171" s="22" t="s">
        <v>19</v>
      </c>
      <c r="E171" s="21" t="str">
        <f>IFERROR(VLOOKUP(D171,Hoja3!$A$2:$B$50,2,0),"")</f>
        <v>HM</v>
      </c>
      <c r="F171" s="2" t="s">
        <v>51</v>
      </c>
      <c r="G171" s="2" t="s">
        <v>38</v>
      </c>
      <c r="H171" s="20" t="str">
        <f>IF(Tabla1[[#This Row],[EXISTENCIA ACTUAL]]=0,"AGOTADO",  IF(Tabla1[[#This Row],[EXISTENCIA ACTUAL]]&lt;Tabla1[[#This Row],[STOCK MINIMO]],"MENOR AL MINIMO", "OK"))</f>
        <v>OK</v>
      </c>
      <c r="I171" s="2">
        <f>IF(Tabla1[[#This Row],[EXISTENCIA ACTUAL]]=0,0,  IF(Tabla1[[#This Row],[EXISTENCIA ACTUAL]]&lt;Tabla1[[#This Row],[STOCK MINIMO]],1, 2))</f>
        <v>2</v>
      </c>
      <c r="J171" s="2">
        <v>1</v>
      </c>
      <c r="K171" s="21">
        <f>SUMIFS(Tabla2[CANTIDAD],Tabla2[PRODUCTO],Tabla1[[#This Row],[PRODUCTO]])</f>
        <v>1</v>
      </c>
      <c r="L171" s="2" t="s">
        <v>45</v>
      </c>
      <c r="M171" s="2" t="s">
        <v>47</v>
      </c>
    </row>
    <row r="172" spans="2:15" ht="30" hidden="1" customHeight="1" x14ac:dyDescent="0.25">
      <c r="B172" s="24" t="str">
        <f>E172&amp;"-"&amp;COUNTIF($E$8:E172,E172)</f>
        <v>IE-11</v>
      </c>
      <c r="C172" s="22" t="s">
        <v>373</v>
      </c>
      <c r="D172" s="22" t="s">
        <v>27</v>
      </c>
      <c r="E172" s="21" t="str">
        <f>IFERROR(VLOOKUP(D172,Hoja3!$A$2:$B$50,2,0),"")</f>
        <v>IE</v>
      </c>
      <c r="F172" s="2" t="s">
        <v>51</v>
      </c>
      <c r="G172" s="2" t="s">
        <v>38</v>
      </c>
      <c r="H172" s="20" t="str">
        <f>IF(Tabla1[[#This Row],[EXISTENCIA ACTUAL]]=0,"AGOTADO",  IF(Tabla1[[#This Row],[EXISTENCIA ACTUAL]]&lt;Tabla1[[#This Row],[STOCK MINIMO]],"MENOR AL MINIMO", "OK"))</f>
        <v>OK</v>
      </c>
      <c r="I172" s="2">
        <f>IF(Tabla1[[#This Row],[EXISTENCIA ACTUAL]]=0,0,  IF(Tabla1[[#This Row],[EXISTENCIA ACTUAL]]&lt;Tabla1[[#This Row],[STOCK MINIMO]],1, 2))</f>
        <v>2</v>
      </c>
      <c r="J172" s="2">
        <v>20</v>
      </c>
      <c r="K172" s="21">
        <f>SUMIFS(Tabla2[CANTIDAD],Tabla2[PRODUCTO],Tabla1[[#This Row],[PRODUCTO]])</f>
        <v>100</v>
      </c>
      <c r="L172" s="2" t="s">
        <v>44</v>
      </c>
      <c r="M172" s="2" t="s">
        <v>47</v>
      </c>
    </row>
    <row r="173" spans="2:15" ht="30" hidden="1" customHeight="1" x14ac:dyDescent="0.25">
      <c r="B173" s="24" t="str">
        <f>E173&amp;"-"&amp;COUNTIF($E$8:E173,E173)</f>
        <v>IE-12</v>
      </c>
      <c r="C173" s="22" t="s">
        <v>374</v>
      </c>
      <c r="D173" s="22" t="s">
        <v>27</v>
      </c>
      <c r="E173" s="21" t="str">
        <f>IFERROR(VLOOKUP(D173,Hoja3!$A$2:$B$50,2,0),"")</f>
        <v>IE</v>
      </c>
      <c r="F173" s="2" t="s">
        <v>51</v>
      </c>
      <c r="G173" s="2" t="s">
        <v>39</v>
      </c>
      <c r="H173" s="20" t="str">
        <f>IF(Tabla1[[#This Row],[EXISTENCIA ACTUAL]]=0,"AGOTADO",  IF(Tabla1[[#This Row],[EXISTENCIA ACTUAL]]&lt;Tabla1[[#This Row],[STOCK MINIMO]],"MENOR AL MINIMO", "OK"))</f>
        <v>OK</v>
      </c>
      <c r="I173" s="2">
        <f>IF(Tabla1[[#This Row],[EXISTENCIA ACTUAL]]=0,0,  IF(Tabla1[[#This Row],[EXISTENCIA ACTUAL]]&lt;Tabla1[[#This Row],[STOCK MINIMO]],1, 2))</f>
        <v>2</v>
      </c>
      <c r="J173" s="2">
        <v>10</v>
      </c>
      <c r="K173" s="21">
        <f>SUMIFS(Tabla2[CANTIDAD],Tabla2[PRODUCTO],Tabla1[[#This Row],[PRODUCTO]])</f>
        <v>56</v>
      </c>
      <c r="L173" s="2" t="s">
        <v>44</v>
      </c>
      <c r="M173" s="2" t="s">
        <v>47</v>
      </c>
    </row>
    <row r="174" spans="2:15" ht="30" hidden="1" customHeight="1" x14ac:dyDescent="0.25">
      <c r="B174" s="24" t="str">
        <f>E174&amp;"-"&amp;COUNTIF($E$8:E174,E174)</f>
        <v>HM-17</v>
      </c>
      <c r="C174" s="22" t="s">
        <v>377</v>
      </c>
      <c r="D174" s="22" t="s">
        <v>19</v>
      </c>
      <c r="E174" s="21" t="str">
        <f>IFERROR(VLOOKUP(D174,Hoja3!$A$2:$B$50,2,0),"")</f>
        <v>HM</v>
      </c>
      <c r="F174" s="2" t="s">
        <v>51</v>
      </c>
      <c r="G174" s="2" t="s">
        <v>38</v>
      </c>
      <c r="H174" s="20" t="str">
        <f>IF(Tabla1[[#This Row],[EXISTENCIA ACTUAL]]=0,"AGOTADO",  IF(Tabla1[[#This Row],[EXISTENCIA ACTUAL]]&lt;Tabla1[[#This Row],[STOCK MINIMO]],"MENOR AL MINIMO", "OK"))</f>
        <v>OK</v>
      </c>
      <c r="I174" s="2">
        <f>IF(Tabla1[[#This Row],[EXISTENCIA ACTUAL]]=0,0,  IF(Tabla1[[#This Row],[EXISTENCIA ACTUAL]]&lt;Tabla1[[#This Row],[STOCK MINIMO]],1, 2))</f>
        <v>2</v>
      </c>
      <c r="J174" s="2">
        <v>5</v>
      </c>
      <c r="K174" s="21">
        <f>SUMIFS(Tabla2[CANTIDAD],Tabla2[PRODUCTO],Tabla1[[#This Row],[PRODUCTO]])</f>
        <v>6</v>
      </c>
      <c r="L174" s="2" t="s">
        <v>44</v>
      </c>
      <c r="M174" s="2" t="s">
        <v>47</v>
      </c>
    </row>
    <row r="175" spans="2:15" ht="30" hidden="1" customHeight="1" x14ac:dyDescent="0.25">
      <c r="B175" s="24" t="str">
        <f>E175&amp;"-"&amp;COUNTIF($E$8:E175,E175)</f>
        <v>HM-18</v>
      </c>
      <c r="C175" s="22" t="s">
        <v>384</v>
      </c>
      <c r="D175" s="22" t="s">
        <v>19</v>
      </c>
      <c r="E175" s="21" t="str">
        <f>IFERROR(VLOOKUP(D175,Hoja3!$A$2:$B$50,2,0),"")</f>
        <v>HM</v>
      </c>
      <c r="F175" s="2" t="s">
        <v>51</v>
      </c>
      <c r="G175" s="2" t="s">
        <v>38</v>
      </c>
      <c r="H175" s="20" t="str">
        <f>IF(Tabla1[[#This Row],[EXISTENCIA ACTUAL]]=0,"AGOTADO",  IF(Tabla1[[#This Row],[EXISTENCIA ACTUAL]]&lt;Tabla1[[#This Row],[STOCK MINIMO]],"MENOR AL MINIMO", "OK"))</f>
        <v>OK</v>
      </c>
      <c r="I175" s="2">
        <f>IF(Tabla1[[#This Row],[EXISTENCIA ACTUAL]]=0,0,  IF(Tabla1[[#This Row],[EXISTENCIA ACTUAL]]&lt;Tabla1[[#This Row],[STOCK MINIMO]],1, 2))</f>
        <v>2</v>
      </c>
      <c r="J175" s="2">
        <v>5</v>
      </c>
      <c r="K175" s="21">
        <f>SUMIFS(Tabla2[CANTIDAD],Tabla2[PRODUCTO],Tabla1[[#This Row],[PRODUCTO]])</f>
        <v>22</v>
      </c>
      <c r="L175" s="2" t="s">
        <v>44</v>
      </c>
      <c r="M175" s="2" t="s">
        <v>47</v>
      </c>
    </row>
    <row r="176" spans="2:15" ht="30" hidden="1" customHeight="1" x14ac:dyDescent="0.25">
      <c r="B176" s="24" t="str">
        <f>E176&amp;"-"&amp;COUNTIF($E$8:E176,E176)</f>
        <v>HM-19</v>
      </c>
      <c r="C176" s="22" t="s">
        <v>385</v>
      </c>
      <c r="D176" s="22" t="s">
        <v>19</v>
      </c>
      <c r="E176" s="21" t="str">
        <f>IFERROR(VLOOKUP(D176,Hoja3!$A$2:$B$50,2,0),"")</f>
        <v>HM</v>
      </c>
      <c r="F176" s="2" t="s">
        <v>51</v>
      </c>
      <c r="G176" s="2" t="s">
        <v>38</v>
      </c>
      <c r="H176" s="20" t="str">
        <f>IF(Tabla1[[#This Row],[EXISTENCIA ACTUAL]]=0,"AGOTADO",  IF(Tabla1[[#This Row],[EXISTENCIA ACTUAL]]&lt;Tabla1[[#This Row],[STOCK MINIMO]],"MENOR AL MINIMO", "OK"))</f>
        <v>MENOR AL MINIMO</v>
      </c>
      <c r="I176" s="2">
        <f>IF(Tabla1[[#This Row],[EXISTENCIA ACTUAL]]=0,0,  IF(Tabla1[[#This Row],[EXISTENCIA ACTUAL]]&lt;Tabla1[[#This Row],[STOCK MINIMO]],1, 2))</f>
        <v>1</v>
      </c>
      <c r="J176" s="2">
        <v>5</v>
      </c>
      <c r="K176" s="21">
        <f>SUMIFS(Tabla2[CANTIDAD],Tabla2[PRODUCTO],Tabla1[[#This Row],[PRODUCTO]])</f>
        <v>1</v>
      </c>
      <c r="L176" s="2" t="s">
        <v>44</v>
      </c>
      <c r="M176" s="2" t="s">
        <v>47</v>
      </c>
    </row>
    <row r="177" spans="2:13" ht="30" hidden="1" customHeight="1" x14ac:dyDescent="0.25">
      <c r="B177" s="24" t="str">
        <f>E177&amp;"-"&amp;COUNTIF($E$8:E177,E177)</f>
        <v>HM-20</v>
      </c>
      <c r="C177" s="22" t="s">
        <v>387</v>
      </c>
      <c r="D177" s="22" t="s">
        <v>19</v>
      </c>
      <c r="E177" s="21" t="str">
        <f>IFERROR(VLOOKUP(D177,Hoja3!$A$2:$B$50,2,0),"")</f>
        <v>HM</v>
      </c>
      <c r="F177" s="2" t="s">
        <v>51</v>
      </c>
      <c r="G177" s="2" t="s">
        <v>38</v>
      </c>
      <c r="H177" s="20" t="str">
        <f>IF(Tabla1[[#This Row],[EXISTENCIA ACTUAL]]=0,"AGOTADO",  IF(Tabla1[[#This Row],[EXISTENCIA ACTUAL]]&lt;Tabla1[[#This Row],[STOCK MINIMO]],"MENOR AL MINIMO", "OK"))</f>
        <v>OK</v>
      </c>
      <c r="I177" s="2">
        <f>IF(Tabla1[[#This Row],[EXISTENCIA ACTUAL]]=0,0,  IF(Tabla1[[#This Row],[EXISTENCIA ACTUAL]]&lt;Tabla1[[#This Row],[STOCK MINIMO]],1, 2))</f>
        <v>2</v>
      </c>
      <c r="J177" s="2">
        <v>1</v>
      </c>
      <c r="K177" s="21">
        <f>SUMIFS(Tabla2[CANTIDAD],Tabla2[PRODUCTO],Tabla1[[#This Row],[PRODUCTO]])</f>
        <v>1</v>
      </c>
      <c r="L177" s="2" t="s">
        <v>44</v>
      </c>
      <c r="M177" s="2" t="s">
        <v>47</v>
      </c>
    </row>
    <row r="178" spans="2:13" ht="30" hidden="1" customHeight="1" x14ac:dyDescent="0.25">
      <c r="B178" s="24" t="str">
        <f>E178&amp;"-"&amp;COUNTIF($E$8:E178,E178)</f>
        <v>HM-21</v>
      </c>
      <c r="C178" s="22" t="s">
        <v>388</v>
      </c>
      <c r="D178" s="22" t="s">
        <v>19</v>
      </c>
      <c r="E178" s="21" t="str">
        <f>IFERROR(VLOOKUP(D178,Hoja3!$A$2:$B$50,2,0),"")</f>
        <v>HM</v>
      </c>
      <c r="F178" s="2" t="s">
        <v>51</v>
      </c>
      <c r="G178" s="2" t="s">
        <v>38</v>
      </c>
      <c r="H178" s="20" t="str">
        <f>IF(Tabla1[[#This Row],[EXISTENCIA ACTUAL]]=0,"AGOTADO",  IF(Tabla1[[#This Row],[EXISTENCIA ACTUAL]]&lt;Tabla1[[#This Row],[STOCK MINIMO]],"MENOR AL MINIMO", "OK"))</f>
        <v>OK</v>
      </c>
      <c r="I178" s="2">
        <f>IF(Tabla1[[#This Row],[EXISTENCIA ACTUAL]]=0,0,  IF(Tabla1[[#This Row],[EXISTENCIA ACTUAL]]&lt;Tabla1[[#This Row],[STOCK MINIMO]],1, 2))</f>
        <v>2</v>
      </c>
      <c r="J178" s="2">
        <v>1</v>
      </c>
      <c r="K178" s="21">
        <f>SUMIFS(Tabla2[CANTIDAD],Tabla2[PRODUCTO],Tabla1[[#This Row],[PRODUCTO]])</f>
        <v>1</v>
      </c>
      <c r="L178" s="2" t="s">
        <v>44</v>
      </c>
      <c r="M178" s="2" t="s">
        <v>47</v>
      </c>
    </row>
    <row r="179" spans="2:13" ht="30" hidden="1" customHeight="1" x14ac:dyDescent="0.25">
      <c r="B179" s="24" t="str">
        <f>E179&amp;"-"&amp;COUNTIF($E$8:E179,E179)</f>
        <v>HM-22</v>
      </c>
      <c r="C179" s="22" t="s">
        <v>389</v>
      </c>
      <c r="D179" s="22" t="s">
        <v>19</v>
      </c>
      <c r="E179" s="21" t="str">
        <f>IFERROR(VLOOKUP(D179,Hoja3!$A$2:$B$50,2,0),"")</f>
        <v>HM</v>
      </c>
      <c r="F179" s="2" t="s">
        <v>51</v>
      </c>
      <c r="G179" s="2" t="s">
        <v>38</v>
      </c>
      <c r="H179" s="20" t="str">
        <f>IF(Tabla1[[#This Row],[EXISTENCIA ACTUAL]]=0,"AGOTADO",  IF(Tabla1[[#This Row],[EXISTENCIA ACTUAL]]&lt;Tabla1[[#This Row],[STOCK MINIMO]],"MENOR AL MINIMO", "OK"))</f>
        <v>OK</v>
      </c>
      <c r="I179" s="2">
        <f>IF(Tabla1[[#This Row],[EXISTENCIA ACTUAL]]=0,0,  IF(Tabla1[[#This Row],[EXISTENCIA ACTUAL]]&lt;Tabla1[[#This Row],[STOCK MINIMO]],1, 2))</f>
        <v>2</v>
      </c>
      <c r="J179" s="2">
        <v>1</v>
      </c>
      <c r="K179" s="21">
        <f>SUMIFS(Tabla2[CANTIDAD],Tabla2[PRODUCTO],Tabla1[[#This Row],[PRODUCTO]])</f>
        <v>1</v>
      </c>
      <c r="L179" s="2" t="s">
        <v>44</v>
      </c>
      <c r="M179" s="2" t="s">
        <v>47</v>
      </c>
    </row>
    <row r="180" spans="2:13" ht="30" hidden="1" customHeight="1" x14ac:dyDescent="0.25">
      <c r="B180" s="24" t="str">
        <f>E180&amp;"-"&amp;COUNTIF($E$8:E180,E180)</f>
        <v>HM-23</v>
      </c>
      <c r="C180" s="22" t="s">
        <v>390</v>
      </c>
      <c r="D180" s="22" t="s">
        <v>19</v>
      </c>
      <c r="E180" s="21" t="str">
        <f>IFERROR(VLOOKUP(D180,Hoja3!$A$2:$B$50,2,0),"")</f>
        <v>HM</v>
      </c>
      <c r="F180" s="2" t="s">
        <v>51</v>
      </c>
      <c r="G180" s="2" t="s">
        <v>38</v>
      </c>
      <c r="H180" s="20" t="str">
        <f>IF(Tabla1[[#This Row],[EXISTENCIA ACTUAL]]=0,"AGOTADO",  IF(Tabla1[[#This Row],[EXISTENCIA ACTUAL]]&lt;Tabla1[[#This Row],[STOCK MINIMO]],"MENOR AL MINIMO", "OK"))</f>
        <v>OK</v>
      </c>
      <c r="I180" s="2">
        <f>IF(Tabla1[[#This Row],[EXISTENCIA ACTUAL]]=0,0,  IF(Tabla1[[#This Row],[EXISTENCIA ACTUAL]]&lt;Tabla1[[#This Row],[STOCK MINIMO]],1, 2))</f>
        <v>2</v>
      </c>
      <c r="J180" s="2">
        <v>1</v>
      </c>
      <c r="K180" s="21">
        <f>SUMIFS(Tabla2[CANTIDAD],Tabla2[PRODUCTO],Tabla1[[#This Row],[PRODUCTO]])</f>
        <v>1</v>
      </c>
      <c r="L180" s="2" t="s">
        <v>44</v>
      </c>
      <c r="M180" s="2" t="s">
        <v>47</v>
      </c>
    </row>
    <row r="181" spans="2:13" ht="30" hidden="1" customHeight="1" x14ac:dyDescent="0.25">
      <c r="B181" s="24" t="str">
        <f>E181&amp;"-"&amp;COUNTIF($E$8:E181,E181)</f>
        <v>HM-24</v>
      </c>
      <c r="C181" s="22" t="s">
        <v>391</v>
      </c>
      <c r="D181" s="22" t="s">
        <v>19</v>
      </c>
      <c r="E181" s="21" t="str">
        <f>IFERROR(VLOOKUP(D181,Hoja3!$A$2:$B$50,2,0),"")</f>
        <v>HM</v>
      </c>
      <c r="F181" s="2" t="s">
        <v>51</v>
      </c>
      <c r="G181" s="2" t="s">
        <v>38</v>
      </c>
      <c r="H181" s="20" t="str">
        <f>IF(Tabla1[[#This Row],[EXISTENCIA ACTUAL]]=0,"AGOTADO",  IF(Tabla1[[#This Row],[EXISTENCIA ACTUAL]]&lt;Tabla1[[#This Row],[STOCK MINIMO]],"MENOR AL MINIMO", "OK"))</f>
        <v>OK</v>
      </c>
      <c r="I181" s="2">
        <f>IF(Tabla1[[#This Row],[EXISTENCIA ACTUAL]]=0,0,  IF(Tabla1[[#This Row],[EXISTENCIA ACTUAL]]&lt;Tabla1[[#This Row],[STOCK MINIMO]],1, 2))</f>
        <v>2</v>
      </c>
      <c r="J181" s="2">
        <v>1</v>
      </c>
      <c r="K181" s="21">
        <f>SUMIFS(Tabla2[CANTIDAD],Tabla2[PRODUCTO],Tabla1[[#This Row],[PRODUCTO]])</f>
        <v>1</v>
      </c>
      <c r="L181" s="2" t="s">
        <v>44</v>
      </c>
      <c r="M181" s="2" t="s">
        <v>47</v>
      </c>
    </row>
    <row r="182" spans="2:13" ht="30" hidden="1" customHeight="1" x14ac:dyDescent="0.25">
      <c r="B182" s="24" t="str">
        <f>E182&amp;"-"&amp;COUNTIF($E$8:E182,E182)</f>
        <v>HM-25</v>
      </c>
      <c r="C182" s="22" t="s">
        <v>392</v>
      </c>
      <c r="D182" s="22" t="s">
        <v>19</v>
      </c>
      <c r="E182" s="21" t="str">
        <f>IFERROR(VLOOKUP(D182,Hoja3!$A$2:$B$50,2,0),"")</f>
        <v>HM</v>
      </c>
      <c r="F182" s="2" t="s">
        <v>51</v>
      </c>
      <c r="G182" s="2" t="s">
        <v>38</v>
      </c>
      <c r="H182" s="20" t="str">
        <f>IF(Tabla1[[#This Row],[EXISTENCIA ACTUAL]]=0,"AGOTADO",  IF(Tabla1[[#This Row],[EXISTENCIA ACTUAL]]&lt;Tabla1[[#This Row],[STOCK MINIMO]],"MENOR AL MINIMO", "OK"))</f>
        <v>OK</v>
      </c>
      <c r="I182" s="2">
        <f>IF(Tabla1[[#This Row],[EXISTENCIA ACTUAL]]=0,0,  IF(Tabla1[[#This Row],[EXISTENCIA ACTUAL]]&lt;Tabla1[[#This Row],[STOCK MINIMO]],1, 2))</f>
        <v>2</v>
      </c>
      <c r="J182" s="2">
        <v>1</v>
      </c>
      <c r="K182" s="21">
        <f>SUMIFS(Tabla2[CANTIDAD],Tabla2[PRODUCTO],Tabla1[[#This Row],[PRODUCTO]])</f>
        <v>1</v>
      </c>
      <c r="L182" s="2" t="s">
        <v>44</v>
      </c>
      <c r="M182" s="2" t="s">
        <v>47</v>
      </c>
    </row>
    <row r="183" spans="2:13" ht="30" hidden="1" customHeight="1" x14ac:dyDescent="0.25">
      <c r="B183" s="24" t="str">
        <f>E183&amp;"-"&amp;COUNTIF($E$8:E183,E183)</f>
        <v>HM-26</v>
      </c>
      <c r="C183" s="22" t="s">
        <v>393</v>
      </c>
      <c r="D183" s="22" t="s">
        <v>19</v>
      </c>
      <c r="E183" s="21" t="str">
        <f>IFERROR(VLOOKUP(D183,Hoja3!$A$2:$B$50,2,0),"")</f>
        <v>HM</v>
      </c>
      <c r="F183" s="2" t="s">
        <v>51</v>
      </c>
      <c r="G183" s="2" t="s">
        <v>38</v>
      </c>
      <c r="H183" s="20" t="str">
        <f>IF(Tabla1[[#This Row],[EXISTENCIA ACTUAL]]=0,"AGOTADO",  IF(Tabla1[[#This Row],[EXISTENCIA ACTUAL]]&lt;Tabla1[[#This Row],[STOCK MINIMO]],"MENOR AL MINIMO", "OK"))</f>
        <v>OK</v>
      </c>
      <c r="I183" s="2">
        <f>IF(Tabla1[[#This Row],[EXISTENCIA ACTUAL]]=0,0,  IF(Tabla1[[#This Row],[EXISTENCIA ACTUAL]]&lt;Tabla1[[#This Row],[STOCK MINIMO]],1, 2))</f>
        <v>2</v>
      </c>
      <c r="J183" s="2">
        <v>1</v>
      </c>
      <c r="K183" s="21">
        <f>SUMIFS(Tabla2[CANTIDAD],Tabla2[PRODUCTO],Tabla1[[#This Row],[PRODUCTO]])</f>
        <v>1</v>
      </c>
      <c r="L183" s="2" t="s">
        <v>44</v>
      </c>
      <c r="M183" s="2" t="s">
        <v>47</v>
      </c>
    </row>
    <row r="184" spans="2:13" ht="30" hidden="1" customHeight="1" x14ac:dyDescent="0.25">
      <c r="B184" s="24" t="str">
        <f>E184&amp;"-"&amp;COUNTIF($E$8:E184,E184)</f>
        <v>HM-27</v>
      </c>
      <c r="C184" s="22" t="s">
        <v>394</v>
      </c>
      <c r="D184" s="22" t="s">
        <v>19</v>
      </c>
      <c r="E184" s="21" t="str">
        <f>IFERROR(VLOOKUP(D184,Hoja3!$A$2:$B$50,2,0),"")</f>
        <v>HM</v>
      </c>
      <c r="F184" s="2" t="s">
        <v>51</v>
      </c>
      <c r="G184" s="2" t="s">
        <v>38</v>
      </c>
      <c r="H184" s="20" t="str">
        <f>IF(Tabla1[[#This Row],[EXISTENCIA ACTUAL]]=0,"AGOTADO",  IF(Tabla1[[#This Row],[EXISTENCIA ACTUAL]]&lt;Tabla1[[#This Row],[STOCK MINIMO]],"MENOR AL MINIMO", "OK"))</f>
        <v>OK</v>
      </c>
      <c r="I184" s="2">
        <f>IF(Tabla1[[#This Row],[EXISTENCIA ACTUAL]]=0,0,  IF(Tabla1[[#This Row],[EXISTENCIA ACTUAL]]&lt;Tabla1[[#This Row],[STOCK MINIMO]],1, 2))</f>
        <v>2</v>
      </c>
      <c r="J184" s="2">
        <v>1</v>
      </c>
      <c r="K184" s="21">
        <f>SUMIFS(Tabla2[CANTIDAD],Tabla2[PRODUCTO],Tabla1[[#This Row],[PRODUCTO]])</f>
        <v>1</v>
      </c>
      <c r="L184" s="2" t="s">
        <v>44</v>
      </c>
      <c r="M184" s="2" t="s">
        <v>47</v>
      </c>
    </row>
    <row r="185" spans="2:13" ht="30" hidden="1" customHeight="1" x14ac:dyDescent="0.25">
      <c r="B185" s="24" t="str">
        <f>E185&amp;"-"&amp;COUNTIF($E$8:E185,E185)</f>
        <v>HM-28</v>
      </c>
      <c r="C185" s="22" t="s">
        <v>395</v>
      </c>
      <c r="D185" s="22" t="s">
        <v>19</v>
      </c>
      <c r="E185" s="21" t="str">
        <f>IFERROR(VLOOKUP(D185,Hoja3!$A$2:$B$50,2,0),"")</f>
        <v>HM</v>
      </c>
      <c r="F185" s="2" t="s">
        <v>51</v>
      </c>
      <c r="G185" s="2" t="s">
        <v>38</v>
      </c>
      <c r="H185" s="20" t="str">
        <f>IF(Tabla1[[#This Row],[EXISTENCIA ACTUAL]]=0,"AGOTADO",  IF(Tabla1[[#This Row],[EXISTENCIA ACTUAL]]&lt;Tabla1[[#This Row],[STOCK MINIMO]],"MENOR AL MINIMO", "OK"))</f>
        <v>OK</v>
      </c>
      <c r="I185" s="2">
        <f>IF(Tabla1[[#This Row],[EXISTENCIA ACTUAL]]=0,0,  IF(Tabla1[[#This Row],[EXISTENCIA ACTUAL]]&lt;Tabla1[[#This Row],[STOCK MINIMO]],1, 2))</f>
        <v>2</v>
      </c>
      <c r="J185" s="2">
        <v>1</v>
      </c>
      <c r="K185" s="21">
        <f>SUMIFS(Tabla2[CANTIDAD],Tabla2[PRODUCTO],Tabla1[[#This Row],[PRODUCTO]])</f>
        <v>1</v>
      </c>
      <c r="L185" s="2" t="s">
        <v>44</v>
      </c>
      <c r="M185" s="2" t="s">
        <v>47</v>
      </c>
    </row>
    <row r="186" spans="2:13" ht="30" hidden="1" customHeight="1" x14ac:dyDescent="0.25">
      <c r="B186" s="24" t="str">
        <f>E186&amp;"-"&amp;COUNTIF($E$8:E186,E186)</f>
        <v>HM-29</v>
      </c>
      <c r="C186" s="22" t="s">
        <v>396</v>
      </c>
      <c r="D186" s="22" t="s">
        <v>19</v>
      </c>
      <c r="E186" s="21" t="str">
        <f>IFERROR(VLOOKUP(D186,Hoja3!$A$2:$B$50,2,0),"")</f>
        <v>HM</v>
      </c>
      <c r="F186" s="2" t="s">
        <v>51</v>
      </c>
      <c r="G186" s="2" t="s">
        <v>38</v>
      </c>
      <c r="H186" s="20" t="str">
        <f>IF(Tabla1[[#This Row],[EXISTENCIA ACTUAL]]=0,"AGOTADO",  IF(Tabla1[[#This Row],[EXISTENCIA ACTUAL]]&lt;Tabla1[[#This Row],[STOCK MINIMO]],"MENOR AL MINIMO", "OK"))</f>
        <v>OK</v>
      </c>
      <c r="I186" s="2">
        <f>IF(Tabla1[[#This Row],[EXISTENCIA ACTUAL]]=0,0,  IF(Tabla1[[#This Row],[EXISTENCIA ACTUAL]]&lt;Tabla1[[#This Row],[STOCK MINIMO]],1, 2))</f>
        <v>2</v>
      </c>
      <c r="J186" s="2">
        <v>1</v>
      </c>
      <c r="K186" s="21">
        <f>SUMIFS(Tabla2[CANTIDAD],Tabla2[PRODUCTO],Tabla1[[#This Row],[PRODUCTO]])</f>
        <v>1</v>
      </c>
      <c r="L186" s="2" t="s">
        <v>44</v>
      </c>
      <c r="M186" s="2" t="s">
        <v>47</v>
      </c>
    </row>
    <row r="187" spans="2:13" ht="30" hidden="1" customHeight="1" x14ac:dyDescent="0.25">
      <c r="B187" s="24" t="str">
        <f>E187&amp;"-"&amp;COUNTIF($E$8:E187,E187)</f>
        <v>HM-30</v>
      </c>
      <c r="C187" s="22" t="s">
        <v>397</v>
      </c>
      <c r="D187" s="22" t="s">
        <v>19</v>
      </c>
      <c r="E187" s="21" t="str">
        <f>IFERROR(VLOOKUP(D187,Hoja3!$A$2:$B$50,2,0),"")</f>
        <v>HM</v>
      </c>
      <c r="F187" s="2" t="s">
        <v>51</v>
      </c>
      <c r="G187" s="2" t="s">
        <v>38</v>
      </c>
      <c r="H187" s="20" t="str">
        <f>IF(Tabla1[[#This Row],[EXISTENCIA ACTUAL]]=0,"AGOTADO",  IF(Tabla1[[#This Row],[EXISTENCIA ACTUAL]]&lt;Tabla1[[#This Row],[STOCK MINIMO]],"MENOR AL MINIMO", "OK"))</f>
        <v>OK</v>
      </c>
      <c r="I187" s="2">
        <f>IF(Tabla1[[#This Row],[EXISTENCIA ACTUAL]]=0,0,  IF(Tabla1[[#This Row],[EXISTENCIA ACTUAL]]&lt;Tabla1[[#This Row],[STOCK MINIMO]],1, 2))</f>
        <v>2</v>
      </c>
      <c r="J187" s="2">
        <v>1</v>
      </c>
      <c r="K187" s="21">
        <f>SUMIFS(Tabla2[CANTIDAD],Tabla2[PRODUCTO],Tabla1[[#This Row],[PRODUCTO]])</f>
        <v>1</v>
      </c>
      <c r="L187" s="2" t="s">
        <v>44</v>
      </c>
      <c r="M187" s="2" t="s">
        <v>47</v>
      </c>
    </row>
    <row r="188" spans="2:13" ht="30" hidden="1" customHeight="1" x14ac:dyDescent="0.25">
      <c r="B188" s="24" t="str">
        <f>E188&amp;"-"&amp;COUNTIF($E$8:E188,E188)</f>
        <v>HM-31</v>
      </c>
      <c r="C188" s="22" t="s">
        <v>398</v>
      </c>
      <c r="D188" s="22" t="s">
        <v>19</v>
      </c>
      <c r="E188" s="21" t="str">
        <f>IFERROR(VLOOKUP(D188,Hoja3!$A$2:$B$50,2,0),"")</f>
        <v>HM</v>
      </c>
      <c r="F188" s="2" t="s">
        <v>51</v>
      </c>
      <c r="G188" s="2" t="s">
        <v>38</v>
      </c>
      <c r="H188" s="20" t="str">
        <f>IF(Tabla1[[#This Row],[EXISTENCIA ACTUAL]]=0,"AGOTADO",  IF(Tabla1[[#This Row],[EXISTENCIA ACTUAL]]&lt;Tabla1[[#This Row],[STOCK MINIMO]],"MENOR AL MINIMO", "OK"))</f>
        <v>OK</v>
      </c>
      <c r="I188" s="2">
        <f>IF(Tabla1[[#This Row],[EXISTENCIA ACTUAL]]=0,0,  IF(Tabla1[[#This Row],[EXISTENCIA ACTUAL]]&lt;Tabla1[[#This Row],[STOCK MINIMO]],1, 2))</f>
        <v>2</v>
      </c>
      <c r="J188" s="2">
        <v>1</v>
      </c>
      <c r="K188" s="21">
        <f>SUMIFS(Tabla2[CANTIDAD],Tabla2[PRODUCTO],Tabla1[[#This Row],[PRODUCTO]])</f>
        <v>1</v>
      </c>
      <c r="L188" s="2" t="s">
        <v>44</v>
      </c>
      <c r="M188" s="2" t="s">
        <v>47</v>
      </c>
    </row>
    <row r="189" spans="2:13" ht="30" hidden="1" customHeight="1" x14ac:dyDescent="0.25">
      <c r="B189" s="24" t="str">
        <f>E189&amp;"-"&amp;COUNTIF($E$8:E189,E189)</f>
        <v>HM-32</v>
      </c>
      <c r="C189" s="22" t="s">
        <v>399</v>
      </c>
      <c r="D189" s="22" t="s">
        <v>19</v>
      </c>
      <c r="E189" s="21" t="str">
        <f>IFERROR(VLOOKUP(D189,Hoja3!$A$2:$B$50,2,0),"")</f>
        <v>HM</v>
      </c>
      <c r="F189" s="2" t="s">
        <v>51</v>
      </c>
      <c r="G189" s="2" t="s">
        <v>38</v>
      </c>
      <c r="H189" s="20" t="str">
        <f>IF(Tabla1[[#This Row],[EXISTENCIA ACTUAL]]=0,"AGOTADO",  IF(Tabla1[[#This Row],[EXISTENCIA ACTUAL]]&lt;Tabla1[[#This Row],[STOCK MINIMO]],"MENOR AL MINIMO", "OK"))</f>
        <v>OK</v>
      </c>
      <c r="I189" s="2">
        <f>IF(Tabla1[[#This Row],[EXISTENCIA ACTUAL]]=0,0,  IF(Tabla1[[#This Row],[EXISTENCIA ACTUAL]]&lt;Tabla1[[#This Row],[STOCK MINIMO]],1, 2))</f>
        <v>2</v>
      </c>
      <c r="J189" s="2">
        <v>1</v>
      </c>
      <c r="K189" s="21">
        <f>SUMIFS(Tabla2[CANTIDAD],Tabla2[PRODUCTO],Tabla1[[#This Row],[PRODUCTO]])</f>
        <v>1</v>
      </c>
      <c r="L189" s="2" t="s">
        <v>44</v>
      </c>
      <c r="M189" s="2" t="s">
        <v>47</v>
      </c>
    </row>
    <row r="190" spans="2:13" ht="30" hidden="1" customHeight="1" x14ac:dyDescent="0.25">
      <c r="B190" s="24" t="str">
        <f>E190&amp;"-"&amp;COUNTIF($E$8:E190,E190)</f>
        <v>HM-33</v>
      </c>
      <c r="C190" s="22" t="s">
        <v>400</v>
      </c>
      <c r="D190" s="22" t="s">
        <v>19</v>
      </c>
      <c r="E190" s="21" t="str">
        <f>IFERROR(VLOOKUP(D190,Hoja3!$A$2:$B$50,2,0),"")</f>
        <v>HM</v>
      </c>
      <c r="F190" s="2" t="s">
        <v>51</v>
      </c>
      <c r="G190" s="2" t="s">
        <v>38</v>
      </c>
      <c r="H190" s="20" t="str">
        <f>IF(Tabla1[[#This Row],[EXISTENCIA ACTUAL]]=0,"AGOTADO",  IF(Tabla1[[#This Row],[EXISTENCIA ACTUAL]]&lt;Tabla1[[#This Row],[STOCK MINIMO]],"MENOR AL MINIMO", "OK"))</f>
        <v>OK</v>
      </c>
      <c r="I190" s="2">
        <f>IF(Tabla1[[#This Row],[EXISTENCIA ACTUAL]]=0,0,  IF(Tabla1[[#This Row],[EXISTENCIA ACTUAL]]&lt;Tabla1[[#This Row],[STOCK MINIMO]],1, 2))</f>
        <v>2</v>
      </c>
      <c r="J190" s="2">
        <v>1</v>
      </c>
      <c r="K190" s="21">
        <f>SUMIFS(Tabla2[CANTIDAD],Tabla2[PRODUCTO],Tabla1[[#This Row],[PRODUCTO]])</f>
        <v>1</v>
      </c>
      <c r="L190" s="2" t="s">
        <v>44</v>
      </c>
      <c r="M190" s="2" t="s">
        <v>47</v>
      </c>
    </row>
    <row r="191" spans="2:13" ht="30" hidden="1" customHeight="1" x14ac:dyDescent="0.25">
      <c r="B191" s="24" t="str">
        <f>E191&amp;"-"&amp;COUNTIF($E$8:E191,E191)</f>
        <v>HM-34</v>
      </c>
      <c r="C191" s="22" t="s">
        <v>401</v>
      </c>
      <c r="D191" s="22" t="s">
        <v>19</v>
      </c>
      <c r="E191" s="21" t="str">
        <f>IFERROR(VLOOKUP(D191,Hoja3!$A$2:$B$50,2,0),"")</f>
        <v>HM</v>
      </c>
      <c r="F191" s="2" t="s">
        <v>51</v>
      </c>
      <c r="G191" s="2" t="s">
        <v>38</v>
      </c>
      <c r="H191" s="20" t="str">
        <f>IF(Tabla1[[#This Row],[EXISTENCIA ACTUAL]]=0,"AGOTADO",  IF(Tabla1[[#This Row],[EXISTENCIA ACTUAL]]&lt;Tabla1[[#This Row],[STOCK MINIMO]],"MENOR AL MINIMO", "OK"))</f>
        <v>OK</v>
      </c>
      <c r="I191" s="2">
        <f>IF(Tabla1[[#This Row],[EXISTENCIA ACTUAL]]=0,0,  IF(Tabla1[[#This Row],[EXISTENCIA ACTUAL]]&lt;Tabla1[[#This Row],[STOCK MINIMO]],1, 2))</f>
        <v>2</v>
      </c>
      <c r="J191" s="2">
        <v>1</v>
      </c>
      <c r="K191" s="21">
        <f>SUMIFS(Tabla2[CANTIDAD],Tabla2[PRODUCTO],Tabla1[[#This Row],[PRODUCTO]])</f>
        <v>1</v>
      </c>
      <c r="L191" s="2" t="s">
        <v>44</v>
      </c>
      <c r="M191" s="2" t="s">
        <v>47</v>
      </c>
    </row>
    <row r="192" spans="2:13" ht="30" hidden="1" customHeight="1" x14ac:dyDescent="0.25">
      <c r="B192" s="24" t="str">
        <f>E192&amp;"-"&amp;COUNTIF($E$8:E192,E192)</f>
        <v>HM-35</v>
      </c>
      <c r="C192" s="22" t="s">
        <v>402</v>
      </c>
      <c r="D192" s="22" t="s">
        <v>19</v>
      </c>
      <c r="E192" s="21" t="str">
        <f>IFERROR(VLOOKUP(D192,Hoja3!$A$2:$B$50,2,0),"")</f>
        <v>HM</v>
      </c>
      <c r="F192" s="2" t="s">
        <v>51</v>
      </c>
      <c r="G192" s="2" t="s">
        <v>38</v>
      </c>
      <c r="H192" s="20" t="str">
        <f>IF(Tabla1[[#This Row],[EXISTENCIA ACTUAL]]=0,"AGOTADO",  IF(Tabla1[[#This Row],[EXISTENCIA ACTUAL]]&lt;Tabla1[[#This Row],[STOCK MINIMO]],"MENOR AL MINIMO", "OK"))</f>
        <v>OK</v>
      </c>
      <c r="I192" s="2">
        <f>IF(Tabla1[[#This Row],[EXISTENCIA ACTUAL]]=0,0,  IF(Tabla1[[#This Row],[EXISTENCIA ACTUAL]]&lt;Tabla1[[#This Row],[STOCK MINIMO]],1, 2))</f>
        <v>2</v>
      </c>
      <c r="J192" s="2">
        <v>1</v>
      </c>
      <c r="K192" s="21">
        <f>SUMIFS(Tabla2[CANTIDAD],Tabla2[PRODUCTO],Tabla1[[#This Row],[PRODUCTO]])</f>
        <v>1</v>
      </c>
      <c r="L192" s="2" t="s">
        <v>44</v>
      </c>
      <c r="M192" s="2" t="s">
        <v>47</v>
      </c>
    </row>
    <row r="193" spans="2:13" ht="30" hidden="1" customHeight="1" x14ac:dyDescent="0.25">
      <c r="B193" s="24" t="str">
        <f>E193&amp;"-"&amp;COUNTIF($E$8:E193,E193)</f>
        <v>HM-36</v>
      </c>
      <c r="C193" s="22" t="s">
        <v>403</v>
      </c>
      <c r="D193" s="22" t="s">
        <v>19</v>
      </c>
      <c r="E193" s="21" t="str">
        <f>IFERROR(VLOOKUP(D193,Hoja3!$A$2:$B$50,2,0),"")</f>
        <v>HM</v>
      </c>
      <c r="F193" s="2" t="s">
        <v>51</v>
      </c>
      <c r="G193" s="2" t="s">
        <v>38</v>
      </c>
      <c r="H193" s="20" t="str">
        <f>IF(Tabla1[[#This Row],[EXISTENCIA ACTUAL]]=0,"AGOTADO",  IF(Tabla1[[#This Row],[EXISTENCIA ACTUAL]]&lt;Tabla1[[#This Row],[STOCK MINIMO]],"MENOR AL MINIMO", "OK"))</f>
        <v>OK</v>
      </c>
      <c r="I193" s="2">
        <f>IF(Tabla1[[#This Row],[EXISTENCIA ACTUAL]]=0,0,  IF(Tabla1[[#This Row],[EXISTENCIA ACTUAL]]&lt;Tabla1[[#This Row],[STOCK MINIMO]],1, 2))</f>
        <v>2</v>
      </c>
      <c r="J193" s="2">
        <v>5</v>
      </c>
      <c r="K193" s="21">
        <f>SUMIFS(Tabla2[CANTIDAD],Tabla2[PRODUCTO],Tabla1[[#This Row],[PRODUCTO]])</f>
        <v>11</v>
      </c>
      <c r="L193" s="2" t="s">
        <v>44</v>
      </c>
      <c r="M193" s="2" t="s">
        <v>47</v>
      </c>
    </row>
    <row r="194" spans="2:13" ht="30" hidden="1" customHeight="1" x14ac:dyDescent="0.25">
      <c r="B194" s="24" t="str">
        <f>E194&amp;"-"&amp;COUNTIF($E$8:E194,E194)</f>
        <v>HM-37</v>
      </c>
      <c r="C194" s="22" t="s">
        <v>404</v>
      </c>
      <c r="D194" s="22" t="s">
        <v>19</v>
      </c>
      <c r="E194" s="21" t="str">
        <f>IFERROR(VLOOKUP(D194,Hoja3!$A$2:$B$50,2,0),"")</f>
        <v>HM</v>
      </c>
      <c r="F194" s="2" t="s">
        <v>51</v>
      </c>
      <c r="G194" s="2" t="s">
        <v>38</v>
      </c>
      <c r="H194" s="20" t="str">
        <f>IF(Tabla1[[#This Row],[EXISTENCIA ACTUAL]]=0,"AGOTADO",  IF(Tabla1[[#This Row],[EXISTENCIA ACTUAL]]&lt;Tabla1[[#This Row],[STOCK MINIMO]],"MENOR AL MINIMO", "OK"))</f>
        <v>MENOR AL MINIMO</v>
      </c>
      <c r="I194" s="2">
        <f>IF(Tabla1[[#This Row],[EXISTENCIA ACTUAL]]=0,0,  IF(Tabla1[[#This Row],[EXISTENCIA ACTUAL]]&lt;Tabla1[[#This Row],[STOCK MINIMO]],1, 2))</f>
        <v>1</v>
      </c>
      <c r="J194" s="2">
        <v>5</v>
      </c>
      <c r="K194" s="21">
        <f>SUMIFS(Tabla2[CANTIDAD],Tabla2[PRODUCTO],Tabla1[[#This Row],[PRODUCTO]])</f>
        <v>4</v>
      </c>
      <c r="L194" s="2" t="s">
        <v>44</v>
      </c>
      <c r="M194" s="2" t="s">
        <v>47</v>
      </c>
    </row>
    <row r="195" spans="2:13" ht="30" hidden="1" customHeight="1" x14ac:dyDescent="0.25">
      <c r="B195" s="24" t="str">
        <f>E195&amp;"-"&amp;COUNTIF($E$8:E195,E195)</f>
        <v>HM-38</v>
      </c>
      <c r="C195" s="22" t="s">
        <v>405</v>
      </c>
      <c r="D195" s="22" t="s">
        <v>19</v>
      </c>
      <c r="E195" s="21" t="str">
        <f>IFERROR(VLOOKUP(D195,Hoja3!$A$2:$B$50,2,0),"")</f>
        <v>HM</v>
      </c>
      <c r="F195" s="2" t="s">
        <v>51</v>
      </c>
      <c r="G195" s="2" t="s">
        <v>38</v>
      </c>
      <c r="H195" s="20" t="str">
        <f>IF(Tabla1[[#This Row],[EXISTENCIA ACTUAL]]=0,"AGOTADO",  IF(Tabla1[[#This Row],[EXISTENCIA ACTUAL]]&lt;Tabla1[[#This Row],[STOCK MINIMO]],"MENOR AL MINIMO", "OK"))</f>
        <v>OK</v>
      </c>
      <c r="I195" s="2">
        <f>IF(Tabla1[[#This Row],[EXISTENCIA ACTUAL]]=0,0,  IF(Tabla1[[#This Row],[EXISTENCIA ACTUAL]]&lt;Tabla1[[#This Row],[STOCK MINIMO]],1, 2))</f>
        <v>2</v>
      </c>
      <c r="J195" s="2">
        <v>1</v>
      </c>
      <c r="K195" s="21">
        <f>SUMIFS(Tabla2[CANTIDAD],Tabla2[PRODUCTO],Tabla1[[#This Row],[PRODUCTO]])</f>
        <v>1</v>
      </c>
      <c r="L195" s="2" t="s">
        <v>44</v>
      </c>
      <c r="M195" s="2" t="s">
        <v>47</v>
      </c>
    </row>
    <row r="196" spans="2:13" ht="30" hidden="1" customHeight="1" x14ac:dyDescent="0.25">
      <c r="B196" s="24" t="str">
        <f>E196&amp;"-"&amp;COUNTIF($E$8:E196,E196)</f>
        <v>HM-39</v>
      </c>
      <c r="C196" s="22" t="s">
        <v>406</v>
      </c>
      <c r="D196" s="22" t="s">
        <v>19</v>
      </c>
      <c r="E196" s="21" t="str">
        <f>IFERROR(VLOOKUP(D196,Hoja3!$A$2:$B$50,2,0),"")</f>
        <v>HM</v>
      </c>
      <c r="F196" s="2" t="s">
        <v>51</v>
      </c>
      <c r="G196" s="2" t="s">
        <v>38</v>
      </c>
      <c r="H196" s="20" t="str">
        <f>IF(Tabla1[[#This Row],[EXISTENCIA ACTUAL]]=0,"AGOTADO",  IF(Tabla1[[#This Row],[EXISTENCIA ACTUAL]]&lt;Tabla1[[#This Row],[STOCK MINIMO]],"MENOR AL MINIMO", "OK"))</f>
        <v>OK</v>
      </c>
      <c r="I196" s="2">
        <f>IF(Tabla1[[#This Row],[EXISTENCIA ACTUAL]]=0,0,  IF(Tabla1[[#This Row],[EXISTENCIA ACTUAL]]&lt;Tabla1[[#This Row],[STOCK MINIMO]],1, 2))</f>
        <v>2</v>
      </c>
      <c r="J196" s="2">
        <v>1</v>
      </c>
      <c r="K196" s="21">
        <f>SUMIFS(Tabla2[CANTIDAD],Tabla2[PRODUCTO],Tabla1[[#This Row],[PRODUCTO]])</f>
        <v>5</v>
      </c>
      <c r="L196" s="2" t="s">
        <v>44</v>
      </c>
      <c r="M196" s="2" t="s">
        <v>47</v>
      </c>
    </row>
    <row r="197" spans="2:13" ht="30" hidden="1" customHeight="1" x14ac:dyDescent="0.25">
      <c r="B197" s="24" t="str">
        <f>E197&amp;"-"&amp;COUNTIF($E$8:E197,E197)</f>
        <v>HM-40</v>
      </c>
      <c r="C197" s="22" t="s">
        <v>407</v>
      </c>
      <c r="D197" s="22" t="s">
        <v>19</v>
      </c>
      <c r="E197" s="21" t="str">
        <f>IFERROR(VLOOKUP(D197,Hoja3!$A$2:$B$50,2,0),"")</f>
        <v>HM</v>
      </c>
      <c r="F197" s="2" t="s">
        <v>51</v>
      </c>
      <c r="G197" s="2" t="s">
        <v>38</v>
      </c>
      <c r="H197" s="20" t="str">
        <f>IF(Tabla1[[#This Row],[EXISTENCIA ACTUAL]]=0,"AGOTADO",  IF(Tabla1[[#This Row],[EXISTENCIA ACTUAL]]&lt;Tabla1[[#This Row],[STOCK MINIMO]],"MENOR AL MINIMO", "OK"))</f>
        <v>OK</v>
      </c>
      <c r="I197" s="2">
        <f>IF(Tabla1[[#This Row],[EXISTENCIA ACTUAL]]=0,0,  IF(Tabla1[[#This Row],[EXISTENCIA ACTUAL]]&lt;Tabla1[[#This Row],[STOCK MINIMO]],1, 2))</f>
        <v>2</v>
      </c>
      <c r="J197" s="2">
        <v>1</v>
      </c>
      <c r="K197" s="21">
        <f>SUMIFS(Tabla2[CANTIDAD],Tabla2[PRODUCTO],Tabla1[[#This Row],[PRODUCTO]])</f>
        <v>3</v>
      </c>
      <c r="L197" s="2" t="s">
        <v>44</v>
      </c>
      <c r="M197" s="2" t="s">
        <v>47</v>
      </c>
    </row>
    <row r="198" spans="2:13" ht="30" hidden="1" customHeight="1" x14ac:dyDescent="0.25">
      <c r="B198" s="24" t="str">
        <f>E198&amp;"-"&amp;COUNTIF($E$8:E198,E198)</f>
        <v>HM-41</v>
      </c>
      <c r="C198" s="22" t="s">
        <v>408</v>
      </c>
      <c r="D198" s="22" t="s">
        <v>19</v>
      </c>
      <c r="E198" s="21" t="str">
        <f>IFERROR(VLOOKUP(D198,Hoja3!$A$2:$B$50,2,0),"")</f>
        <v>HM</v>
      </c>
      <c r="F198" s="2" t="s">
        <v>51</v>
      </c>
      <c r="G198" s="2" t="s">
        <v>38</v>
      </c>
      <c r="H198" s="20" t="str">
        <f>IF(Tabla1[[#This Row],[EXISTENCIA ACTUAL]]=0,"AGOTADO",  IF(Tabla1[[#This Row],[EXISTENCIA ACTUAL]]&lt;Tabla1[[#This Row],[STOCK MINIMO]],"MENOR AL MINIMO", "OK"))</f>
        <v>OK</v>
      </c>
      <c r="I198" s="2">
        <f>IF(Tabla1[[#This Row],[EXISTENCIA ACTUAL]]=0,0,  IF(Tabla1[[#This Row],[EXISTENCIA ACTUAL]]&lt;Tabla1[[#This Row],[STOCK MINIMO]],1, 2))</f>
        <v>2</v>
      </c>
      <c r="J198" s="2">
        <v>1</v>
      </c>
      <c r="K198" s="21">
        <f>SUMIFS(Tabla2[CANTIDAD],Tabla2[PRODUCTO],Tabla1[[#This Row],[PRODUCTO]])</f>
        <v>5</v>
      </c>
      <c r="L198" s="2" t="s">
        <v>44</v>
      </c>
      <c r="M198" s="2" t="s">
        <v>47</v>
      </c>
    </row>
    <row r="199" spans="2:13" ht="30" hidden="1" customHeight="1" x14ac:dyDescent="0.25">
      <c r="B199" s="24" t="str">
        <f>E199&amp;"-"&amp;COUNTIF($E$8:E199,E199)</f>
        <v>IS-40</v>
      </c>
      <c r="C199" s="22" t="s">
        <v>409</v>
      </c>
      <c r="D199" s="22" t="s">
        <v>24</v>
      </c>
      <c r="E199" s="21" t="str">
        <f>IFERROR(VLOOKUP(D199,Hoja3!$A$2:$B$50,2,0),"")</f>
        <v>IS</v>
      </c>
      <c r="F199" s="2" t="s">
        <v>51</v>
      </c>
      <c r="G199" s="2" t="s">
        <v>38</v>
      </c>
      <c r="H199" s="20" t="str">
        <f>IF(Tabla1[[#This Row],[EXISTENCIA ACTUAL]]=0,"AGOTADO",  IF(Tabla1[[#This Row],[EXISTENCIA ACTUAL]]&lt;Tabla1[[#This Row],[STOCK MINIMO]],"MENOR AL MINIMO", "OK"))</f>
        <v>OK</v>
      </c>
      <c r="I199" s="2">
        <f>IF(Tabla1[[#This Row],[EXISTENCIA ACTUAL]]=0,0,  IF(Tabla1[[#This Row],[EXISTENCIA ACTUAL]]&lt;Tabla1[[#This Row],[STOCK MINIMO]],1, 2))</f>
        <v>2</v>
      </c>
      <c r="J199" s="2">
        <v>10</v>
      </c>
      <c r="K199" s="21">
        <f>SUMIFS(Tabla2[CANTIDAD],Tabla2[PRODUCTO],Tabla1[[#This Row],[PRODUCTO]])</f>
        <v>22</v>
      </c>
      <c r="L199" s="2" t="s">
        <v>44</v>
      </c>
      <c r="M199" s="2" t="s">
        <v>47</v>
      </c>
    </row>
    <row r="200" spans="2:13" ht="30" hidden="1" customHeight="1" x14ac:dyDescent="0.25">
      <c r="B200" s="24" t="str">
        <f>E200&amp;"-"&amp;COUNTIF($E$8:E200,E200)</f>
        <v>CLA-5</v>
      </c>
      <c r="C200" s="22" t="s">
        <v>410</v>
      </c>
      <c r="D200" s="22" t="s">
        <v>90</v>
      </c>
      <c r="E200" s="21" t="str">
        <f>IFERROR(VLOOKUP(D200,Hoja3!$A$2:$B$50,2,0),"")</f>
        <v>CLA</v>
      </c>
      <c r="F200" s="2" t="s">
        <v>51</v>
      </c>
      <c r="G200" s="2" t="s">
        <v>411</v>
      </c>
      <c r="H200" s="20" t="str">
        <f>IF(Tabla1[[#This Row],[EXISTENCIA ACTUAL]]=0,"AGOTADO",  IF(Tabla1[[#This Row],[EXISTENCIA ACTUAL]]&lt;Tabla1[[#This Row],[STOCK MINIMO]],"MENOR AL MINIMO", "OK"))</f>
        <v>OK</v>
      </c>
      <c r="I200" s="2">
        <f>IF(Tabla1[[#This Row],[EXISTENCIA ACTUAL]]=0,0,  IF(Tabla1[[#This Row],[EXISTENCIA ACTUAL]]&lt;Tabla1[[#This Row],[STOCK MINIMO]],1, 2))</f>
        <v>2</v>
      </c>
      <c r="J200" s="2">
        <v>2</v>
      </c>
      <c r="K200" s="21">
        <f>SUMIFS(Tabla2[CANTIDAD],Tabla2[PRODUCTO],Tabla1[[#This Row],[PRODUCTO]])</f>
        <v>14</v>
      </c>
      <c r="L200" s="2" t="s">
        <v>44</v>
      </c>
      <c r="M200" s="2" t="s">
        <v>47</v>
      </c>
    </row>
    <row r="201" spans="2:13" ht="30" hidden="1" customHeight="1" x14ac:dyDescent="0.25">
      <c r="B201" s="24" t="str">
        <f>E201&amp;"-"&amp;COUNTIF($E$8:E201,E201)</f>
        <v>OTR-8</v>
      </c>
      <c r="C201" s="22" t="s">
        <v>412</v>
      </c>
      <c r="D201" s="22" t="s">
        <v>148</v>
      </c>
      <c r="E201" s="21" t="str">
        <f>IFERROR(VLOOKUP(D201,Hoja3!$A$2:$B$50,2,0),"")</f>
        <v>OTR</v>
      </c>
      <c r="F201" s="2" t="s">
        <v>51</v>
      </c>
      <c r="G201" s="2" t="s">
        <v>38</v>
      </c>
      <c r="H201" s="20" t="str">
        <f>IF(Tabla1[[#This Row],[EXISTENCIA ACTUAL]]=0,"AGOTADO",  IF(Tabla1[[#This Row],[EXISTENCIA ACTUAL]]&lt;Tabla1[[#This Row],[STOCK MINIMO]],"MENOR AL MINIMO", "OK"))</f>
        <v>OK</v>
      </c>
      <c r="I201" s="2">
        <f>IF(Tabla1[[#This Row],[EXISTENCIA ACTUAL]]=0,0,  IF(Tabla1[[#This Row],[EXISTENCIA ACTUAL]]&lt;Tabla1[[#This Row],[STOCK MINIMO]],1, 2))</f>
        <v>2</v>
      </c>
      <c r="J201" s="2">
        <v>5</v>
      </c>
      <c r="K201" s="21">
        <f>SUMIFS(Tabla2[CANTIDAD],Tabla2[PRODUCTO],Tabla1[[#This Row],[PRODUCTO]])</f>
        <v>23</v>
      </c>
      <c r="L201" s="2" t="s">
        <v>44</v>
      </c>
      <c r="M201" s="2" t="s">
        <v>413</v>
      </c>
    </row>
    <row r="202" spans="2:13" ht="30" hidden="1" customHeight="1" x14ac:dyDescent="0.25">
      <c r="B202" s="24" t="str">
        <f>E202&amp;"-"&amp;COUNTIF($E$8:E202,E202)</f>
        <v>OTR-9</v>
      </c>
      <c r="C202" s="22" t="s">
        <v>414</v>
      </c>
      <c r="D202" s="22" t="s">
        <v>148</v>
      </c>
      <c r="E202" s="21" t="str">
        <f>IFERROR(VLOOKUP(D202,Hoja3!$A$2:$B$50,2,0),"")</f>
        <v>OTR</v>
      </c>
      <c r="F202" s="2" t="s">
        <v>51</v>
      </c>
      <c r="G202" s="2" t="s">
        <v>38</v>
      </c>
      <c r="H202" s="20" t="str">
        <f>IF(Tabla1[[#This Row],[EXISTENCIA ACTUAL]]=0,"AGOTADO",  IF(Tabla1[[#This Row],[EXISTENCIA ACTUAL]]&lt;Tabla1[[#This Row],[STOCK MINIMO]],"MENOR AL MINIMO", "OK"))</f>
        <v>OK</v>
      </c>
      <c r="I202" s="2">
        <f>IF(Tabla1[[#This Row],[EXISTENCIA ACTUAL]]=0,0,  IF(Tabla1[[#This Row],[EXISTENCIA ACTUAL]]&lt;Tabla1[[#This Row],[STOCK MINIMO]],1, 2))</f>
        <v>2</v>
      </c>
      <c r="J202" s="2">
        <v>5</v>
      </c>
      <c r="K202" s="21">
        <f>SUMIFS(Tabla2[CANTIDAD],Tabla2[PRODUCTO],Tabla1[[#This Row],[PRODUCTO]])</f>
        <v>10</v>
      </c>
      <c r="L202" s="2" t="s">
        <v>44</v>
      </c>
      <c r="M202" s="2" t="s">
        <v>413</v>
      </c>
    </row>
    <row r="203" spans="2:13" ht="30" hidden="1" customHeight="1" x14ac:dyDescent="0.25">
      <c r="B203" s="24" t="str">
        <f>E203&amp;"-"&amp;COUNTIF($E$8:E203,E203)</f>
        <v>HM-42</v>
      </c>
      <c r="C203" s="22" t="s">
        <v>415</v>
      </c>
      <c r="D203" s="22" t="s">
        <v>19</v>
      </c>
      <c r="E203" s="21" t="str">
        <f>IFERROR(VLOOKUP(D203,Hoja3!$A$2:$B$50,2,0),"")</f>
        <v>HM</v>
      </c>
      <c r="F203" s="2" t="s">
        <v>51</v>
      </c>
      <c r="G203" s="2" t="s">
        <v>38</v>
      </c>
      <c r="H203" s="20" t="str">
        <f>IF(Tabla1[[#This Row],[EXISTENCIA ACTUAL]]=0,"AGOTADO",  IF(Tabla1[[#This Row],[EXISTENCIA ACTUAL]]&lt;Tabla1[[#This Row],[STOCK MINIMO]],"MENOR AL MINIMO", "OK"))</f>
        <v>OK</v>
      </c>
      <c r="I203" s="2">
        <f>IF(Tabla1[[#This Row],[EXISTENCIA ACTUAL]]=0,0,  IF(Tabla1[[#This Row],[EXISTENCIA ACTUAL]]&lt;Tabla1[[#This Row],[STOCK MINIMO]],1, 2))</f>
        <v>2</v>
      </c>
      <c r="J203" s="2">
        <v>1</v>
      </c>
      <c r="K203" s="21">
        <f>SUMIFS(Tabla2[CANTIDAD],Tabla2[PRODUCTO],Tabla1[[#This Row],[PRODUCTO]])</f>
        <v>1</v>
      </c>
      <c r="L203" s="2" t="s">
        <v>44</v>
      </c>
      <c r="M203" s="2" t="s">
        <v>47</v>
      </c>
    </row>
    <row r="204" spans="2:13" ht="30" hidden="1" customHeight="1" x14ac:dyDescent="0.25">
      <c r="B204" s="24" t="str">
        <f>E204&amp;"-"&amp;COUNTIF($E$8:E204,E204)</f>
        <v>HM-43</v>
      </c>
      <c r="C204" s="22" t="s">
        <v>416</v>
      </c>
      <c r="D204" s="22" t="s">
        <v>19</v>
      </c>
      <c r="E204" s="21" t="str">
        <f>IFERROR(VLOOKUP(D204,Hoja3!$A$2:$B$50,2,0),"")</f>
        <v>HM</v>
      </c>
      <c r="F204" s="2" t="s">
        <v>51</v>
      </c>
      <c r="G204" s="2" t="s">
        <v>38</v>
      </c>
      <c r="H204" s="20" t="str">
        <f>IF(Tabla1[[#This Row],[EXISTENCIA ACTUAL]]=0,"AGOTADO",  IF(Tabla1[[#This Row],[EXISTENCIA ACTUAL]]&lt;Tabla1[[#This Row],[STOCK MINIMO]],"MENOR AL MINIMO", "OK"))</f>
        <v>OK</v>
      </c>
      <c r="I204" s="2">
        <f>IF(Tabla1[[#This Row],[EXISTENCIA ACTUAL]]=0,0,  IF(Tabla1[[#This Row],[EXISTENCIA ACTUAL]]&lt;Tabla1[[#This Row],[STOCK MINIMO]],1, 2))</f>
        <v>2</v>
      </c>
      <c r="J204" s="2">
        <v>1</v>
      </c>
      <c r="K204" s="21">
        <f>SUMIFS(Tabla2[CANTIDAD],Tabla2[PRODUCTO],Tabla1[[#This Row],[PRODUCTO]])</f>
        <v>2</v>
      </c>
      <c r="L204" s="2" t="s">
        <v>44</v>
      </c>
      <c r="M204" s="2" t="s">
        <v>47</v>
      </c>
    </row>
    <row r="205" spans="2:13" ht="30" hidden="1" customHeight="1" x14ac:dyDescent="0.25">
      <c r="B205" s="24" t="str">
        <f>E205&amp;"-"&amp;COUNTIF($E$8:E205,E205)</f>
        <v>HM-44</v>
      </c>
      <c r="C205" s="22" t="s">
        <v>417</v>
      </c>
      <c r="D205" s="22" t="s">
        <v>19</v>
      </c>
      <c r="E205" s="21" t="str">
        <f>IFERROR(VLOOKUP(D205,Hoja3!$A$2:$B$50,2,0),"")</f>
        <v>HM</v>
      </c>
      <c r="F205" s="2" t="s">
        <v>51</v>
      </c>
      <c r="G205" s="2" t="s">
        <v>38</v>
      </c>
      <c r="H205" s="20" t="str">
        <f>IF(Tabla1[[#This Row],[EXISTENCIA ACTUAL]]=0,"AGOTADO",  IF(Tabla1[[#This Row],[EXISTENCIA ACTUAL]]&lt;Tabla1[[#This Row],[STOCK MINIMO]],"MENOR AL MINIMO", "OK"))</f>
        <v>OK</v>
      </c>
      <c r="I205" s="2">
        <f>IF(Tabla1[[#This Row],[EXISTENCIA ACTUAL]]=0,0,  IF(Tabla1[[#This Row],[EXISTENCIA ACTUAL]]&lt;Tabla1[[#This Row],[STOCK MINIMO]],1, 2))</f>
        <v>2</v>
      </c>
      <c r="J205" s="2">
        <v>1</v>
      </c>
      <c r="K205" s="21">
        <f>SUMIFS(Tabla2[CANTIDAD],Tabla2[PRODUCTO],Tabla1[[#This Row],[PRODUCTO]])</f>
        <v>2</v>
      </c>
      <c r="L205" s="2" t="s">
        <v>44</v>
      </c>
      <c r="M205" s="2" t="s">
        <v>47</v>
      </c>
    </row>
    <row r="206" spans="2:13" ht="30" hidden="1" customHeight="1" x14ac:dyDescent="0.25">
      <c r="B206" s="24" t="str">
        <f>E206&amp;"-"&amp;COUNTIF($E$8:E206,E206)</f>
        <v>HM-45</v>
      </c>
      <c r="C206" s="22" t="s">
        <v>418</v>
      </c>
      <c r="D206" s="22" t="s">
        <v>19</v>
      </c>
      <c r="E206" s="21" t="str">
        <f>IFERROR(VLOOKUP(D206,Hoja3!$A$2:$B$50,2,0),"")</f>
        <v>HM</v>
      </c>
      <c r="F206" s="2" t="s">
        <v>51</v>
      </c>
      <c r="G206" s="2" t="s">
        <v>38</v>
      </c>
      <c r="H206" s="20" t="str">
        <f>IF(Tabla1[[#This Row],[EXISTENCIA ACTUAL]]=0,"AGOTADO",  IF(Tabla1[[#This Row],[EXISTENCIA ACTUAL]]&lt;Tabla1[[#This Row],[STOCK MINIMO]],"MENOR AL MINIMO", "OK"))</f>
        <v>OK</v>
      </c>
      <c r="I206" s="2">
        <f>IF(Tabla1[[#This Row],[EXISTENCIA ACTUAL]]=0,0,  IF(Tabla1[[#This Row],[EXISTENCIA ACTUAL]]&lt;Tabla1[[#This Row],[STOCK MINIMO]],1, 2))</f>
        <v>2</v>
      </c>
      <c r="J206" s="2">
        <v>1</v>
      </c>
      <c r="K206" s="21">
        <f>SUMIFS(Tabla2[CANTIDAD],Tabla2[PRODUCTO],Tabla1[[#This Row],[PRODUCTO]])</f>
        <v>2</v>
      </c>
      <c r="L206" s="2" t="s">
        <v>44</v>
      </c>
      <c r="M206" s="2" t="s">
        <v>47</v>
      </c>
    </row>
    <row r="207" spans="2:13" ht="30" hidden="1" customHeight="1" x14ac:dyDescent="0.25">
      <c r="B207" s="24" t="str">
        <f>E207&amp;"-"&amp;COUNTIF($E$8:E207,E207)</f>
        <v>UE-58</v>
      </c>
      <c r="C207" s="22" t="s">
        <v>421</v>
      </c>
      <c r="D207" s="22" t="s">
        <v>21</v>
      </c>
      <c r="E207" s="21" t="str">
        <f>IFERROR(VLOOKUP(D207,Hoja3!$A$2:$B$50,2,0),"")</f>
        <v>UE</v>
      </c>
      <c r="F207" s="2" t="s">
        <v>51</v>
      </c>
      <c r="G207" s="2" t="s">
        <v>38</v>
      </c>
      <c r="H207" s="20" t="str">
        <f>IF(Tabla1[[#This Row],[EXISTENCIA ACTUAL]]=0,"AGOTADO",  IF(Tabla1[[#This Row],[EXISTENCIA ACTUAL]]&lt;Tabla1[[#This Row],[STOCK MINIMO]],"MENOR AL MINIMO", "OK"))</f>
        <v>OK</v>
      </c>
      <c r="I207" s="2">
        <f>IF(Tabla1[[#This Row],[EXISTENCIA ACTUAL]]=0,0,  IF(Tabla1[[#This Row],[EXISTENCIA ACTUAL]]&lt;Tabla1[[#This Row],[STOCK MINIMO]],1, 2))</f>
        <v>2</v>
      </c>
      <c r="J207" s="2">
        <v>5</v>
      </c>
      <c r="K207" s="21">
        <f>SUMIFS(Tabla2[CANTIDAD],Tabla2[PRODUCTO],Tabla1[[#This Row],[PRODUCTO]])</f>
        <v>28</v>
      </c>
      <c r="L207" s="2" t="s">
        <v>44</v>
      </c>
      <c r="M207" s="2" t="s">
        <v>47</v>
      </c>
    </row>
    <row r="208" spans="2:13" ht="30" hidden="1" customHeight="1" x14ac:dyDescent="0.25">
      <c r="B208" s="24" t="str">
        <f>E208&amp;"-"&amp;COUNTIF($E$8:E208,E208)</f>
        <v>IS-41</v>
      </c>
      <c r="C208" s="22" t="s">
        <v>424</v>
      </c>
      <c r="D208" s="22" t="s">
        <v>24</v>
      </c>
      <c r="E208" s="21" t="str">
        <f>IFERROR(VLOOKUP(D208,Hoja3!$A$2:$B$50,2,0),"")</f>
        <v>IS</v>
      </c>
      <c r="F208" s="2" t="s">
        <v>51</v>
      </c>
      <c r="G208" s="2" t="s">
        <v>38</v>
      </c>
      <c r="H208" s="20" t="str">
        <f>IF(Tabla1[[#This Row],[EXISTENCIA ACTUAL]]=0,"AGOTADO",  IF(Tabla1[[#This Row],[EXISTENCIA ACTUAL]]&lt;Tabla1[[#This Row],[STOCK MINIMO]],"MENOR AL MINIMO", "OK"))</f>
        <v>OK</v>
      </c>
      <c r="I208" s="2">
        <f>IF(Tabla1[[#This Row],[EXISTENCIA ACTUAL]]=0,0,  IF(Tabla1[[#This Row],[EXISTENCIA ACTUAL]]&lt;Tabla1[[#This Row],[STOCK MINIMO]],1, 2))</f>
        <v>2</v>
      </c>
      <c r="J208" s="2">
        <v>4</v>
      </c>
      <c r="K208" s="21">
        <f>SUMIFS(Tabla2[CANTIDAD],Tabla2[PRODUCTO],Tabla1[[#This Row],[PRODUCTO]])</f>
        <v>10</v>
      </c>
      <c r="L208" s="2" t="s">
        <v>45</v>
      </c>
      <c r="M208" s="2" t="s">
        <v>47</v>
      </c>
    </row>
    <row r="209" spans="2:13" ht="30" hidden="1" customHeight="1" x14ac:dyDescent="0.25">
      <c r="B209" s="24" t="str">
        <f>E209&amp;"-"&amp;COUNTIF($E$8:E209,E209)</f>
        <v>IS-42</v>
      </c>
      <c r="C209" s="22" t="s">
        <v>425</v>
      </c>
      <c r="D209" s="22" t="s">
        <v>24</v>
      </c>
      <c r="E209" s="21" t="str">
        <f>IFERROR(VLOOKUP(D209,Hoja3!$A$2:$B$50,2,0),"")</f>
        <v>IS</v>
      </c>
      <c r="F209" s="2" t="s">
        <v>51</v>
      </c>
      <c r="G209" s="2" t="s">
        <v>38</v>
      </c>
      <c r="H209" s="20" t="str">
        <f>IF(Tabla1[[#This Row],[EXISTENCIA ACTUAL]]=0,"AGOTADO",  IF(Tabla1[[#This Row],[EXISTENCIA ACTUAL]]&lt;Tabla1[[#This Row],[STOCK MINIMO]],"MENOR AL MINIMO", "OK"))</f>
        <v>OK</v>
      </c>
      <c r="I209" s="2">
        <f>IF(Tabla1[[#This Row],[EXISTENCIA ACTUAL]]=0,0,  IF(Tabla1[[#This Row],[EXISTENCIA ACTUAL]]&lt;Tabla1[[#This Row],[STOCK MINIMO]],1, 2))</f>
        <v>2</v>
      </c>
      <c r="J209" s="2">
        <v>5</v>
      </c>
      <c r="K209" s="21">
        <f>SUMIFS(Tabla2[CANTIDAD],Tabla2[PRODUCTO],Tabla1[[#This Row],[PRODUCTO]])</f>
        <v>28</v>
      </c>
      <c r="L209" s="2" t="s">
        <v>45</v>
      </c>
      <c r="M209" s="2" t="s">
        <v>47</v>
      </c>
    </row>
    <row r="210" spans="2:13" ht="30" hidden="1" customHeight="1" x14ac:dyDescent="0.25">
      <c r="B210" s="24" t="str">
        <f>E210&amp;"-"&amp;COUNTIF($E$8:E210,E210)</f>
        <v>OTR-10</v>
      </c>
      <c r="C210" s="22" t="s">
        <v>426</v>
      </c>
      <c r="D210" s="22" t="s">
        <v>148</v>
      </c>
      <c r="E210" s="21" t="str">
        <f>IFERROR(VLOOKUP(D210,Hoja3!$A$2:$B$50,2,0),"")</f>
        <v>OTR</v>
      </c>
      <c r="F210" s="2" t="s">
        <v>51</v>
      </c>
      <c r="G210" s="2" t="s">
        <v>38</v>
      </c>
      <c r="H210" s="20" t="str">
        <f>IF(Tabla1[[#This Row],[EXISTENCIA ACTUAL]]=0,"AGOTADO",  IF(Tabla1[[#This Row],[EXISTENCIA ACTUAL]]&lt;Tabla1[[#This Row],[STOCK MINIMO]],"MENOR AL MINIMO", "OK"))</f>
        <v>OK</v>
      </c>
      <c r="I210" s="2">
        <f>IF(Tabla1[[#This Row],[EXISTENCIA ACTUAL]]=0,0,  IF(Tabla1[[#This Row],[EXISTENCIA ACTUAL]]&lt;Tabla1[[#This Row],[STOCK MINIMO]],1, 2))</f>
        <v>2</v>
      </c>
      <c r="J210" s="2">
        <v>10</v>
      </c>
      <c r="K210" s="21">
        <f>SUMIFS(Tabla2[CANTIDAD],Tabla2[PRODUCTO],Tabla1[[#This Row],[PRODUCTO]])</f>
        <v>111</v>
      </c>
      <c r="L210" s="2" t="s">
        <v>44</v>
      </c>
      <c r="M210" s="2" t="s">
        <v>47</v>
      </c>
    </row>
    <row r="211" spans="2:13" ht="30" hidden="1" customHeight="1" x14ac:dyDescent="0.25">
      <c r="B211" s="24" t="str">
        <f>E211&amp;"-"&amp;COUNTIF($E$8:E211,E211)</f>
        <v>HM-46</v>
      </c>
      <c r="C211" s="22" t="s">
        <v>427</v>
      </c>
      <c r="D211" s="22" t="s">
        <v>19</v>
      </c>
      <c r="E211" s="21" t="str">
        <f>IFERROR(VLOOKUP(D211,Hoja3!$A$2:$B$50,2,0),"")</f>
        <v>HM</v>
      </c>
      <c r="F211" s="2" t="s">
        <v>51</v>
      </c>
      <c r="G211" s="2" t="s">
        <v>38</v>
      </c>
      <c r="H211" s="20" t="str">
        <f>IF(Tabla1[[#This Row],[EXISTENCIA ACTUAL]]=0,"AGOTADO",  IF(Tabla1[[#This Row],[EXISTENCIA ACTUAL]]&lt;Tabla1[[#This Row],[STOCK MINIMO]],"MENOR AL MINIMO", "OK"))</f>
        <v>OK</v>
      </c>
      <c r="I211" s="2">
        <f>IF(Tabla1[[#This Row],[EXISTENCIA ACTUAL]]=0,0,  IF(Tabla1[[#This Row],[EXISTENCIA ACTUAL]]&lt;Tabla1[[#This Row],[STOCK MINIMO]],1, 2))</f>
        <v>2</v>
      </c>
      <c r="J211" s="2">
        <v>1</v>
      </c>
      <c r="K211" s="21">
        <f>SUMIFS(Tabla2[CANTIDAD],Tabla2[PRODUCTO],Tabla1[[#This Row],[PRODUCTO]])</f>
        <v>1</v>
      </c>
      <c r="L211" s="2" t="s">
        <v>45</v>
      </c>
      <c r="M211" s="2" t="s">
        <v>413</v>
      </c>
    </row>
    <row r="212" spans="2:13" ht="30" hidden="1" customHeight="1" x14ac:dyDescent="0.25">
      <c r="B212" s="24" t="str">
        <f>E212&amp;"-"&amp;COUNTIF($E$8:E212,E212)</f>
        <v>HM-47</v>
      </c>
      <c r="C212" s="22" t="s">
        <v>428</v>
      </c>
      <c r="D212" s="22" t="s">
        <v>19</v>
      </c>
      <c r="E212" s="21" t="str">
        <f>IFERROR(VLOOKUP(D212,Hoja3!$A$2:$B$50,2,0),"")</f>
        <v>HM</v>
      </c>
      <c r="F212" s="2" t="s">
        <v>51</v>
      </c>
      <c r="G212" s="2" t="s">
        <v>38</v>
      </c>
      <c r="H212" s="20" t="str">
        <f>IF(Tabla1[[#This Row],[EXISTENCIA ACTUAL]]=0,"AGOTADO",  IF(Tabla1[[#This Row],[EXISTENCIA ACTUAL]]&lt;Tabla1[[#This Row],[STOCK MINIMO]],"MENOR AL MINIMO", "OK"))</f>
        <v>AGOTADO</v>
      </c>
      <c r="I212" s="2">
        <f>IF(Tabla1[[#This Row],[EXISTENCIA ACTUAL]]=0,0,  IF(Tabla1[[#This Row],[EXISTENCIA ACTUAL]]&lt;Tabla1[[#This Row],[STOCK MINIMO]],1, 2))</f>
        <v>0</v>
      </c>
      <c r="J212" s="2">
        <v>1</v>
      </c>
      <c r="K212" s="21">
        <f>SUMIFS(Tabla2[CANTIDAD],Tabla2[PRODUCTO],Tabla1[[#This Row],[PRODUCTO]])</f>
        <v>0</v>
      </c>
      <c r="L212" s="2" t="s">
        <v>44</v>
      </c>
      <c r="M212" s="2" t="s">
        <v>47</v>
      </c>
    </row>
    <row r="213" spans="2:13" ht="30" hidden="1" customHeight="1" x14ac:dyDescent="0.25">
      <c r="B213" s="24" t="str">
        <f>E213&amp;"-"&amp;COUNTIF($E$8:E213,E213)</f>
        <v>HM-48</v>
      </c>
      <c r="C213" s="22" t="s">
        <v>430</v>
      </c>
      <c r="D213" s="22" t="s">
        <v>19</v>
      </c>
      <c r="E213" s="21" t="str">
        <f>IFERROR(VLOOKUP(D213,Hoja3!$A$2:$B$50,2,0),"")</f>
        <v>HM</v>
      </c>
      <c r="F213" s="2" t="s">
        <v>51</v>
      </c>
      <c r="G213" s="2" t="s">
        <v>38</v>
      </c>
      <c r="H213" s="20" t="str">
        <f>IF(Tabla1[[#This Row],[EXISTENCIA ACTUAL]]=0,"AGOTADO",  IF(Tabla1[[#This Row],[EXISTENCIA ACTUAL]]&lt;Tabla1[[#This Row],[STOCK MINIMO]],"MENOR AL MINIMO", "OK"))</f>
        <v>AGOTADO</v>
      </c>
      <c r="I213" s="2">
        <f>IF(Tabla1[[#This Row],[EXISTENCIA ACTUAL]]=0,0,  IF(Tabla1[[#This Row],[EXISTENCIA ACTUAL]]&lt;Tabla1[[#This Row],[STOCK MINIMO]],1, 2))</f>
        <v>0</v>
      </c>
      <c r="J213" s="2">
        <v>1</v>
      </c>
      <c r="K213" s="21">
        <f>SUMIFS(Tabla2[CANTIDAD],Tabla2[PRODUCTO],Tabla1[[#This Row],[PRODUCTO]])</f>
        <v>0</v>
      </c>
      <c r="L213" s="2" t="s">
        <v>44</v>
      </c>
      <c r="M213" s="2" t="s">
        <v>47</v>
      </c>
    </row>
    <row r="214" spans="2:13" ht="30" hidden="1" customHeight="1" x14ac:dyDescent="0.25">
      <c r="B214" s="24" t="str">
        <f>E214&amp;"-"&amp;COUNTIF($E$8:E214,E214)</f>
        <v>HM-49</v>
      </c>
      <c r="C214" s="22" t="s">
        <v>431</v>
      </c>
      <c r="D214" s="22" t="s">
        <v>19</v>
      </c>
      <c r="E214" s="21" t="str">
        <f>IFERROR(VLOOKUP(D214,Hoja3!$A$2:$B$50,2,0),"")</f>
        <v>HM</v>
      </c>
      <c r="F214" s="2" t="s">
        <v>51</v>
      </c>
      <c r="G214" s="2" t="s">
        <v>38</v>
      </c>
      <c r="H214" s="20" t="str">
        <f>IF(Tabla1[[#This Row],[EXISTENCIA ACTUAL]]=0,"AGOTADO",  IF(Tabla1[[#This Row],[EXISTENCIA ACTUAL]]&lt;Tabla1[[#This Row],[STOCK MINIMO]],"MENOR AL MINIMO", "OK"))</f>
        <v>AGOTADO</v>
      </c>
      <c r="I214" s="2">
        <f>IF(Tabla1[[#This Row],[EXISTENCIA ACTUAL]]=0,0,  IF(Tabla1[[#This Row],[EXISTENCIA ACTUAL]]&lt;Tabla1[[#This Row],[STOCK MINIMO]],1, 2))</f>
        <v>0</v>
      </c>
      <c r="J214" s="2">
        <v>1</v>
      </c>
      <c r="K214" s="21">
        <f>SUMIFS(Tabla2[CANTIDAD],Tabla2[PRODUCTO],Tabla1[[#This Row],[PRODUCTO]])</f>
        <v>0</v>
      </c>
      <c r="L214" s="2" t="s">
        <v>44</v>
      </c>
      <c r="M214" s="2" t="s">
        <v>47</v>
      </c>
    </row>
    <row r="215" spans="2:13" ht="30" hidden="1" customHeight="1" x14ac:dyDescent="0.25">
      <c r="B215" s="24" t="str">
        <f>E215&amp;"-"&amp;COUNTIF($E$8:E215,E215)</f>
        <v>HM-50</v>
      </c>
      <c r="C215" s="22" t="s">
        <v>432</v>
      </c>
      <c r="D215" s="22" t="s">
        <v>19</v>
      </c>
      <c r="E215" s="21" t="str">
        <f>IFERROR(VLOOKUP(D215,Hoja3!$A$2:$B$50,2,0),"")</f>
        <v>HM</v>
      </c>
      <c r="F215" s="2" t="s">
        <v>51</v>
      </c>
      <c r="G215" s="2" t="s">
        <v>38</v>
      </c>
      <c r="H215" s="20" t="str">
        <f>IF(Tabla1[[#This Row],[EXISTENCIA ACTUAL]]=0,"AGOTADO",  IF(Tabla1[[#This Row],[EXISTENCIA ACTUAL]]&lt;Tabla1[[#This Row],[STOCK MINIMO]],"MENOR AL MINIMO", "OK"))</f>
        <v>AGOTADO</v>
      </c>
      <c r="I215" s="2">
        <f>IF(Tabla1[[#This Row],[EXISTENCIA ACTUAL]]=0,0,  IF(Tabla1[[#This Row],[EXISTENCIA ACTUAL]]&lt;Tabla1[[#This Row],[STOCK MINIMO]],1, 2))</f>
        <v>0</v>
      </c>
      <c r="J215" s="2">
        <v>1</v>
      </c>
      <c r="K215" s="21">
        <f>SUMIFS(Tabla2[CANTIDAD],Tabla2[PRODUCTO],Tabla1[[#This Row],[PRODUCTO]])</f>
        <v>0</v>
      </c>
      <c r="L215" s="2" t="s">
        <v>44</v>
      </c>
      <c r="M215" s="2" t="s">
        <v>47</v>
      </c>
    </row>
    <row r="216" spans="2:13" ht="30" hidden="1" customHeight="1" x14ac:dyDescent="0.25">
      <c r="B216" s="24" t="str">
        <f>E216&amp;"-"&amp;COUNTIF($E$8:E216,E216)</f>
        <v>ISA-12</v>
      </c>
      <c r="C216" s="22" t="s">
        <v>434</v>
      </c>
      <c r="D216" s="22" t="s">
        <v>133</v>
      </c>
      <c r="E216" s="21" t="str">
        <f>IFERROR(VLOOKUP(D216,Hoja3!$A$2:$B$50,2,0),"")</f>
        <v>ISA</v>
      </c>
      <c r="F216" s="2" t="s">
        <v>51</v>
      </c>
      <c r="G216" s="2" t="s">
        <v>38</v>
      </c>
      <c r="H216" s="20" t="str">
        <f>IF(Tabla1[[#This Row],[EXISTENCIA ACTUAL]]=0,"AGOTADO",  IF(Tabla1[[#This Row],[EXISTENCIA ACTUAL]]&lt;Tabla1[[#This Row],[STOCK MINIMO]],"MENOR AL MINIMO", "OK"))</f>
        <v>AGOTADO</v>
      </c>
      <c r="I216" s="2">
        <f>IF(Tabla1[[#This Row],[EXISTENCIA ACTUAL]]=0,0,  IF(Tabla1[[#This Row],[EXISTENCIA ACTUAL]]&lt;Tabla1[[#This Row],[STOCK MINIMO]],1, 2))</f>
        <v>0</v>
      </c>
      <c r="J216" s="2">
        <v>1</v>
      </c>
      <c r="K216" s="21">
        <f>SUMIFS(Tabla2[CANTIDAD],Tabla2[PRODUCTO],Tabla1[[#This Row],[PRODUCTO]])</f>
        <v>0</v>
      </c>
      <c r="L216" s="2" t="s">
        <v>44</v>
      </c>
      <c r="M216" s="2" t="s">
        <v>47</v>
      </c>
    </row>
    <row r="217" spans="2:13" ht="30" hidden="1" customHeight="1" x14ac:dyDescent="0.25">
      <c r="B217" s="24" t="str">
        <f>E217&amp;"-"&amp;COUNTIF($E$8:E217,E217)</f>
        <v>ISA-13</v>
      </c>
      <c r="C217" s="22" t="s">
        <v>435</v>
      </c>
      <c r="D217" s="22" t="s">
        <v>133</v>
      </c>
      <c r="E217" s="21" t="str">
        <f>IFERROR(VLOOKUP(D217,Hoja3!$A$2:$B$50,2,0),"")</f>
        <v>ISA</v>
      </c>
      <c r="F217" s="2" t="s">
        <v>51</v>
      </c>
      <c r="G217" s="2" t="s">
        <v>38</v>
      </c>
      <c r="H217" s="20" t="str">
        <f>IF(Tabla1[[#This Row],[EXISTENCIA ACTUAL]]=0,"AGOTADO",  IF(Tabla1[[#This Row],[EXISTENCIA ACTUAL]]&lt;Tabla1[[#This Row],[STOCK MINIMO]],"MENOR AL MINIMO", "OK"))</f>
        <v>AGOTADO</v>
      </c>
      <c r="I217" s="2">
        <f>IF(Tabla1[[#This Row],[EXISTENCIA ACTUAL]]=0,0,  IF(Tabla1[[#This Row],[EXISTENCIA ACTUAL]]&lt;Tabla1[[#This Row],[STOCK MINIMO]],1, 2))</f>
        <v>0</v>
      </c>
      <c r="J217" s="2">
        <v>2</v>
      </c>
      <c r="K217" s="21">
        <f>SUMIFS(Tabla2[CANTIDAD],Tabla2[PRODUCTO],Tabla1[[#This Row],[PRODUCTO]])</f>
        <v>0</v>
      </c>
      <c r="L217" s="2" t="s">
        <v>44</v>
      </c>
      <c r="M217" s="2" t="s">
        <v>47</v>
      </c>
    </row>
    <row r="218" spans="2:13" ht="30" hidden="1" customHeight="1" x14ac:dyDescent="0.25">
      <c r="B218" s="24" t="str">
        <f>E218&amp;"-"&amp;COUNTIF($E$8:E218,E218)</f>
        <v>ISA-14</v>
      </c>
      <c r="C218" s="22" t="s">
        <v>436</v>
      </c>
      <c r="D218" s="22" t="s">
        <v>133</v>
      </c>
      <c r="E218" s="21" t="str">
        <f>IFERROR(VLOOKUP(D218,Hoja3!$A$2:$B$50,2,0),"")</f>
        <v>ISA</v>
      </c>
      <c r="F218" s="2" t="s">
        <v>51</v>
      </c>
      <c r="G218" s="2" t="s">
        <v>38</v>
      </c>
      <c r="H218" s="20" t="str">
        <f>IF(Tabla1[[#This Row],[EXISTENCIA ACTUAL]]=0,"AGOTADO",  IF(Tabla1[[#This Row],[EXISTENCIA ACTUAL]]&lt;Tabla1[[#This Row],[STOCK MINIMO]],"MENOR AL MINIMO", "OK"))</f>
        <v>AGOTADO</v>
      </c>
      <c r="I218" s="2">
        <f>IF(Tabla1[[#This Row],[EXISTENCIA ACTUAL]]=0,0,  IF(Tabla1[[#This Row],[EXISTENCIA ACTUAL]]&lt;Tabla1[[#This Row],[STOCK MINIMO]],1, 2))</f>
        <v>0</v>
      </c>
      <c r="J218" s="2">
        <v>1</v>
      </c>
      <c r="K218" s="21">
        <f>SUMIFS(Tabla2[CANTIDAD],Tabla2[PRODUCTO],Tabla1[[#This Row],[PRODUCTO]])</f>
        <v>0</v>
      </c>
      <c r="L218" s="2" t="s">
        <v>44</v>
      </c>
      <c r="M218" s="2" t="s">
        <v>47</v>
      </c>
    </row>
    <row r="219" spans="2:13" ht="30" hidden="1" customHeight="1" x14ac:dyDescent="0.25">
      <c r="B219" s="24" t="str">
        <f>E219&amp;"-"&amp;COUNTIF($E$8:E219,E219)</f>
        <v>ISA-15</v>
      </c>
      <c r="C219" s="22" t="s">
        <v>437</v>
      </c>
      <c r="D219" s="22" t="s">
        <v>133</v>
      </c>
      <c r="E219" s="21" t="str">
        <f>IFERROR(VLOOKUP(D219,Hoja3!$A$2:$B$50,2,0),"")</f>
        <v>ISA</v>
      </c>
      <c r="F219" s="2" t="s">
        <v>51</v>
      </c>
      <c r="G219" s="2" t="s">
        <v>38</v>
      </c>
      <c r="H219" s="20" t="str">
        <f>IF(Tabla1[[#This Row],[EXISTENCIA ACTUAL]]=0,"AGOTADO",  IF(Tabla1[[#This Row],[EXISTENCIA ACTUAL]]&lt;Tabla1[[#This Row],[STOCK MINIMO]],"MENOR AL MINIMO", "OK"))</f>
        <v>AGOTADO</v>
      </c>
      <c r="I219" s="2">
        <f>IF(Tabla1[[#This Row],[EXISTENCIA ACTUAL]]=0,0,  IF(Tabla1[[#This Row],[EXISTENCIA ACTUAL]]&lt;Tabla1[[#This Row],[STOCK MINIMO]],1, 2))</f>
        <v>0</v>
      </c>
      <c r="J219" s="2">
        <v>1</v>
      </c>
      <c r="K219" s="21">
        <f>SUMIFS(Tabla2[CANTIDAD],Tabla2[PRODUCTO],Tabla1[[#This Row],[PRODUCTO]])</f>
        <v>0</v>
      </c>
      <c r="L219" s="2" t="s">
        <v>44</v>
      </c>
      <c r="M219" s="2" t="s">
        <v>47</v>
      </c>
    </row>
    <row r="220" spans="2:13" ht="30" hidden="1" customHeight="1" x14ac:dyDescent="0.25">
      <c r="B220" s="24" t="str">
        <f>E220&amp;"-"&amp;COUNTIF($E$8:E220,E220)</f>
        <v>ISA-16</v>
      </c>
      <c r="C220" s="22" t="s">
        <v>438</v>
      </c>
      <c r="D220" s="22" t="s">
        <v>133</v>
      </c>
      <c r="E220" s="21" t="str">
        <f>IFERROR(VLOOKUP(D220,Hoja3!$A$2:$B$50,2,0),"")</f>
        <v>ISA</v>
      </c>
      <c r="F220" s="2" t="s">
        <v>51</v>
      </c>
      <c r="G220" s="2" t="s">
        <v>38</v>
      </c>
      <c r="H220" s="20" t="str">
        <f>IF(Tabla1[[#This Row],[EXISTENCIA ACTUAL]]=0,"AGOTADO",  IF(Tabla1[[#This Row],[EXISTENCIA ACTUAL]]&lt;Tabla1[[#This Row],[STOCK MINIMO]],"MENOR AL MINIMO", "OK"))</f>
        <v>AGOTADO</v>
      </c>
      <c r="I220" s="2">
        <f>IF(Tabla1[[#This Row],[EXISTENCIA ACTUAL]]=0,0,  IF(Tabla1[[#This Row],[EXISTENCIA ACTUAL]]&lt;Tabla1[[#This Row],[STOCK MINIMO]],1, 2))</f>
        <v>0</v>
      </c>
      <c r="J220" s="2">
        <v>1</v>
      </c>
      <c r="K220" s="21">
        <f>SUMIFS(Tabla2[CANTIDAD],Tabla2[PRODUCTO],Tabla1[[#This Row],[PRODUCTO]])</f>
        <v>0</v>
      </c>
      <c r="L220" s="2" t="s">
        <v>44</v>
      </c>
      <c r="M220" s="2" t="s">
        <v>47</v>
      </c>
    </row>
    <row r="221" spans="2:13" ht="30" hidden="1" customHeight="1" x14ac:dyDescent="0.25">
      <c r="B221" s="24" t="str">
        <f>E221&amp;"-"&amp;COUNTIF($E$8:E221,E221)</f>
        <v>ISA-17</v>
      </c>
      <c r="C221" s="22" t="s">
        <v>440</v>
      </c>
      <c r="D221" s="22" t="s">
        <v>133</v>
      </c>
      <c r="E221" s="21" t="str">
        <f>IFERROR(VLOOKUP(D221,Hoja3!$A$2:$B$50,2,0),"")</f>
        <v>ISA</v>
      </c>
      <c r="F221" s="2" t="s">
        <v>51</v>
      </c>
      <c r="G221" s="2" t="s">
        <v>38</v>
      </c>
      <c r="H221" s="20" t="str">
        <f>IF(Tabla1[[#This Row],[EXISTENCIA ACTUAL]]=0,"AGOTADO",  IF(Tabla1[[#This Row],[EXISTENCIA ACTUAL]]&lt;Tabla1[[#This Row],[STOCK MINIMO]],"MENOR AL MINIMO", "OK"))</f>
        <v>AGOTADO</v>
      </c>
      <c r="I221" s="2">
        <f>IF(Tabla1[[#This Row],[EXISTENCIA ACTUAL]]=0,0,  IF(Tabla1[[#This Row],[EXISTENCIA ACTUAL]]&lt;Tabla1[[#This Row],[STOCK MINIMO]],1, 2))</f>
        <v>0</v>
      </c>
      <c r="J221" s="2">
        <v>1</v>
      </c>
      <c r="K221" s="21">
        <f>SUMIFS(Tabla2[CANTIDAD],Tabla2[PRODUCTO],Tabla1[[#This Row],[PRODUCTO]])</f>
        <v>0</v>
      </c>
      <c r="L221" s="2" t="s">
        <v>44</v>
      </c>
      <c r="M221" s="2" t="s">
        <v>47</v>
      </c>
    </row>
    <row r="222" spans="2:13" ht="30" hidden="1" customHeight="1" x14ac:dyDescent="0.25">
      <c r="B222" s="24" t="str">
        <f>E222&amp;"-"&amp;COUNTIF($E$8:E222,E222)</f>
        <v>ISA-18</v>
      </c>
      <c r="C222" s="22" t="s">
        <v>441</v>
      </c>
      <c r="D222" s="22" t="s">
        <v>133</v>
      </c>
      <c r="E222" s="21" t="str">
        <f>IFERROR(VLOOKUP(D222,Hoja3!$A$2:$B$50,2,0),"")</f>
        <v>ISA</v>
      </c>
      <c r="F222" s="2" t="s">
        <v>51</v>
      </c>
      <c r="G222" s="2" t="s">
        <v>38</v>
      </c>
      <c r="H222" s="20" t="str">
        <f>IF(Tabla1[[#This Row],[EXISTENCIA ACTUAL]]=0,"AGOTADO",  IF(Tabla1[[#This Row],[EXISTENCIA ACTUAL]]&lt;Tabla1[[#This Row],[STOCK MINIMO]],"MENOR AL MINIMO", "OK"))</f>
        <v>OK</v>
      </c>
      <c r="I222" s="2">
        <f>IF(Tabla1[[#This Row],[EXISTENCIA ACTUAL]]=0,0,  IF(Tabla1[[#This Row],[EXISTENCIA ACTUAL]]&lt;Tabla1[[#This Row],[STOCK MINIMO]],1, 2))</f>
        <v>2</v>
      </c>
      <c r="J222" s="2">
        <v>2</v>
      </c>
      <c r="K222" s="21">
        <f>SUMIFS(Tabla2[CANTIDAD],Tabla2[PRODUCTO],Tabla1[[#This Row],[PRODUCTO]])</f>
        <v>4</v>
      </c>
      <c r="L222" s="2" t="s">
        <v>44</v>
      </c>
      <c r="M222" s="2" t="s">
        <v>47</v>
      </c>
    </row>
    <row r="223" spans="2:13" ht="30" hidden="1" customHeight="1" x14ac:dyDescent="0.25">
      <c r="B223" s="24" t="str">
        <f>E223&amp;"-"&amp;COUNTIF($E$8:E223,E223)</f>
        <v>ISA-19</v>
      </c>
      <c r="C223" s="22" t="s">
        <v>442</v>
      </c>
      <c r="D223" s="22" t="s">
        <v>133</v>
      </c>
      <c r="E223" s="21" t="str">
        <f>IFERROR(VLOOKUP(D223,Hoja3!$A$2:$B$50,2,0),"")</f>
        <v>ISA</v>
      </c>
      <c r="F223" s="2" t="s">
        <v>51</v>
      </c>
      <c r="G223" s="2" t="s">
        <v>38</v>
      </c>
      <c r="H223" s="20" t="str">
        <f>IF(Tabla1[[#This Row],[EXISTENCIA ACTUAL]]=0,"AGOTADO",  IF(Tabla1[[#This Row],[EXISTENCIA ACTUAL]]&lt;Tabla1[[#This Row],[STOCK MINIMO]],"MENOR AL MINIMO", "OK"))</f>
        <v>OK</v>
      </c>
      <c r="I223" s="2">
        <f>IF(Tabla1[[#This Row],[EXISTENCIA ACTUAL]]=0,0,  IF(Tabla1[[#This Row],[EXISTENCIA ACTUAL]]&lt;Tabla1[[#This Row],[STOCK MINIMO]],1, 2))</f>
        <v>2</v>
      </c>
      <c r="J223" s="2">
        <v>1</v>
      </c>
      <c r="K223" s="21">
        <f>SUMIFS(Tabla2[CANTIDAD],Tabla2[PRODUCTO],Tabla1[[#This Row],[PRODUCTO]])</f>
        <v>1</v>
      </c>
      <c r="L223" s="2" t="s">
        <v>44</v>
      </c>
      <c r="M223" s="2" t="s">
        <v>47</v>
      </c>
    </row>
    <row r="224" spans="2:13" ht="30" hidden="1" customHeight="1" x14ac:dyDescent="0.25">
      <c r="B224" s="24" t="str">
        <f>E224&amp;"-"&amp;COUNTIF($E$8:E224,E224)</f>
        <v>ISA-20</v>
      </c>
      <c r="C224" s="22" t="s">
        <v>443</v>
      </c>
      <c r="D224" s="22" t="s">
        <v>133</v>
      </c>
      <c r="E224" s="21" t="str">
        <f>IFERROR(VLOOKUP(D224,Hoja3!$A$2:$B$50,2,0),"")</f>
        <v>ISA</v>
      </c>
      <c r="F224" s="2" t="s">
        <v>51</v>
      </c>
      <c r="G224" s="2" t="s">
        <v>38</v>
      </c>
      <c r="H224" s="20" t="str">
        <f>IF(Tabla1[[#This Row],[EXISTENCIA ACTUAL]]=0,"AGOTADO",  IF(Tabla1[[#This Row],[EXISTENCIA ACTUAL]]&lt;Tabla1[[#This Row],[STOCK MINIMO]],"MENOR AL MINIMO", "OK"))</f>
        <v>OK</v>
      </c>
      <c r="I224" s="2">
        <f>IF(Tabla1[[#This Row],[EXISTENCIA ACTUAL]]=0,0,  IF(Tabla1[[#This Row],[EXISTENCIA ACTUAL]]&lt;Tabla1[[#This Row],[STOCK MINIMO]],1, 2))</f>
        <v>2</v>
      </c>
      <c r="J224" s="2">
        <v>1</v>
      </c>
      <c r="K224" s="21">
        <f>SUMIFS(Tabla2[CANTIDAD],Tabla2[PRODUCTO],Tabla1[[#This Row],[PRODUCTO]])</f>
        <v>1</v>
      </c>
      <c r="L224" s="2" t="s">
        <v>44</v>
      </c>
      <c r="M224" s="2" t="s">
        <v>47</v>
      </c>
    </row>
    <row r="225" spans="2:13" ht="30" hidden="1" customHeight="1" x14ac:dyDescent="0.25">
      <c r="B225" s="24" t="str">
        <f>E225&amp;"-"&amp;COUNTIF($E$8:E225,E225)</f>
        <v>ISA-21</v>
      </c>
      <c r="C225" s="22" t="s">
        <v>444</v>
      </c>
      <c r="D225" s="22" t="s">
        <v>133</v>
      </c>
      <c r="E225" s="21" t="str">
        <f>IFERROR(VLOOKUP(D225,Hoja3!$A$2:$B$50,2,0),"")</f>
        <v>ISA</v>
      </c>
      <c r="F225" s="2" t="s">
        <v>51</v>
      </c>
      <c r="G225" s="2" t="s">
        <v>38</v>
      </c>
      <c r="H225" s="20" t="str">
        <f>IF(Tabla1[[#This Row],[EXISTENCIA ACTUAL]]=0,"AGOTADO",  IF(Tabla1[[#This Row],[EXISTENCIA ACTUAL]]&lt;Tabla1[[#This Row],[STOCK MINIMO]],"MENOR AL MINIMO", "OK"))</f>
        <v>OK</v>
      </c>
      <c r="I225" s="2">
        <f>IF(Tabla1[[#This Row],[EXISTENCIA ACTUAL]]=0,0,  IF(Tabla1[[#This Row],[EXISTENCIA ACTUAL]]&lt;Tabla1[[#This Row],[STOCK MINIMO]],1, 2))</f>
        <v>2</v>
      </c>
      <c r="J225" s="2">
        <v>1</v>
      </c>
      <c r="K225" s="21">
        <f>SUMIFS(Tabla2[CANTIDAD],Tabla2[PRODUCTO],Tabla1[[#This Row],[PRODUCTO]])</f>
        <v>1</v>
      </c>
      <c r="L225" s="2" t="s">
        <v>44</v>
      </c>
      <c r="M225" s="2" t="s">
        <v>47</v>
      </c>
    </row>
    <row r="226" spans="2:13" ht="30" hidden="1" customHeight="1" x14ac:dyDescent="0.25">
      <c r="B226" s="24" t="str">
        <f>E226&amp;"-"&amp;COUNTIF($E$8:E226,E226)</f>
        <v>ISA-22</v>
      </c>
      <c r="C226" s="22" t="s">
        <v>445</v>
      </c>
      <c r="D226" s="22" t="s">
        <v>133</v>
      </c>
      <c r="E226" s="21" t="str">
        <f>IFERROR(VLOOKUP(D226,Hoja3!$A$2:$B$50,2,0),"")</f>
        <v>ISA</v>
      </c>
      <c r="F226" s="2" t="s">
        <v>51</v>
      </c>
      <c r="G226" s="2" t="s">
        <v>38</v>
      </c>
      <c r="H226" s="20" t="str">
        <f>IF(Tabla1[[#This Row],[EXISTENCIA ACTUAL]]=0,"AGOTADO",  IF(Tabla1[[#This Row],[EXISTENCIA ACTUAL]]&lt;Tabla1[[#This Row],[STOCK MINIMO]],"MENOR AL MINIMO", "OK"))</f>
        <v>OK</v>
      </c>
      <c r="I226" s="2">
        <f>IF(Tabla1[[#This Row],[EXISTENCIA ACTUAL]]=0,0,  IF(Tabla1[[#This Row],[EXISTENCIA ACTUAL]]&lt;Tabla1[[#This Row],[STOCK MINIMO]],1, 2))</f>
        <v>2</v>
      </c>
      <c r="J226" s="2">
        <v>1</v>
      </c>
      <c r="K226" s="21">
        <f>SUMIFS(Tabla2[CANTIDAD],Tabla2[PRODUCTO],Tabla1[[#This Row],[PRODUCTO]])</f>
        <v>3</v>
      </c>
      <c r="L226" s="2" t="s">
        <v>44</v>
      </c>
      <c r="M226" s="2" t="s">
        <v>47</v>
      </c>
    </row>
    <row r="227" spans="2:13" ht="30" hidden="1" customHeight="1" x14ac:dyDescent="0.25">
      <c r="B227" s="24" t="str">
        <f>E227&amp;"-"&amp;COUNTIF($E$8:E227,E227)</f>
        <v>HM-51</v>
      </c>
      <c r="C227" s="22" t="s">
        <v>446</v>
      </c>
      <c r="D227" s="22" t="s">
        <v>19</v>
      </c>
      <c r="E227" s="21" t="str">
        <f>IFERROR(VLOOKUP(D227,Hoja3!$A$2:$B$50,2,0),"")</f>
        <v>HM</v>
      </c>
      <c r="F227" s="2" t="s">
        <v>51</v>
      </c>
      <c r="G227" s="2" t="s">
        <v>38</v>
      </c>
      <c r="H227" s="20" t="str">
        <f>IF(Tabla1[[#This Row],[EXISTENCIA ACTUAL]]=0,"AGOTADO",  IF(Tabla1[[#This Row],[EXISTENCIA ACTUAL]]&lt;Tabla1[[#This Row],[STOCK MINIMO]],"MENOR AL MINIMO", "OK"))</f>
        <v>AGOTADO</v>
      </c>
      <c r="I227" s="2">
        <f>IF(Tabla1[[#This Row],[EXISTENCIA ACTUAL]]=0,0,  IF(Tabla1[[#This Row],[EXISTENCIA ACTUAL]]&lt;Tabla1[[#This Row],[STOCK MINIMO]],1, 2))</f>
        <v>0</v>
      </c>
      <c r="J227" s="2">
        <v>1</v>
      </c>
      <c r="K227" s="21">
        <f>SUMIFS(Tabla2[CANTIDAD],Tabla2[PRODUCTO],Tabla1[[#This Row],[PRODUCTO]])</f>
        <v>0</v>
      </c>
      <c r="L227" s="2" t="s">
        <v>44</v>
      </c>
      <c r="M227" s="2" t="s">
        <v>47</v>
      </c>
    </row>
    <row r="228" spans="2:13" ht="30" hidden="1" customHeight="1" x14ac:dyDescent="0.25">
      <c r="B228" s="24" t="str">
        <f>E228&amp;"-"&amp;COUNTIF($E$8:E228,E228)</f>
        <v>OTR-11</v>
      </c>
      <c r="C228" s="22" t="s">
        <v>447</v>
      </c>
      <c r="D228" s="22" t="s">
        <v>148</v>
      </c>
      <c r="E228" s="21" t="str">
        <f>IFERROR(VLOOKUP(D228,Hoja3!$A$2:$B$50,2,0),"")</f>
        <v>OTR</v>
      </c>
      <c r="F228" s="2" t="s">
        <v>51</v>
      </c>
      <c r="G228" s="2" t="s">
        <v>38</v>
      </c>
      <c r="H228" s="20" t="str">
        <f>IF(Tabla1[[#This Row],[EXISTENCIA ACTUAL]]=0,"AGOTADO",  IF(Tabla1[[#This Row],[EXISTENCIA ACTUAL]]&lt;Tabla1[[#This Row],[STOCK MINIMO]],"MENOR AL MINIMO", "OK"))</f>
        <v>AGOTADO</v>
      </c>
      <c r="I228" s="2">
        <f>IF(Tabla1[[#This Row],[EXISTENCIA ACTUAL]]=0,0,  IF(Tabla1[[#This Row],[EXISTENCIA ACTUAL]]&lt;Tabla1[[#This Row],[STOCK MINIMO]],1, 2))</f>
        <v>0</v>
      </c>
      <c r="J228" s="2">
        <v>2</v>
      </c>
      <c r="K228" s="21">
        <f>SUMIFS(Tabla2[CANTIDAD],Tabla2[PRODUCTO],Tabla1[[#This Row],[PRODUCTO]])</f>
        <v>0</v>
      </c>
      <c r="L228" s="2" t="s">
        <v>44</v>
      </c>
      <c r="M228" s="2" t="s">
        <v>47</v>
      </c>
    </row>
    <row r="229" spans="2:13" ht="30" hidden="1" customHeight="1" x14ac:dyDescent="0.25">
      <c r="B229" s="24" t="str">
        <f>E229&amp;"-"&amp;COUNTIF($E$8:E229,E229)</f>
        <v>IE-13</v>
      </c>
      <c r="C229" s="22" t="s">
        <v>448</v>
      </c>
      <c r="D229" s="22" t="s">
        <v>27</v>
      </c>
      <c r="E229" s="21" t="str">
        <f>IFERROR(VLOOKUP(D229,Hoja3!$A$2:$B$50,2,0),"")</f>
        <v>IE</v>
      </c>
      <c r="F229" s="2" t="s">
        <v>51</v>
      </c>
      <c r="G229" s="2" t="s">
        <v>38</v>
      </c>
      <c r="H229" s="20" t="str">
        <f>IF(Tabla1[[#This Row],[EXISTENCIA ACTUAL]]=0,"AGOTADO",  IF(Tabla1[[#This Row],[EXISTENCIA ACTUAL]]&lt;Tabla1[[#This Row],[STOCK MINIMO]],"MENOR AL MINIMO", "OK"))</f>
        <v>OK</v>
      </c>
      <c r="I229" s="2">
        <f>IF(Tabla1[[#This Row],[EXISTENCIA ACTUAL]]=0,0,  IF(Tabla1[[#This Row],[EXISTENCIA ACTUAL]]&lt;Tabla1[[#This Row],[STOCK MINIMO]],1, 2))</f>
        <v>2</v>
      </c>
      <c r="J229" s="2">
        <v>1</v>
      </c>
      <c r="K229" s="21">
        <f>SUMIFS(Tabla2[CANTIDAD],Tabla2[PRODUCTO],Tabla1[[#This Row],[PRODUCTO]])</f>
        <v>2</v>
      </c>
      <c r="L229" s="2" t="s">
        <v>44</v>
      </c>
      <c r="M229" s="2" t="s">
        <v>47</v>
      </c>
    </row>
    <row r="230" spans="2:13" ht="30" hidden="1" customHeight="1" x14ac:dyDescent="0.25">
      <c r="B230" s="24" t="str">
        <f>E230&amp;"-"&amp;COUNTIF($E$8:E230,E230)</f>
        <v>ULI-6</v>
      </c>
      <c r="C230" s="22" t="s">
        <v>453</v>
      </c>
      <c r="D230" s="22" t="s">
        <v>208</v>
      </c>
      <c r="E230" s="21" t="str">
        <f>IFERROR(VLOOKUP(D230,Hoja3!$A$2:$B$50,2,0),"")</f>
        <v>ULI</v>
      </c>
      <c r="F230" s="2" t="s">
        <v>51</v>
      </c>
      <c r="G230" s="2" t="s">
        <v>38</v>
      </c>
      <c r="H230" s="20" t="str">
        <f>IF(Tabla1[[#This Row],[EXISTENCIA ACTUAL]]=0,"AGOTADO",  IF(Tabla1[[#This Row],[EXISTENCIA ACTUAL]]&lt;Tabla1[[#This Row],[STOCK MINIMO]],"MENOR AL MINIMO", "OK"))</f>
        <v>OK</v>
      </c>
      <c r="I230" s="2">
        <f>IF(Tabla1[[#This Row],[EXISTENCIA ACTUAL]]=0,0,  IF(Tabla1[[#This Row],[EXISTENCIA ACTUAL]]&lt;Tabla1[[#This Row],[STOCK MINIMO]],1, 2))</f>
        <v>2</v>
      </c>
      <c r="J230" s="2">
        <v>1</v>
      </c>
      <c r="K230" s="21">
        <f>SUMIFS(Tabla2[CANTIDAD],Tabla2[PRODUCTO],Tabla1[[#This Row],[PRODUCTO]])</f>
        <v>4</v>
      </c>
      <c r="L230" s="2" t="s">
        <v>44</v>
      </c>
      <c r="M230" s="2" t="s">
        <v>47</v>
      </c>
    </row>
    <row r="231" spans="2:13" ht="30" hidden="1" customHeight="1" x14ac:dyDescent="0.25">
      <c r="B231" s="24" t="str">
        <f>E231&amp;"-"&amp;COUNTIF($E$8:E231,E231)</f>
        <v>UE-59</v>
      </c>
      <c r="C231" s="22" t="s">
        <v>454</v>
      </c>
      <c r="D231" s="22" t="s">
        <v>21</v>
      </c>
      <c r="E231" s="21" t="str">
        <f>IFERROR(VLOOKUP(D231,Hoja3!$A$2:$B$50,2,0),"")</f>
        <v>UE</v>
      </c>
      <c r="F231" s="2" t="s">
        <v>51</v>
      </c>
      <c r="G231" s="2" t="s">
        <v>38</v>
      </c>
      <c r="H231" s="20" t="str">
        <f>IF(Tabla1[[#This Row],[EXISTENCIA ACTUAL]]=0,"AGOTADO",  IF(Tabla1[[#This Row],[EXISTENCIA ACTUAL]]&lt;Tabla1[[#This Row],[STOCK MINIMO]],"MENOR AL MINIMO", "OK"))</f>
        <v>OK</v>
      </c>
      <c r="I231" s="2">
        <f>IF(Tabla1[[#This Row],[EXISTENCIA ACTUAL]]=0,0,  IF(Tabla1[[#This Row],[EXISTENCIA ACTUAL]]&lt;Tabla1[[#This Row],[STOCK MINIMO]],1, 2))</f>
        <v>2</v>
      </c>
      <c r="J231" s="2">
        <v>1</v>
      </c>
      <c r="K231" s="21">
        <f>SUMIFS(Tabla2[CANTIDAD],Tabla2[PRODUCTO],Tabla1[[#This Row],[PRODUCTO]])</f>
        <v>1</v>
      </c>
      <c r="L231" s="2" t="s">
        <v>44</v>
      </c>
      <c r="M231" s="2" t="s">
        <v>47</v>
      </c>
    </row>
    <row r="232" spans="2:13" ht="30" hidden="1" customHeight="1" x14ac:dyDescent="0.25">
      <c r="B232" s="24" t="str">
        <f>E232&amp;"-"&amp;COUNTIF($E$8:E232,E232)</f>
        <v>UE-60</v>
      </c>
      <c r="C232" s="22" t="s">
        <v>455</v>
      </c>
      <c r="D232" s="22" t="s">
        <v>21</v>
      </c>
      <c r="E232" s="21" t="str">
        <f>IFERROR(VLOOKUP(D232,Hoja3!$A$2:$B$50,2,0),"")</f>
        <v>UE</v>
      </c>
      <c r="F232" s="2" t="s">
        <v>51</v>
      </c>
      <c r="G232" s="2" t="s">
        <v>38</v>
      </c>
      <c r="H232" s="20" t="str">
        <f>IF(Tabla1[[#This Row],[EXISTENCIA ACTUAL]]=0,"AGOTADO",  IF(Tabla1[[#This Row],[EXISTENCIA ACTUAL]]&lt;Tabla1[[#This Row],[STOCK MINIMO]],"MENOR AL MINIMO", "OK"))</f>
        <v>OK</v>
      </c>
      <c r="I232" s="2">
        <f>IF(Tabla1[[#This Row],[EXISTENCIA ACTUAL]]=0,0,  IF(Tabla1[[#This Row],[EXISTENCIA ACTUAL]]&lt;Tabla1[[#This Row],[STOCK MINIMO]],1, 2))</f>
        <v>2</v>
      </c>
      <c r="J232" s="2">
        <v>100</v>
      </c>
      <c r="K232" s="21">
        <f>SUMIFS(Tabla2[CANTIDAD],Tabla2[PRODUCTO],Tabla1[[#This Row],[PRODUCTO]])</f>
        <v>1000</v>
      </c>
      <c r="L232" s="2" t="s">
        <v>44</v>
      </c>
      <c r="M232" s="2" t="s">
        <v>47</v>
      </c>
    </row>
    <row r="233" spans="2:13" ht="30" hidden="1" customHeight="1" x14ac:dyDescent="0.25">
      <c r="B233" s="24" t="str">
        <f>E233&amp;"-"&amp;COUNTIF($E$8:E233,E233)</f>
        <v>UE-61</v>
      </c>
      <c r="C233" s="22" t="s">
        <v>456</v>
      </c>
      <c r="D233" s="22" t="s">
        <v>21</v>
      </c>
      <c r="E233" s="21" t="str">
        <f>IFERROR(VLOOKUP(D233,Hoja3!$A$2:$B$50,2,0),"")</f>
        <v>UE</v>
      </c>
      <c r="F233" s="2" t="s">
        <v>51</v>
      </c>
      <c r="G233" s="2" t="s">
        <v>38</v>
      </c>
      <c r="H233" s="20" t="str">
        <f>IF(Tabla1[[#This Row],[EXISTENCIA ACTUAL]]=0,"AGOTADO",  IF(Tabla1[[#This Row],[EXISTENCIA ACTUAL]]&lt;Tabla1[[#This Row],[STOCK MINIMO]],"MENOR AL MINIMO", "OK"))</f>
        <v>OK</v>
      </c>
      <c r="I233" s="2">
        <f>IF(Tabla1[[#This Row],[EXISTENCIA ACTUAL]]=0,0,  IF(Tabla1[[#This Row],[EXISTENCIA ACTUAL]]&lt;Tabla1[[#This Row],[STOCK MINIMO]],1, 2))</f>
        <v>2</v>
      </c>
      <c r="J233" s="2">
        <v>1</v>
      </c>
      <c r="K233" s="21">
        <f>SUMIFS(Tabla2[CANTIDAD],Tabla2[PRODUCTO],Tabla1[[#This Row],[PRODUCTO]])</f>
        <v>2</v>
      </c>
      <c r="L233" s="2" t="s">
        <v>44</v>
      </c>
      <c r="M233" s="2" t="s">
        <v>47</v>
      </c>
    </row>
    <row r="234" spans="2:13" ht="30" hidden="1" customHeight="1" x14ac:dyDescent="0.25">
      <c r="B234" s="24" t="str">
        <f>E234&amp;"-"&amp;COUNTIF($E$8:E234,E234)</f>
        <v>UE-62</v>
      </c>
      <c r="C234" s="22" t="s">
        <v>457</v>
      </c>
      <c r="D234" s="22" t="s">
        <v>21</v>
      </c>
      <c r="E234" s="21" t="str">
        <f>IFERROR(VLOOKUP(D234,Hoja3!$A$2:$B$50,2,0),"")</f>
        <v>UE</v>
      </c>
      <c r="F234" s="2" t="s">
        <v>51</v>
      </c>
      <c r="G234" s="2" t="s">
        <v>38</v>
      </c>
      <c r="H234" s="20" t="str">
        <f>IF(Tabla1[[#This Row],[EXISTENCIA ACTUAL]]=0,"AGOTADO",  IF(Tabla1[[#This Row],[EXISTENCIA ACTUAL]]&lt;Tabla1[[#This Row],[STOCK MINIMO]],"MENOR AL MINIMO", "OK"))</f>
        <v>OK</v>
      </c>
      <c r="I234" s="2">
        <f>IF(Tabla1[[#This Row],[EXISTENCIA ACTUAL]]=0,0,  IF(Tabla1[[#This Row],[EXISTENCIA ACTUAL]]&lt;Tabla1[[#This Row],[STOCK MINIMO]],1, 2))</f>
        <v>2</v>
      </c>
      <c r="J234" s="2">
        <v>1</v>
      </c>
      <c r="K234" s="21">
        <f>SUMIFS(Tabla2[CANTIDAD],Tabla2[PRODUCTO],Tabla1[[#This Row],[PRODUCTO]])</f>
        <v>2</v>
      </c>
      <c r="L234" s="2" t="s">
        <v>44</v>
      </c>
      <c r="M234" s="2" t="s">
        <v>47</v>
      </c>
    </row>
    <row r="235" spans="2:13" ht="30" hidden="1" customHeight="1" x14ac:dyDescent="0.25">
      <c r="B235" s="24" t="str">
        <f>E235&amp;"-"&amp;COUNTIF($E$8:E235,E235)</f>
        <v>UE-63</v>
      </c>
      <c r="C235" s="22" t="s">
        <v>458</v>
      </c>
      <c r="D235" s="22" t="s">
        <v>21</v>
      </c>
      <c r="E235" s="21" t="str">
        <f>IFERROR(VLOOKUP(D235,Hoja3!$A$2:$B$50,2,0),"")</f>
        <v>UE</v>
      </c>
      <c r="F235" s="2" t="s">
        <v>51</v>
      </c>
      <c r="G235" s="2" t="s">
        <v>37</v>
      </c>
      <c r="H235" s="20" t="str">
        <f>IF(Tabla1[[#This Row],[EXISTENCIA ACTUAL]]=0,"AGOTADO",  IF(Tabla1[[#This Row],[EXISTENCIA ACTUAL]]&lt;Tabla1[[#This Row],[STOCK MINIMO]],"MENOR AL MINIMO", "OK"))</f>
        <v>OK</v>
      </c>
      <c r="I235" s="2">
        <f>IF(Tabla1[[#This Row],[EXISTENCIA ACTUAL]]=0,0,  IF(Tabla1[[#This Row],[EXISTENCIA ACTUAL]]&lt;Tabla1[[#This Row],[STOCK MINIMO]],1, 2))</f>
        <v>2</v>
      </c>
      <c r="J235" s="2">
        <v>1</v>
      </c>
      <c r="K235" s="21">
        <f>SUMIFS(Tabla2[CANTIDAD],Tabla2[PRODUCTO],Tabla1[[#This Row],[PRODUCTO]])</f>
        <v>1</v>
      </c>
      <c r="L235" s="2" t="s">
        <v>44</v>
      </c>
      <c r="M235" s="2" t="s">
        <v>47</v>
      </c>
    </row>
    <row r="236" spans="2:13" ht="30" hidden="1" customHeight="1" x14ac:dyDescent="0.25">
      <c r="B236" s="24" t="str">
        <f>E236&amp;"-"&amp;COUNTIF($E$8:E236,E236)</f>
        <v>UE-64</v>
      </c>
      <c r="C236" s="22" t="s">
        <v>459</v>
      </c>
      <c r="D236" s="22" t="s">
        <v>21</v>
      </c>
      <c r="E236" s="21" t="str">
        <f>IFERROR(VLOOKUP(D236,Hoja3!$A$2:$B$50,2,0),"")</f>
        <v>UE</v>
      </c>
      <c r="F236" s="2" t="s">
        <v>51</v>
      </c>
      <c r="G236" s="2" t="s">
        <v>37</v>
      </c>
      <c r="H236" s="20" t="str">
        <f>IF(Tabla1[[#This Row],[EXISTENCIA ACTUAL]]=0,"AGOTADO",  IF(Tabla1[[#This Row],[EXISTENCIA ACTUAL]]&lt;Tabla1[[#This Row],[STOCK MINIMO]],"MENOR AL MINIMO", "OK"))</f>
        <v>OK</v>
      </c>
      <c r="I236" s="2">
        <f>IF(Tabla1[[#This Row],[EXISTENCIA ACTUAL]]=0,0,  IF(Tabla1[[#This Row],[EXISTENCIA ACTUAL]]&lt;Tabla1[[#This Row],[STOCK MINIMO]],1, 2))</f>
        <v>2</v>
      </c>
      <c r="J236" s="2">
        <v>1</v>
      </c>
      <c r="K236" s="21">
        <f>SUMIFS(Tabla2[CANTIDAD],Tabla2[PRODUCTO],Tabla1[[#This Row],[PRODUCTO]])</f>
        <v>1</v>
      </c>
      <c r="L236" s="2" t="s">
        <v>44</v>
      </c>
      <c r="M236" s="2" t="s">
        <v>47</v>
      </c>
    </row>
    <row r="237" spans="2:13" ht="30" hidden="1" customHeight="1" x14ac:dyDescent="0.25">
      <c r="B237" s="24" t="str">
        <f>E237&amp;"-"&amp;COUNTIF($E$8:E237,E237)</f>
        <v>UE-65</v>
      </c>
      <c r="C237" s="22" t="s">
        <v>460</v>
      </c>
      <c r="D237" s="22" t="s">
        <v>21</v>
      </c>
      <c r="E237" s="21" t="str">
        <f>IFERROR(VLOOKUP(D237,Hoja3!$A$2:$B$50,2,0),"")</f>
        <v>UE</v>
      </c>
      <c r="F237" s="2" t="s">
        <v>51</v>
      </c>
      <c r="G237" s="2" t="s">
        <v>38</v>
      </c>
      <c r="H237" s="20" t="str">
        <f>IF(Tabla1[[#This Row],[EXISTENCIA ACTUAL]]=0,"AGOTADO",  IF(Tabla1[[#This Row],[EXISTENCIA ACTUAL]]&lt;Tabla1[[#This Row],[STOCK MINIMO]],"MENOR AL MINIMO", "OK"))</f>
        <v>AGOTADO</v>
      </c>
      <c r="I237" s="2">
        <f>IF(Tabla1[[#This Row],[EXISTENCIA ACTUAL]]=0,0,  IF(Tabla1[[#This Row],[EXISTENCIA ACTUAL]]&lt;Tabla1[[#This Row],[STOCK MINIMO]],1, 2))</f>
        <v>0</v>
      </c>
      <c r="J237" s="2">
        <v>100</v>
      </c>
      <c r="K237" s="21">
        <f>SUMIFS(Tabla2[CANTIDAD],Tabla2[PRODUCTO],Tabla1[[#This Row],[PRODUCTO]])</f>
        <v>0</v>
      </c>
      <c r="L237" s="2" t="s">
        <v>44</v>
      </c>
      <c r="M237" s="2" t="s">
        <v>47</v>
      </c>
    </row>
    <row r="238" spans="2:13" ht="30" hidden="1" customHeight="1" x14ac:dyDescent="0.25">
      <c r="B238" s="24" t="str">
        <f>E238&amp;"-"&amp;COUNTIF($E$8:E238,E238)</f>
        <v>SOL-1</v>
      </c>
      <c r="C238" s="22" t="s">
        <v>461</v>
      </c>
      <c r="D238" s="22" t="s">
        <v>462</v>
      </c>
      <c r="E238" s="21" t="str">
        <f>IFERROR(VLOOKUP(D238,Hoja3!$A$2:$B$50,2,0),"")</f>
        <v>SOL</v>
      </c>
      <c r="F238" s="2" t="s">
        <v>51</v>
      </c>
      <c r="G238" s="2" t="s">
        <v>38</v>
      </c>
      <c r="H238" s="20" t="str">
        <f>IF(Tabla1[[#This Row],[EXISTENCIA ACTUAL]]=0,"AGOTADO",  IF(Tabla1[[#This Row],[EXISTENCIA ACTUAL]]&lt;Tabla1[[#This Row],[STOCK MINIMO]],"MENOR AL MINIMO", "OK"))</f>
        <v>OK</v>
      </c>
      <c r="I238" s="2">
        <f>IF(Tabla1[[#This Row],[EXISTENCIA ACTUAL]]=0,0,  IF(Tabla1[[#This Row],[EXISTENCIA ACTUAL]]&lt;Tabla1[[#This Row],[STOCK MINIMO]],1, 2))</f>
        <v>2</v>
      </c>
      <c r="J238" s="2">
        <v>50</v>
      </c>
      <c r="K238" s="21">
        <f>SUMIFS(Tabla2[CANTIDAD],Tabla2[PRODUCTO],Tabla1[[#This Row],[PRODUCTO]])</f>
        <v>125</v>
      </c>
      <c r="L238" s="2" t="s">
        <v>44</v>
      </c>
      <c r="M238" s="2" t="s">
        <v>47</v>
      </c>
    </row>
    <row r="239" spans="2:13" ht="30" hidden="1" customHeight="1" x14ac:dyDescent="0.25">
      <c r="B239" s="24" t="str">
        <f>E239&amp;"-"&amp;COUNTIF($E$8:E239,E239)</f>
        <v>IE-14</v>
      </c>
      <c r="C239" s="22" t="s">
        <v>468</v>
      </c>
      <c r="D239" s="22" t="s">
        <v>27</v>
      </c>
      <c r="E239" s="21" t="str">
        <f>IFERROR(VLOOKUP(D239,Hoja3!$A$2:$B$50,2,0),"")</f>
        <v>IE</v>
      </c>
      <c r="F239" s="2" t="s">
        <v>51</v>
      </c>
      <c r="G239" s="2" t="s">
        <v>38</v>
      </c>
      <c r="H239" s="20" t="str">
        <f>IF(Tabla1[[#This Row],[EXISTENCIA ACTUAL]]=0,"AGOTADO",  IF(Tabla1[[#This Row],[EXISTENCIA ACTUAL]]&lt;Tabla1[[#This Row],[STOCK MINIMO]],"MENOR AL MINIMO", "OK"))</f>
        <v>AGOTADO</v>
      </c>
      <c r="I239" s="2">
        <f>IF(Tabla1[[#This Row],[EXISTENCIA ACTUAL]]=0,0,  IF(Tabla1[[#This Row],[EXISTENCIA ACTUAL]]&lt;Tabla1[[#This Row],[STOCK MINIMO]],1, 2))</f>
        <v>0</v>
      </c>
      <c r="J239" s="2">
        <v>2</v>
      </c>
      <c r="K239" s="21">
        <f>SUMIFS(Tabla2[CANTIDAD],Tabla2[PRODUCTO],Tabla1[[#This Row],[PRODUCTO]])</f>
        <v>0</v>
      </c>
      <c r="L239" s="2" t="s">
        <v>44</v>
      </c>
      <c r="M239" s="2" t="s">
        <v>47</v>
      </c>
    </row>
    <row r="240" spans="2:13" ht="30" hidden="1" customHeight="1" x14ac:dyDescent="0.25">
      <c r="B240" s="24" t="str">
        <f>E240&amp;"-"&amp;COUNTIF($E$8:E240,E240)</f>
        <v>IS-43</v>
      </c>
      <c r="C240" s="22" t="s">
        <v>477</v>
      </c>
      <c r="D240" s="22" t="s">
        <v>24</v>
      </c>
      <c r="E240" s="21" t="str">
        <f>IFERROR(VLOOKUP(D240,Hoja3!$A$2:$B$50,2,0),"")</f>
        <v>IS</v>
      </c>
      <c r="F240" s="2" t="s">
        <v>51</v>
      </c>
      <c r="G240" s="2" t="s">
        <v>38</v>
      </c>
      <c r="H240" s="20" t="str">
        <f>IF(Tabla1[[#This Row],[EXISTENCIA ACTUAL]]=0,"AGOTADO",  IF(Tabla1[[#This Row],[EXISTENCIA ACTUAL]]&lt;Tabla1[[#This Row],[STOCK MINIMO]],"MENOR AL MINIMO", "OK"))</f>
        <v>MENOR AL MINIMO</v>
      </c>
      <c r="I240" s="2">
        <f>IF(Tabla1[[#This Row],[EXISTENCIA ACTUAL]]=0,0,  IF(Tabla1[[#This Row],[EXISTENCIA ACTUAL]]&lt;Tabla1[[#This Row],[STOCK MINIMO]],1, 2))</f>
        <v>1</v>
      </c>
      <c r="J240" s="2">
        <v>4</v>
      </c>
      <c r="K240" s="21">
        <f>SUMIFS(Tabla2[CANTIDAD],Tabla2[PRODUCTO],Tabla1[[#This Row],[PRODUCTO]])</f>
        <v>3</v>
      </c>
      <c r="L240" s="2" t="s">
        <v>44</v>
      </c>
      <c r="M240" s="2" t="s">
        <v>47</v>
      </c>
    </row>
    <row r="241" spans="2:15" ht="30" hidden="1" customHeight="1" x14ac:dyDescent="0.25">
      <c r="B241" s="24" t="str">
        <f>E241&amp;"-"&amp;COUNTIF($E$8:E241,E241)</f>
        <v>UE-66</v>
      </c>
      <c r="C241" s="22" t="s">
        <v>476</v>
      </c>
      <c r="D241" s="22" t="s">
        <v>21</v>
      </c>
      <c r="E241" s="21" t="str">
        <f>IFERROR(VLOOKUP(D241,Hoja3!$A$2:$B$50,2,0),"")</f>
        <v>UE</v>
      </c>
      <c r="F241" s="2" t="s">
        <v>51</v>
      </c>
      <c r="G241" s="2" t="s">
        <v>96</v>
      </c>
      <c r="H241" s="20" t="str">
        <f>IF(Tabla1[[#This Row],[EXISTENCIA ACTUAL]]=0,"AGOTADO",  IF(Tabla1[[#This Row],[EXISTENCIA ACTUAL]]&lt;Tabla1[[#This Row],[STOCK MINIMO]],"MENOR AL MINIMO", "OK"))</f>
        <v>OK</v>
      </c>
      <c r="I241" s="2">
        <f>IF(Tabla1[[#This Row],[EXISTENCIA ACTUAL]]=0,0,  IF(Tabla1[[#This Row],[EXISTENCIA ACTUAL]]&lt;Tabla1[[#This Row],[STOCK MINIMO]],1, 2))</f>
        <v>2</v>
      </c>
      <c r="J241" s="2">
        <v>1</v>
      </c>
      <c r="K241" s="21">
        <f>SUMIFS(Tabla2[CANTIDAD],Tabla2[PRODUCTO],Tabla1[[#This Row],[PRODUCTO]])</f>
        <v>1</v>
      </c>
      <c r="L241" s="2" t="s">
        <v>44</v>
      </c>
      <c r="M241" s="2" t="s">
        <v>47</v>
      </c>
    </row>
    <row r="242" spans="2:15" ht="30" hidden="1" customHeight="1" x14ac:dyDescent="0.25">
      <c r="B242" s="24" t="str">
        <f>E242&amp;"-"&amp;COUNTIF($E$8:E242,E242)</f>
        <v>ULI-7</v>
      </c>
      <c r="C242" s="22" t="s">
        <v>478</v>
      </c>
      <c r="D242" s="22" t="s">
        <v>208</v>
      </c>
      <c r="E242" s="21" t="str">
        <f>IFERROR(VLOOKUP(D242,Hoja3!$A$2:$B$50,2,0),"")</f>
        <v>ULI</v>
      </c>
      <c r="F242" s="2" t="s">
        <v>51</v>
      </c>
      <c r="G242" s="2" t="s">
        <v>38</v>
      </c>
      <c r="H242" s="20" t="str">
        <f>IF(Tabla1[[#This Row],[EXISTENCIA ACTUAL]]=0,"AGOTADO",  IF(Tabla1[[#This Row],[EXISTENCIA ACTUAL]]&lt;Tabla1[[#This Row],[STOCK MINIMO]],"MENOR AL MINIMO", "OK"))</f>
        <v>OK</v>
      </c>
      <c r="I242" s="2">
        <f>IF(Tabla1[[#This Row],[EXISTENCIA ACTUAL]]=0,0,  IF(Tabla1[[#This Row],[EXISTENCIA ACTUAL]]&lt;Tabla1[[#This Row],[STOCK MINIMO]],1, 2))</f>
        <v>2</v>
      </c>
      <c r="J242" s="2">
        <v>10</v>
      </c>
      <c r="K242" s="21">
        <f>SUMIFS(Tabla2[CANTIDAD],Tabla2[PRODUCTO],Tabla1[[#This Row],[PRODUCTO]])</f>
        <v>100</v>
      </c>
      <c r="L242" s="2" t="s">
        <v>44</v>
      </c>
      <c r="M242" s="2" t="s">
        <v>47</v>
      </c>
    </row>
    <row r="243" spans="2:15" ht="30" hidden="1" customHeight="1" x14ac:dyDescent="0.25">
      <c r="B243" s="24" t="str">
        <f>E243&amp;"-"&amp;COUNTIF($E$8:E243,E243)</f>
        <v>IS-44</v>
      </c>
      <c r="C243" s="22" t="s">
        <v>479</v>
      </c>
      <c r="D243" s="22" t="s">
        <v>24</v>
      </c>
      <c r="E243" s="21" t="str">
        <f>IFERROR(VLOOKUP(D243,Hoja3!$A$2:$B$50,2,0),"")</f>
        <v>IS</v>
      </c>
      <c r="F243" s="2" t="s">
        <v>51</v>
      </c>
      <c r="G243" s="2" t="s">
        <v>38</v>
      </c>
      <c r="H243" s="20" t="str">
        <f>IF(Tabla1[[#This Row],[EXISTENCIA ACTUAL]]=0,"AGOTADO",  IF(Tabla1[[#This Row],[EXISTENCIA ACTUAL]]&lt;Tabla1[[#This Row],[STOCK MINIMO]],"MENOR AL MINIMO", "OK"))</f>
        <v>OK</v>
      </c>
      <c r="I243" s="2">
        <f>IF(Tabla1[[#This Row],[EXISTENCIA ACTUAL]]=0,0,  IF(Tabla1[[#This Row],[EXISTENCIA ACTUAL]]&lt;Tabla1[[#This Row],[STOCK MINIMO]],1, 2))</f>
        <v>2</v>
      </c>
      <c r="J243" s="2">
        <v>5</v>
      </c>
      <c r="K243" s="21">
        <f>SUMIFS(Tabla2[CANTIDAD],Tabla2[PRODUCTO],Tabla1[[#This Row],[PRODUCTO]])</f>
        <v>6</v>
      </c>
      <c r="L243" s="2" t="s">
        <v>45</v>
      </c>
      <c r="M243" s="2" t="s">
        <v>47</v>
      </c>
    </row>
    <row r="244" spans="2:15" ht="30" hidden="1" customHeight="1" x14ac:dyDescent="0.25">
      <c r="B244" s="24" t="str">
        <f>E244&amp;"-"&amp;COUNTIF($E$8:E244,E244)</f>
        <v>UE-67</v>
      </c>
      <c r="C244" s="22" t="s">
        <v>481</v>
      </c>
      <c r="D244" s="22" t="s">
        <v>21</v>
      </c>
      <c r="E244" s="21" t="str">
        <f>IFERROR(VLOOKUP(D244,Hoja3!$A$2:$B$50,2,0),"")</f>
        <v>UE</v>
      </c>
      <c r="F244" s="2" t="s">
        <v>51</v>
      </c>
      <c r="G244" s="2" t="s">
        <v>38</v>
      </c>
      <c r="H244" s="20" t="str">
        <f>IF(Tabla1[[#This Row],[EXISTENCIA ACTUAL]]=0,"AGOTADO",  IF(Tabla1[[#This Row],[EXISTENCIA ACTUAL]]&lt;Tabla1[[#This Row],[STOCK MINIMO]],"MENOR AL MINIMO", "OK"))</f>
        <v>AGOTADO</v>
      </c>
      <c r="I244" s="2">
        <f>IF(Tabla1[[#This Row],[EXISTENCIA ACTUAL]]=0,0,  IF(Tabla1[[#This Row],[EXISTENCIA ACTUAL]]&lt;Tabla1[[#This Row],[STOCK MINIMO]],1, 2))</f>
        <v>0</v>
      </c>
      <c r="J244" s="2">
        <v>1</v>
      </c>
      <c r="K244" s="21">
        <f>SUMIFS(Tabla2[CANTIDAD],Tabla2[PRODUCTO],Tabla1[[#This Row],[PRODUCTO]])</f>
        <v>0</v>
      </c>
      <c r="L244" s="2" t="s">
        <v>44</v>
      </c>
      <c r="M244" s="2" t="s">
        <v>47</v>
      </c>
    </row>
    <row r="245" spans="2:15" ht="30" hidden="1" customHeight="1" x14ac:dyDescent="0.25">
      <c r="B245" s="24" t="str">
        <f>E245&amp;"-"&amp;COUNTIF($E$8:E245,E245)</f>
        <v>UE-68</v>
      </c>
      <c r="C245" s="22" t="s">
        <v>482</v>
      </c>
      <c r="D245" s="22" t="s">
        <v>21</v>
      </c>
      <c r="E245" s="21" t="str">
        <f>IFERROR(VLOOKUP(D245,Hoja3!$A$2:$B$50,2,0),"")</f>
        <v>UE</v>
      </c>
      <c r="F245" s="2" t="s">
        <v>51</v>
      </c>
      <c r="G245" s="2" t="s">
        <v>38</v>
      </c>
      <c r="H245" s="20" t="str">
        <f>IF(Tabla1[[#This Row],[EXISTENCIA ACTUAL]]=0,"AGOTADO",  IF(Tabla1[[#This Row],[EXISTENCIA ACTUAL]]&lt;Tabla1[[#This Row],[STOCK MINIMO]],"MENOR AL MINIMO", "OK"))</f>
        <v>AGOTADO</v>
      </c>
      <c r="I245" s="2">
        <f>IF(Tabla1[[#This Row],[EXISTENCIA ACTUAL]]=0,0,  IF(Tabla1[[#This Row],[EXISTENCIA ACTUAL]]&lt;Tabla1[[#This Row],[STOCK MINIMO]],1, 2))</f>
        <v>0</v>
      </c>
      <c r="J245" s="2">
        <v>1</v>
      </c>
      <c r="K245" s="21">
        <f>SUMIFS(Tabla2[CANTIDAD],Tabla2[PRODUCTO],Tabla1[[#This Row],[PRODUCTO]])</f>
        <v>0</v>
      </c>
      <c r="L245" s="2" t="s">
        <v>44</v>
      </c>
      <c r="M245" s="2" t="s">
        <v>47</v>
      </c>
    </row>
    <row r="246" spans="2:15" ht="30" hidden="1" customHeight="1" x14ac:dyDescent="0.25">
      <c r="B246" s="24" t="str">
        <f>E246&amp;"-"&amp;COUNTIF($E$8:E246,E246)</f>
        <v>UE-69</v>
      </c>
      <c r="C246" s="22" t="s">
        <v>483</v>
      </c>
      <c r="D246" s="22" t="s">
        <v>21</v>
      </c>
      <c r="E246" s="21" t="str">
        <f>IFERROR(VLOOKUP(D246,Hoja3!$A$2:$B$50,2,0),"")</f>
        <v>UE</v>
      </c>
      <c r="F246" s="2" t="s">
        <v>51</v>
      </c>
      <c r="G246" s="2" t="s">
        <v>38</v>
      </c>
      <c r="H246" s="20" t="str">
        <f>IF(Tabla1[[#This Row],[EXISTENCIA ACTUAL]]=0,"AGOTADO",  IF(Tabla1[[#This Row],[EXISTENCIA ACTUAL]]&lt;Tabla1[[#This Row],[STOCK MINIMO]],"MENOR AL MINIMO", "OK"))</f>
        <v>AGOTADO</v>
      </c>
      <c r="I246" s="2">
        <f>IF(Tabla1[[#This Row],[EXISTENCIA ACTUAL]]=0,0,  IF(Tabla1[[#This Row],[EXISTENCIA ACTUAL]]&lt;Tabla1[[#This Row],[STOCK MINIMO]],1, 2))</f>
        <v>0</v>
      </c>
      <c r="J246" s="2">
        <v>1</v>
      </c>
      <c r="K246" s="21">
        <f>SUMIFS(Tabla2[CANTIDAD],Tabla2[PRODUCTO],Tabla1[[#This Row],[PRODUCTO]])</f>
        <v>0</v>
      </c>
      <c r="L246" s="2" t="s">
        <v>44</v>
      </c>
      <c r="M246" s="2" t="s">
        <v>47</v>
      </c>
    </row>
    <row r="247" spans="2:15" ht="30" hidden="1" customHeight="1" x14ac:dyDescent="0.25">
      <c r="B247" s="24" t="str">
        <f>E247&amp;"-"&amp;COUNTIF($E$8:E247,E247)</f>
        <v>UE-70</v>
      </c>
      <c r="C247" s="22" t="s">
        <v>484</v>
      </c>
      <c r="D247" s="22" t="s">
        <v>21</v>
      </c>
      <c r="E247" s="21" t="str">
        <f>IFERROR(VLOOKUP(D247,Hoja3!$A$2:$B$50,2,0),"")</f>
        <v>UE</v>
      </c>
      <c r="F247" s="2" t="s">
        <v>51</v>
      </c>
      <c r="G247" s="2" t="s">
        <v>38</v>
      </c>
      <c r="H247" s="20" t="str">
        <f>IF(Tabla1[[#This Row],[EXISTENCIA ACTUAL]]=0,"AGOTADO",  IF(Tabla1[[#This Row],[EXISTENCIA ACTUAL]]&lt;Tabla1[[#This Row],[STOCK MINIMO]],"MENOR AL MINIMO", "OK"))</f>
        <v>AGOTADO</v>
      </c>
      <c r="I247" s="2">
        <f>IF(Tabla1[[#This Row],[EXISTENCIA ACTUAL]]=0,0,  IF(Tabla1[[#This Row],[EXISTENCIA ACTUAL]]&lt;Tabla1[[#This Row],[STOCK MINIMO]],1, 2))</f>
        <v>0</v>
      </c>
      <c r="J247" s="2">
        <v>1</v>
      </c>
      <c r="K247" s="21">
        <f>SUMIFS(Tabla2[CANTIDAD],Tabla2[PRODUCTO],Tabla1[[#This Row],[PRODUCTO]])</f>
        <v>0</v>
      </c>
      <c r="L247" s="2" t="s">
        <v>44</v>
      </c>
      <c r="M247" s="2" t="s">
        <v>47</v>
      </c>
    </row>
    <row r="248" spans="2:15" ht="30" customHeight="1" x14ac:dyDescent="0.25">
      <c r="B248" s="24" t="str">
        <f>E248&amp;"-"&amp;COUNTIF($E$8:E248,E248)</f>
        <v>CEM-1</v>
      </c>
      <c r="C248" s="22" t="s">
        <v>485</v>
      </c>
      <c r="D248" s="22" t="s">
        <v>486</v>
      </c>
      <c r="E248" s="21" t="str">
        <f>IFERROR(VLOOKUP(D248,Hoja3!$A$2:$B$50,2,0),"")</f>
        <v>CEM</v>
      </c>
      <c r="F248" s="2" t="s">
        <v>51</v>
      </c>
      <c r="G248" s="2" t="s">
        <v>38</v>
      </c>
      <c r="H248" s="20" t="str">
        <f>IF(Tabla1[[#This Row],[EXISTENCIA ACTUAL]]=0,"AGOTADO",  IF(Tabla1[[#This Row],[EXISTENCIA ACTUAL]]&lt;Tabla1[[#This Row],[STOCK MINIMO]],"MENOR AL MINIMO", "OK"))</f>
        <v>OK</v>
      </c>
      <c r="I248" s="2">
        <f>IF(Tabla1[[#This Row],[EXISTENCIA ACTUAL]]=0,0,  IF(Tabla1[[#This Row],[EXISTENCIA ACTUAL]]&lt;Tabla1[[#This Row],[STOCK MINIMO]],1, 2))</f>
        <v>2</v>
      </c>
      <c r="J248" s="2">
        <v>50</v>
      </c>
      <c r="K248" s="21">
        <f>SUMIFS(Tabla2[CANTIDAD],Tabla2[PRODUCTO],Tabla1[[#This Row],[PRODUCTO]])</f>
        <v>1545</v>
      </c>
      <c r="L248" s="2" t="s">
        <v>44</v>
      </c>
      <c r="M248" s="2" t="s">
        <v>47</v>
      </c>
      <c r="O248" t="s">
        <v>487</v>
      </c>
    </row>
    <row r="249" spans="2:15" ht="30" hidden="1" customHeight="1" x14ac:dyDescent="0.25">
      <c r="B249" s="24" t="str">
        <f>E249&amp;"-"&amp;COUNTIF($E$8:E249,E249)</f>
        <v>IS-45</v>
      </c>
      <c r="C249" s="22" t="s">
        <v>498</v>
      </c>
      <c r="D249" s="22" t="s">
        <v>24</v>
      </c>
      <c r="E249" s="21" t="str">
        <f>IFERROR(VLOOKUP(D249,Hoja3!$A$2:$B$50,2,0),"")</f>
        <v>IS</v>
      </c>
      <c r="F249" s="2" t="s">
        <v>51</v>
      </c>
      <c r="G249" s="2" t="s">
        <v>38</v>
      </c>
      <c r="H249" s="20" t="str">
        <f>IF(Tabla1[[#This Row],[EXISTENCIA ACTUAL]]=0,"AGOTADO",  IF(Tabla1[[#This Row],[EXISTENCIA ACTUAL]]&lt;Tabla1[[#This Row],[STOCK MINIMO]],"MENOR AL MINIMO", "OK"))</f>
        <v>OK</v>
      </c>
      <c r="I249" s="2">
        <f>IF(Tabla1[[#This Row],[EXISTENCIA ACTUAL]]=0,0,  IF(Tabla1[[#This Row],[EXISTENCIA ACTUAL]]&lt;Tabla1[[#This Row],[STOCK MINIMO]],1, 2))</f>
        <v>2</v>
      </c>
      <c r="J249" s="2">
        <v>1</v>
      </c>
      <c r="K249" s="21">
        <f>SUMIFS(Tabla2[CANTIDAD],Tabla2[PRODUCTO],Tabla1[[#This Row],[PRODUCTO]])</f>
        <v>6</v>
      </c>
      <c r="L249" s="2" t="s">
        <v>499</v>
      </c>
      <c r="M249" s="2" t="s">
        <v>47</v>
      </c>
    </row>
    <row r="250" spans="2:15" ht="30" hidden="1" customHeight="1" x14ac:dyDescent="0.25">
      <c r="B250" s="24" t="str">
        <f>E250&amp;"-"&amp;COUNTIF($E$8:E250,E250)</f>
        <v>IS-46</v>
      </c>
      <c r="C250" s="22" t="s">
        <v>500</v>
      </c>
      <c r="D250" s="22" t="s">
        <v>24</v>
      </c>
      <c r="E250" s="21" t="str">
        <f>IFERROR(VLOOKUP(D250,Hoja3!$A$2:$B$50,2,0),"")</f>
        <v>IS</v>
      </c>
      <c r="F250" s="2" t="s">
        <v>51</v>
      </c>
      <c r="G250" s="2" t="s">
        <v>38</v>
      </c>
      <c r="H250" s="20" t="str">
        <f>IF(Tabla1[[#This Row],[EXISTENCIA ACTUAL]]=0,"AGOTADO",  IF(Tabla1[[#This Row],[EXISTENCIA ACTUAL]]&lt;Tabla1[[#This Row],[STOCK MINIMO]],"MENOR AL MINIMO", "OK"))</f>
        <v>OK</v>
      </c>
      <c r="I250" s="2">
        <f>IF(Tabla1[[#This Row],[EXISTENCIA ACTUAL]]=0,0,  IF(Tabla1[[#This Row],[EXISTENCIA ACTUAL]]&lt;Tabla1[[#This Row],[STOCK MINIMO]],1, 2))</f>
        <v>2</v>
      </c>
      <c r="J250" s="2">
        <v>1</v>
      </c>
      <c r="K250" s="21">
        <f>SUMIFS(Tabla2[CANTIDAD],Tabla2[PRODUCTO],Tabla1[[#This Row],[PRODUCTO]])</f>
        <v>1</v>
      </c>
      <c r="L250" s="2" t="s">
        <v>499</v>
      </c>
      <c r="M250" s="2" t="s">
        <v>47</v>
      </c>
    </row>
    <row r="251" spans="2:15" ht="30" hidden="1" customHeight="1" x14ac:dyDescent="0.25">
      <c r="B251" s="24" t="str">
        <f>E251&amp;"-"&amp;COUNTIF($E$8:E251,E251)</f>
        <v>IS-47</v>
      </c>
      <c r="C251" s="22" t="s">
        <v>501</v>
      </c>
      <c r="D251" s="22" t="s">
        <v>24</v>
      </c>
      <c r="E251" s="21" t="str">
        <f>IFERROR(VLOOKUP(D251,Hoja3!$A$2:$B$50,2,0),"")</f>
        <v>IS</v>
      </c>
      <c r="F251" s="2" t="s">
        <v>51</v>
      </c>
      <c r="G251" s="2" t="s">
        <v>38</v>
      </c>
      <c r="H251" s="20" t="str">
        <f>IF(Tabla1[[#This Row],[EXISTENCIA ACTUAL]]=0,"AGOTADO",  IF(Tabla1[[#This Row],[EXISTENCIA ACTUAL]]&lt;Tabla1[[#This Row],[STOCK MINIMO]],"MENOR AL MINIMO", "OK"))</f>
        <v>OK</v>
      </c>
      <c r="I251" s="2">
        <f>IF(Tabla1[[#This Row],[EXISTENCIA ACTUAL]]=0,0,  IF(Tabla1[[#This Row],[EXISTENCIA ACTUAL]]&lt;Tabla1[[#This Row],[STOCK MINIMO]],1, 2))</f>
        <v>2</v>
      </c>
      <c r="J251" s="2">
        <v>5</v>
      </c>
      <c r="K251" s="21">
        <f>SUMIFS(Tabla2[CANTIDAD],Tabla2[PRODUCTO],Tabla1[[#This Row],[PRODUCTO]])</f>
        <v>13</v>
      </c>
      <c r="L251" s="2" t="s">
        <v>44</v>
      </c>
      <c r="M251" s="2" t="s">
        <v>47</v>
      </c>
    </row>
    <row r="252" spans="2:15" ht="30" hidden="1" customHeight="1" x14ac:dyDescent="0.25">
      <c r="B252" s="24" t="str">
        <f>E252&amp;"-"&amp;COUNTIF($E$8:E252,E252)</f>
        <v>SOL-2</v>
      </c>
      <c r="C252" s="22" t="s">
        <v>502</v>
      </c>
      <c r="D252" s="22" t="s">
        <v>462</v>
      </c>
      <c r="E252" s="21" t="str">
        <f>IFERROR(VLOOKUP(D252,Hoja3!$A$2:$B$50,2,0),"")</f>
        <v>SOL</v>
      </c>
      <c r="F252" s="2" t="s">
        <v>51</v>
      </c>
      <c r="G252" s="2" t="s">
        <v>503</v>
      </c>
      <c r="H252" s="20" t="str">
        <f>IF(Tabla1[[#This Row],[EXISTENCIA ACTUAL]]=0,"AGOTADO",  IF(Tabla1[[#This Row],[EXISTENCIA ACTUAL]]&lt;Tabla1[[#This Row],[STOCK MINIMO]],"MENOR AL MINIMO", "OK"))</f>
        <v>OK</v>
      </c>
      <c r="I252" s="2">
        <f>IF(Tabla1[[#This Row],[EXISTENCIA ACTUAL]]=0,0,  IF(Tabla1[[#This Row],[EXISTENCIA ACTUAL]]&lt;Tabla1[[#This Row],[STOCK MINIMO]],1, 2))</f>
        <v>2</v>
      </c>
      <c r="J252" s="2">
        <v>1</v>
      </c>
      <c r="K252" s="21">
        <f>SUMIFS(Tabla2[CANTIDAD],Tabla2[PRODUCTO],Tabla1[[#This Row],[PRODUCTO]])</f>
        <v>2.5</v>
      </c>
      <c r="L252" s="2" t="s">
        <v>44</v>
      </c>
      <c r="M252" s="2" t="s">
        <v>47</v>
      </c>
    </row>
    <row r="253" spans="2:15" ht="30" hidden="1" customHeight="1" x14ac:dyDescent="0.25">
      <c r="B253" s="24" t="str">
        <f>E253&amp;"-"&amp;COUNTIF($E$8:E253,E253)</f>
        <v>HM-52</v>
      </c>
      <c r="C253" s="22" t="s">
        <v>504</v>
      </c>
      <c r="D253" s="22" t="s">
        <v>19</v>
      </c>
      <c r="E253" s="21" t="str">
        <f>IFERROR(VLOOKUP(D253,Hoja3!$A$2:$B$50,2,0),"")</f>
        <v>HM</v>
      </c>
      <c r="F253" s="2" t="s">
        <v>51</v>
      </c>
      <c r="G253" s="2" t="s">
        <v>38</v>
      </c>
      <c r="H253" s="20" t="str">
        <f>IF(Tabla1[[#This Row],[EXISTENCIA ACTUAL]]=0,"AGOTADO",  IF(Tabla1[[#This Row],[EXISTENCIA ACTUAL]]&lt;Tabla1[[#This Row],[STOCK MINIMO]],"MENOR AL MINIMO", "OK"))</f>
        <v>OK</v>
      </c>
      <c r="I253" s="2">
        <f>IF(Tabla1[[#This Row],[EXISTENCIA ACTUAL]]=0,0,  IF(Tabla1[[#This Row],[EXISTENCIA ACTUAL]]&lt;Tabla1[[#This Row],[STOCK MINIMO]],1, 2))</f>
        <v>2</v>
      </c>
      <c r="J253" s="2">
        <v>2</v>
      </c>
      <c r="K253" s="21">
        <f>SUMIFS(Tabla2[CANTIDAD],Tabla2[PRODUCTO],Tabla1[[#This Row],[PRODUCTO]])</f>
        <v>8</v>
      </c>
      <c r="L253" s="2" t="s">
        <v>44</v>
      </c>
      <c r="M253" s="2" t="s">
        <v>47</v>
      </c>
    </row>
    <row r="254" spans="2:15" ht="30" hidden="1" customHeight="1" x14ac:dyDescent="0.25">
      <c r="B254" s="24" t="str">
        <f>E254&amp;"-"&amp;COUNTIF($E$8:E254,E254)</f>
        <v>IS-48</v>
      </c>
      <c r="C254" s="22" t="s">
        <v>505</v>
      </c>
      <c r="D254" s="22" t="s">
        <v>24</v>
      </c>
      <c r="E254" s="21" t="str">
        <f>IFERROR(VLOOKUP(D254,Hoja3!$A$2:$B$50,2,0),"")</f>
        <v>IS</v>
      </c>
      <c r="F254" s="2" t="s">
        <v>51</v>
      </c>
      <c r="G254" s="2" t="s">
        <v>38</v>
      </c>
      <c r="H254" s="20" t="str">
        <f>IF(Tabla1[[#This Row],[EXISTENCIA ACTUAL]]=0,"AGOTADO",  IF(Tabla1[[#This Row],[EXISTENCIA ACTUAL]]&lt;Tabla1[[#This Row],[STOCK MINIMO]],"MENOR AL MINIMO", "OK"))</f>
        <v>OK</v>
      </c>
      <c r="I254" s="2">
        <f>IF(Tabla1[[#This Row],[EXISTENCIA ACTUAL]]=0,0,  IF(Tabla1[[#This Row],[EXISTENCIA ACTUAL]]&lt;Tabla1[[#This Row],[STOCK MINIMO]],1, 2))</f>
        <v>2</v>
      </c>
      <c r="J254" s="2">
        <v>1</v>
      </c>
      <c r="K254" s="21">
        <f>SUMIFS(Tabla2[CANTIDAD],Tabla2[PRODUCTO],Tabla1[[#This Row],[PRODUCTO]])</f>
        <v>1</v>
      </c>
      <c r="L254" s="2" t="s">
        <v>499</v>
      </c>
      <c r="M254" s="2" t="s">
        <v>47</v>
      </c>
    </row>
    <row r="255" spans="2:15" ht="30" hidden="1" customHeight="1" x14ac:dyDescent="0.25">
      <c r="B255" s="24" t="str">
        <f>E255&amp;"-"&amp;COUNTIF($E$8:E255,E255)</f>
        <v>HM-53</v>
      </c>
      <c r="C255" s="22" t="s">
        <v>506</v>
      </c>
      <c r="D255" s="22" t="s">
        <v>19</v>
      </c>
      <c r="E255" s="21" t="str">
        <f>IFERROR(VLOOKUP(D255,Hoja3!$A$2:$B$50,2,0),"")</f>
        <v>HM</v>
      </c>
      <c r="F255" s="2" t="s">
        <v>51</v>
      </c>
      <c r="G255" s="2" t="s">
        <v>38</v>
      </c>
      <c r="H255" s="20" t="str">
        <f>IF(Tabla1[[#This Row],[EXISTENCIA ACTUAL]]=0,"AGOTADO",  IF(Tabla1[[#This Row],[EXISTENCIA ACTUAL]]&lt;Tabla1[[#This Row],[STOCK MINIMO]],"MENOR AL MINIMO", "OK"))</f>
        <v>MENOR AL MINIMO</v>
      </c>
      <c r="I255" s="2">
        <f>IF(Tabla1[[#This Row],[EXISTENCIA ACTUAL]]=0,0,  IF(Tabla1[[#This Row],[EXISTENCIA ACTUAL]]&lt;Tabla1[[#This Row],[STOCK MINIMO]],1, 2))</f>
        <v>1</v>
      </c>
      <c r="J255" s="2">
        <v>5</v>
      </c>
      <c r="K255" s="21">
        <f>SUMIFS(Tabla2[CANTIDAD],Tabla2[PRODUCTO],Tabla1[[#This Row],[PRODUCTO]])</f>
        <v>2</v>
      </c>
      <c r="L255" s="2" t="s">
        <v>44</v>
      </c>
      <c r="M255" s="2" t="s">
        <v>47</v>
      </c>
    </row>
    <row r="256" spans="2:15" ht="30" customHeight="1" x14ac:dyDescent="0.25">
      <c r="B256" s="24" t="str">
        <f>E256&amp;"-"&amp;COUNTIF($E$8:E256,E256)</f>
        <v>ICA-1</v>
      </c>
      <c r="C256" s="22" t="s">
        <v>513</v>
      </c>
      <c r="D256" s="22" t="s">
        <v>511</v>
      </c>
      <c r="E256" s="21" t="str">
        <f>IFERROR(VLOOKUP(D256,Hoja3!$A$2:$B$50,2,0),"")</f>
        <v>ICA</v>
      </c>
      <c r="F256" s="2" t="s">
        <v>51</v>
      </c>
      <c r="G256" s="2" t="s">
        <v>38</v>
      </c>
      <c r="H256" s="20" t="str">
        <f>IF(Tabla1[[#This Row],[EXISTENCIA ACTUAL]]=0,"AGOTADO",  IF(Tabla1[[#This Row],[EXISTENCIA ACTUAL]]&lt;Tabla1[[#This Row],[STOCK MINIMO]],"MENOR AL MINIMO", "OK"))</f>
        <v>OK</v>
      </c>
      <c r="I256" s="2">
        <f>IF(Tabla1[[#This Row],[EXISTENCIA ACTUAL]]=0,0,  IF(Tabla1[[#This Row],[EXISTENCIA ACTUAL]]&lt;Tabla1[[#This Row],[STOCK MINIMO]],1, 2))</f>
        <v>2</v>
      </c>
      <c r="J256" s="2">
        <v>1</v>
      </c>
      <c r="K256" s="21">
        <f>SUMIFS(Tabla2[CANTIDAD],Tabla2[PRODUCTO],Tabla1[[#This Row],[PRODUCTO]])</f>
        <v>1</v>
      </c>
      <c r="L256" s="2" t="s">
        <v>44</v>
      </c>
      <c r="M256" s="2" t="s">
        <v>47</v>
      </c>
      <c r="O256" t="s">
        <v>514</v>
      </c>
    </row>
    <row r="257" spans="2:15" ht="30" customHeight="1" x14ac:dyDescent="0.25">
      <c r="B257" s="24" t="str">
        <f>E257&amp;"-"&amp;COUNTIF($E$8:E257,E257)</f>
        <v>ICA-2</v>
      </c>
      <c r="C257" s="22" t="s">
        <v>515</v>
      </c>
      <c r="D257" s="22" t="s">
        <v>511</v>
      </c>
      <c r="E257" s="21" t="str">
        <f>IFERROR(VLOOKUP(D257,Hoja3!$A$2:$B$50,2,0),"")</f>
        <v>ICA</v>
      </c>
      <c r="F257" s="2" t="s">
        <v>51</v>
      </c>
      <c r="G257" s="2" t="s">
        <v>38</v>
      </c>
      <c r="H257" s="20" t="str">
        <f>IF(Tabla1[[#This Row],[EXISTENCIA ACTUAL]]=0,"AGOTADO",  IF(Tabla1[[#This Row],[EXISTENCIA ACTUAL]]&lt;Tabla1[[#This Row],[STOCK MINIMO]],"MENOR AL MINIMO", "OK"))</f>
        <v>OK</v>
      </c>
      <c r="I257" s="2">
        <f>IF(Tabla1[[#This Row],[EXISTENCIA ACTUAL]]=0,0,  IF(Tabla1[[#This Row],[EXISTENCIA ACTUAL]]&lt;Tabla1[[#This Row],[STOCK MINIMO]],1, 2))</f>
        <v>2</v>
      </c>
      <c r="J257" s="2">
        <v>1</v>
      </c>
      <c r="K257" s="21">
        <f>SUMIFS(Tabla2[CANTIDAD],Tabla2[PRODUCTO],Tabla1[[#This Row],[PRODUCTO]])</f>
        <v>1</v>
      </c>
      <c r="L257" s="2" t="s">
        <v>44</v>
      </c>
      <c r="M257" s="2" t="s">
        <v>47</v>
      </c>
      <c r="O257" t="s">
        <v>514</v>
      </c>
    </row>
    <row r="258" spans="2:15" ht="30" customHeight="1" x14ac:dyDescent="0.25">
      <c r="B258" s="24" t="str">
        <f>E258&amp;"-"&amp;COUNTIF($E$8:E258,E258)</f>
        <v>ICA-3</v>
      </c>
      <c r="C258" s="22" t="s">
        <v>516</v>
      </c>
      <c r="D258" s="22" t="s">
        <v>511</v>
      </c>
      <c r="E258" s="21" t="str">
        <f>IFERROR(VLOOKUP(D258,Hoja3!$A$2:$B$50,2,0),"")</f>
        <v>ICA</v>
      </c>
      <c r="F258" s="2" t="s">
        <v>51</v>
      </c>
      <c r="G258" s="2" t="s">
        <v>38</v>
      </c>
      <c r="H258" s="20" t="str">
        <f>IF(Tabla1[[#This Row],[EXISTENCIA ACTUAL]]=0,"AGOTADO",  IF(Tabla1[[#This Row],[EXISTENCIA ACTUAL]]&lt;Tabla1[[#This Row],[STOCK MINIMO]],"MENOR AL MINIMO", "OK"))</f>
        <v>OK</v>
      </c>
      <c r="I258" s="2">
        <f>IF(Tabla1[[#This Row],[EXISTENCIA ACTUAL]]=0,0,  IF(Tabla1[[#This Row],[EXISTENCIA ACTUAL]]&lt;Tabla1[[#This Row],[STOCK MINIMO]],1, 2))</f>
        <v>2</v>
      </c>
      <c r="J258" s="2">
        <v>1</v>
      </c>
      <c r="K258" s="21">
        <f>SUMIFS(Tabla2[CANTIDAD],Tabla2[PRODUCTO],Tabla1[[#This Row],[PRODUCTO]])</f>
        <v>1</v>
      </c>
      <c r="L258" s="2" t="s">
        <v>44</v>
      </c>
      <c r="M258" s="2" t="s">
        <v>47</v>
      </c>
      <c r="O258" t="s">
        <v>514</v>
      </c>
    </row>
    <row r="259" spans="2:15" ht="30" customHeight="1" x14ac:dyDescent="0.25">
      <c r="B259" s="24" t="str">
        <f>E259&amp;"-"&amp;COUNTIF($E$8:E259,E259)</f>
        <v>ICA-4</v>
      </c>
      <c r="C259" s="22" t="s">
        <v>517</v>
      </c>
      <c r="D259" s="22" t="s">
        <v>511</v>
      </c>
      <c r="E259" s="21" t="str">
        <f>IFERROR(VLOOKUP(D259,Hoja3!$A$2:$B$50,2,0),"")</f>
        <v>ICA</v>
      </c>
      <c r="F259" s="2" t="s">
        <v>51</v>
      </c>
      <c r="G259" s="2" t="s">
        <v>38</v>
      </c>
      <c r="H259" s="20" t="str">
        <f>IF(Tabla1[[#This Row],[EXISTENCIA ACTUAL]]=0,"AGOTADO",  IF(Tabla1[[#This Row],[EXISTENCIA ACTUAL]]&lt;Tabla1[[#This Row],[STOCK MINIMO]],"MENOR AL MINIMO", "OK"))</f>
        <v>AGOTADO</v>
      </c>
      <c r="I259" s="2">
        <f>IF(Tabla1[[#This Row],[EXISTENCIA ACTUAL]]=0,0,  IF(Tabla1[[#This Row],[EXISTENCIA ACTUAL]]&lt;Tabla1[[#This Row],[STOCK MINIMO]],1, 2))</f>
        <v>0</v>
      </c>
      <c r="J259" s="2">
        <v>1</v>
      </c>
      <c r="K259" s="21">
        <f>SUMIFS(Tabla2[CANTIDAD],Tabla2[PRODUCTO],Tabla1[[#This Row],[PRODUCTO]])</f>
        <v>0</v>
      </c>
      <c r="L259" s="2" t="s">
        <v>44</v>
      </c>
      <c r="M259" s="2" t="s">
        <v>47</v>
      </c>
      <c r="O259" t="s">
        <v>514</v>
      </c>
    </row>
    <row r="260" spans="2:15" ht="30" customHeight="1" x14ac:dyDescent="0.25">
      <c r="B260" s="24" t="str">
        <f>E260&amp;"-"&amp;COUNTIF($E$8:E260,E260)</f>
        <v>ICA-5</v>
      </c>
      <c r="C260" s="22" t="s">
        <v>518</v>
      </c>
      <c r="D260" s="22" t="s">
        <v>511</v>
      </c>
      <c r="E260" s="21" t="str">
        <f>IFERROR(VLOOKUP(D260,Hoja3!$A$2:$B$50,2,0),"")</f>
        <v>ICA</v>
      </c>
      <c r="F260" s="2" t="s">
        <v>51</v>
      </c>
      <c r="G260" s="2" t="s">
        <v>38</v>
      </c>
      <c r="H260" s="20" t="str">
        <f>IF(Tabla1[[#This Row],[EXISTENCIA ACTUAL]]=0,"AGOTADO",  IF(Tabla1[[#This Row],[EXISTENCIA ACTUAL]]&lt;Tabla1[[#This Row],[STOCK MINIMO]],"MENOR AL MINIMO", "OK"))</f>
        <v>AGOTADO</v>
      </c>
      <c r="I260" s="2">
        <f>IF(Tabla1[[#This Row],[EXISTENCIA ACTUAL]]=0,0,  IF(Tabla1[[#This Row],[EXISTENCIA ACTUAL]]&lt;Tabla1[[#This Row],[STOCK MINIMO]],1, 2))</f>
        <v>0</v>
      </c>
      <c r="J260" s="2">
        <v>1</v>
      </c>
      <c r="K260" s="21">
        <f>SUMIFS(Tabla2[CANTIDAD],Tabla2[PRODUCTO],Tabla1[[#This Row],[PRODUCTO]])</f>
        <v>0</v>
      </c>
      <c r="L260" s="2" t="s">
        <v>44</v>
      </c>
      <c r="M260" s="2" t="s">
        <v>47</v>
      </c>
      <c r="O260" t="s">
        <v>514</v>
      </c>
    </row>
    <row r="261" spans="2:15" ht="19.899999999999999" customHeight="1" x14ac:dyDescent="0.25">
      <c r="B261" s="24" t="str">
        <f>E261&amp;"-"&amp;COUNTIF($E$8:E261,E261)</f>
        <v>ISA-23</v>
      </c>
      <c r="C261" s="22" t="s">
        <v>519</v>
      </c>
      <c r="D261" s="22" t="s">
        <v>133</v>
      </c>
      <c r="E261" s="21" t="str">
        <f>IFERROR(VLOOKUP(D261,Hoja3!$A$2:$B$50,2,0),"")</f>
        <v>ISA</v>
      </c>
      <c r="F261" s="2" t="s">
        <v>51</v>
      </c>
      <c r="G261" s="2" t="s">
        <v>38</v>
      </c>
      <c r="H261" s="20" t="str">
        <f>IF(Tabla1[[#This Row],[EXISTENCIA ACTUAL]]=0,"AGOTADO",  IF(Tabla1[[#This Row],[EXISTENCIA ACTUAL]]&lt;Tabla1[[#This Row],[STOCK MINIMO]],"MENOR AL MINIMO", "OK"))</f>
        <v>AGOTADO</v>
      </c>
      <c r="I261" s="2">
        <f>IF(Tabla1[[#This Row],[EXISTENCIA ACTUAL]]=0,0,  IF(Tabla1[[#This Row],[EXISTENCIA ACTUAL]]&lt;Tabla1[[#This Row],[STOCK MINIMO]],1, 2))</f>
        <v>0</v>
      </c>
      <c r="J261" s="2">
        <v>1</v>
      </c>
      <c r="K261" s="21">
        <f>SUMIFS(Tabla2[CANTIDAD],Tabla2[PRODUCTO],Tabla1[[#This Row],[PRODUCTO]])</f>
        <v>0</v>
      </c>
      <c r="L261" s="2" t="s">
        <v>44</v>
      </c>
      <c r="M261" s="2" t="s">
        <v>47</v>
      </c>
      <c r="O261" t="s">
        <v>487</v>
      </c>
    </row>
    <row r="262" spans="2:15" ht="19.899999999999999" customHeight="1" x14ac:dyDescent="0.25">
      <c r="B262" s="24" t="str">
        <f>E262&amp;"-"&amp;COUNTIF($E$8:E262,E262)</f>
        <v>IS-49</v>
      </c>
      <c r="C262" s="22" t="s">
        <v>520</v>
      </c>
      <c r="D262" s="22" t="s">
        <v>24</v>
      </c>
      <c r="E262" s="21" t="str">
        <f>IFERROR(VLOOKUP(D262,Hoja3!$A$2:$B$50,2,0),"")</f>
        <v>IS</v>
      </c>
      <c r="F262" s="2" t="s">
        <v>51</v>
      </c>
      <c r="G262" s="2" t="s">
        <v>38</v>
      </c>
      <c r="H262" s="20" t="str">
        <f>IF(Tabla1[[#This Row],[EXISTENCIA ACTUAL]]=0,"AGOTADO",  IF(Tabla1[[#This Row],[EXISTENCIA ACTUAL]]&lt;Tabla1[[#This Row],[STOCK MINIMO]],"MENOR AL MINIMO", "OK"))</f>
        <v>OK</v>
      </c>
      <c r="I262" s="2">
        <f>IF(Tabla1[[#This Row],[EXISTENCIA ACTUAL]]=0,0,  IF(Tabla1[[#This Row],[EXISTENCIA ACTUAL]]&lt;Tabla1[[#This Row],[STOCK MINIMO]],1, 2))</f>
        <v>2</v>
      </c>
      <c r="J262" s="2">
        <v>1</v>
      </c>
      <c r="K262" s="21">
        <f>SUMIFS(Tabla2[CANTIDAD],Tabla2[PRODUCTO],Tabla1[[#This Row],[PRODUCTO]])</f>
        <v>10</v>
      </c>
      <c r="L262" s="2" t="s">
        <v>44</v>
      </c>
      <c r="M262" s="2" t="s">
        <v>47</v>
      </c>
      <c r="O262" t="s">
        <v>521</v>
      </c>
    </row>
    <row r="263" spans="2:15" ht="19.899999999999999" customHeight="1" x14ac:dyDescent="0.25">
      <c r="B263" s="24" t="str">
        <f>E263&amp;"-"&amp;COUNTIF($E$8:E263,E263)</f>
        <v>IS-50</v>
      </c>
      <c r="C263" s="22" t="s">
        <v>522</v>
      </c>
      <c r="D263" s="22" t="s">
        <v>24</v>
      </c>
      <c r="E263" s="21" t="str">
        <f>IFERROR(VLOOKUP(D263,Hoja3!$A$2:$B$50,2,0),"")</f>
        <v>IS</v>
      </c>
      <c r="F263" s="2" t="s">
        <v>51</v>
      </c>
      <c r="G263" s="2" t="s">
        <v>38</v>
      </c>
      <c r="H263" s="20" t="str">
        <f>IF(Tabla1[[#This Row],[EXISTENCIA ACTUAL]]=0,"AGOTADO",  IF(Tabla1[[#This Row],[EXISTENCIA ACTUAL]]&lt;Tabla1[[#This Row],[STOCK MINIMO]],"MENOR AL MINIMO", "OK"))</f>
        <v>OK</v>
      </c>
      <c r="I263" s="2">
        <f>IF(Tabla1[[#This Row],[EXISTENCIA ACTUAL]]=0,0,  IF(Tabla1[[#This Row],[EXISTENCIA ACTUAL]]&lt;Tabla1[[#This Row],[STOCK MINIMO]],1, 2))</f>
        <v>2</v>
      </c>
      <c r="J263" s="2">
        <v>1</v>
      </c>
      <c r="K263" s="21">
        <f>SUMIFS(Tabla2[CANTIDAD],Tabla2[PRODUCTO],Tabla1[[#This Row],[PRODUCTO]])</f>
        <v>7</v>
      </c>
      <c r="L263" s="2" t="s">
        <v>44</v>
      </c>
      <c r="M263" s="2" t="s">
        <v>47</v>
      </c>
      <c r="O263" t="s">
        <v>521</v>
      </c>
    </row>
    <row r="264" spans="2:15" ht="19.899999999999999" customHeight="1" x14ac:dyDescent="0.25">
      <c r="B264" s="24" t="str">
        <f>E264&amp;"-"&amp;COUNTIF($E$8:E264,E264)</f>
        <v>IS-51</v>
      </c>
      <c r="C264" s="22" t="s">
        <v>523</v>
      </c>
      <c r="D264" s="22" t="s">
        <v>24</v>
      </c>
      <c r="E264" s="21" t="str">
        <f>IFERROR(VLOOKUP(D264,Hoja3!$A$2:$B$50,2,0),"")</f>
        <v>IS</v>
      </c>
      <c r="F264" s="2" t="s">
        <v>51</v>
      </c>
      <c r="G264" s="2" t="s">
        <v>38</v>
      </c>
      <c r="H264" s="20" t="str">
        <f>IF(Tabla1[[#This Row],[EXISTENCIA ACTUAL]]=0,"AGOTADO",  IF(Tabla1[[#This Row],[EXISTENCIA ACTUAL]]&lt;Tabla1[[#This Row],[STOCK MINIMO]],"MENOR AL MINIMO", "OK"))</f>
        <v>OK</v>
      </c>
      <c r="I264" s="2">
        <f>IF(Tabla1[[#This Row],[EXISTENCIA ACTUAL]]=0,0,  IF(Tabla1[[#This Row],[EXISTENCIA ACTUAL]]&lt;Tabla1[[#This Row],[STOCK MINIMO]],1, 2))</f>
        <v>2</v>
      </c>
      <c r="J264" s="2">
        <v>1</v>
      </c>
      <c r="K264" s="21">
        <f>SUMIFS(Tabla2[CANTIDAD],Tabla2[PRODUCTO],Tabla1[[#This Row],[PRODUCTO]])</f>
        <v>10</v>
      </c>
      <c r="L264" s="2" t="s">
        <v>44</v>
      </c>
      <c r="M264" s="2" t="s">
        <v>47</v>
      </c>
      <c r="O264" t="s">
        <v>521</v>
      </c>
    </row>
    <row r="265" spans="2:15" ht="19.899999999999999" customHeight="1" x14ac:dyDescent="0.25">
      <c r="B265" s="24" t="str">
        <f>E265&amp;"-"&amp;COUNTIF($E$8:E265,E265)</f>
        <v>IS-52</v>
      </c>
      <c r="C265" s="22" t="s">
        <v>524</v>
      </c>
      <c r="D265" s="22" t="s">
        <v>24</v>
      </c>
      <c r="E265" s="21" t="str">
        <f>IFERROR(VLOOKUP(D265,Hoja3!$A$2:$B$50,2,0),"")</f>
        <v>IS</v>
      </c>
      <c r="F265" s="2" t="s">
        <v>51</v>
      </c>
      <c r="G265" s="2" t="s">
        <v>38</v>
      </c>
      <c r="H265" s="20" t="str">
        <f>IF(Tabla1[[#This Row],[EXISTENCIA ACTUAL]]=0,"AGOTADO",  IF(Tabla1[[#This Row],[EXISTENCIA ACTUAL]]&lt;Tabla1[[#This Row],[STOCK MINIMO]],"MENOR AL MINIMO", "OK"))</f>
        <v>OK</v>
      </c>
      <c r="I265" s="2">
        <f>IF(Tabla1[[#This Row],[EXISTENCIA ACTUAL]]=0,0,  IF(Tabla1[[#This Row],[EXISTENCIA ACTUAL]]&lt;Tabla1[[#This Row],[STOCK MINIMO]],1, 2))</f>
        <v>2</v>
      </c>
      <c r="J265" s="2">
        <v>1</v>
      </c>
      <c r="K265" s="21">
        <f>SUMIFS(Tabla2[CANTIDAD],Tabla2[PRODUCTO],Tabla1[[#This Row],[PRODUCTO]])</f>
        <v>10</v>
      </c>
      <c r="L265" s="2" t="s">
        <v>44</v>
      </c>
      <c r="M265" s="2" t="s">
        <v>47</v>
      </c>
      <c r="O265" t="s">
        <v>521</v>
      </c>
    </row>
    <row r="266" spans="2:15" ht="19.899999999999999" customHeight="1" x14ac:dyDescent="0.25">
      <c r="B266" s="24" t="str">
        <f>E266&amp;"-"&amp;COUNTIF($E$8:E266,E266)</f>
        <v>IS-53</v>
      </c>
      <c r="C266" s="22" t="s">
        <v>525</v>
      </c>
      <c r="D266" s="22" t="s">
        <v>24</v>
      </c>
      <c r="E266" s="21" t="str">
        <f>IFERROR(VLOOKUP(D266,Hoja3!$A$2:$B$50,2,0),"")</f>
        <v>IS</v>
      </c>
      <c r="F266" s="2" t="s">
        <v>51</v>
      </c>
      <c r="G266" s="2" t="s">
        <v>38</v>
      </c>
      <c r="H266" s="20" t="str">
        <f>IF(Tabla1[[#This Row],[EXISTENCIA ACTUAL]]=0,"AGOTADO",  IF(Tabla1[[#This Row],[EXISTENCIA ACTUAL]]&lt;Tabla1[[#This Row],[STOCK MINIMO]],"MENOR AL MINIMO", "OK"))</f>
        <v>OK</v>
      </c>
      <c r="I266" s="2">
        <f>IF(Tabla1[[#This Row],[EXISTENCIA ACTUAL]]=0,0,  IF(Tabla1[[#This Row],[EXISTENCIA ACTUAL]]&lt;Tabla1[[#This Row],[STOCK MINIMO]],1, 2))</f>
        <v>2</v>
      </c>
      <c r="J266" s="2">
        <v>1</v>
      </c>
      <c r="K266" s="21">
        <f>SUMIFS(Tabla2[CANTIDAD],Tabla2[PRODUCTO],Tabla1[[#This Row],[PRODUCTO]])</f>
        <v>10</v>
      </c>
      <c r="L266" s="2" t="s">
        <v>44</v>
      </c>
      <c r="M266" s="2" t="s">
        <v>47</v>
      </c>
      <c r="O266" t="s">
        <v>521</v>
      </c>
    </row>
    <row r="267" spans="2:15" ht="19.899999999999999" customHeight="1" x14ac:dyDescent="0.25">
      <c r="B267" s="24" t="str">
        <f>E267&amp;"-"&amp;COUNTIF($E$8:E267,E267)</f>
        <v>IS-54</v>
      </c>
      <c r="C267" s="22" t="s">
        <v>526</v>
      </c>
      <c r="D267" s="22" t="s">
        <v>24</v>
      </c>
      <c r="E267" s="21" t="str">
        <f>IFERROR(VLOOKUP(D267,Hoja3!$A$2:$B$50,2,0),"")</f>
        <v>IS</v>
      </c>
      <c r="F267" s="2" t="s">
        <v>51</v>
      </c>
      <c r="G267" s="2" t="s">
        <v>38</v>
      </c>
      <c r="H267" s="20" t="str">
        <f>IF(Tabla1[[#This Row],[EXISTENCIA ACTUAL]]=0,"AGOTADO",  IF(Tabla1[[#This Row],[EXISTENCIA ACTUAL]]&lt;Tabla1[[#This Row],[STOCK MINIMO]],"MENOR AL MINIMO", "OK"))</f>
        <v>OK</v>
      </c>
      <c r="I267" s="2">
        <f>IF(Tabla1[[#This Row],[EXISTENCIA ACTUAL]]=0,0,  IF(Tabla1[[#This Row],[EXISTENCIA ACTUAL]]&lt;Tabla1[[#This Row],[STOCK MINIMO]],1, 2))</f>
        <v>2</v>
      </c>
      <c r="J267" s="2">
        <v>1</v>
      </c>
      <c r="K267" s="21">
        <f>SUMIFS(Tabla2[CANTIDAD],Tabla2[PRODUCTO],Tabla1[[#This Row],[PRODUCTO]])</f>
        <v>10</v>
      </c>
      <c r="L267" s="2" t="s">
        <v>44</v>
      </c>
      <c r="M267" s="2" t="s">
        <v>47</v>
      </c>
      <c r="O267" t="s">
        <v>521</v>
      </c>
    </row>
    <row r="268" spans="2:15" ht="19.899999999999999" customHeight="1" x14ac:dyDescent="0.25">
      <c r="B268" s="24" t="str">
        <f>E268&amp;"-"&amp;COUNTIF($E$8:E268,E268)</f>
        <v>UE-71</v>
      </c>
      <c r="C268" s="22" t="s">
        <v>527</v>
      </c>
      <c r="D268" s="22" t="s">
        <v>21</v>
      </c>
      <c r="E268" s="21" t="str">
        <f>IFERROR(VLOOKUP(D268,Hoja3!$A$2:$B$50,2,0),"")</f>
        <v>UE</v>
      </c>
      <c r="F268" s="2" t="s">
        <v>51</v>
      </c>
      <c r="G268" s="2" t="s">
        <v>38</v>
      </c>
      <c r="H268" s="20" t="str">
        <f>IF(Tabla1[[#This Row],[EXISTENCIA ACTUAL]]=0,"AGOTADO",  IF(Tabla1[[#This Row],[EXISTENCIA ACTUAL]]&lt;Tabla1[[#This Row],[STOCK MINIMO]],"MENOR AL MINIMO", "OK"))</f>
        <v>OK</v>
      </c>
      <c r="I268" s="2">
        <f>IF(Tabla1[[#This Row],[EXISTENCIA ACTUAL]]=0,0,  IF(Tabla1[[#This Row],[EXISTENCIA ACTUAL]]&lt;Tabla1[[#This Row],[STOCK MINIMO]],1, 2))</f>
        <v>2</v>
      </c>
      <c r="J268" s="2">
        <v>1</v>
      </c>
      <c r="K268" s="21">
        <f>SUMIFS(Tabla2[CANTIDAD],Tabla2[PRODUCTO],Tabla1[[#This Row],[PRODUCTO]])</f>
        <v>10</v>
      </c>
      <c r="L268" s="2" t="s">
        <v>44</v>
      </c>
      <c r="M268" s="2" t="s">
        <v>47</v>
      </c>
      <c r="O268" t="s">
        <v>366</v>
      </c>
    </row>
    <row r="269" spans="2:15" x14ac:dyDescent="0.25">
      <c r="B269" s="24" t="str">
        <f>E269&amp;"-"&amp;COUNTIF($E$8:E269,E269)</f>
        <v>UE-72</v>
      </c>
      <c r="C269" s="22" t="s">
        <v>528</v>
      </c>
      <c r="D269" s="22" t="s">
        <v>21</v>
      </c>
      <c r="E269" s="21" t="str">
        <f>IFERROR(VLOOKUP(D269,Hoja3!$A$2:$B$50,2,0),"")</f>
        <v>UE</v>
      </c>
      <c r="F269" s="2" t="s">
        <v>51</v>
      </c>
      <c r="G269" s="2" t="s">
        <v>38</v>
      </c>
      <c r="H269" s="20" t="str">
        <f>IF(Tabla1[[#This Row],[EXISTENCIA ACTUAL]]=0,"AGOTADO",  IF(Tabla1[[#This Row],[EXISTENCIA ACTUAL]]&lt;Tabla1[[#This Row],[STOCK MINIMO]],"MENOR AL MINIMO", "OK"))</f>
        <v>OK</v>
      </c>
      <c r="I269" s="2">
        <f>IF(Tabla1[[#This Row],[EXISTENCIA ACTUAL]]=0,0,  IF(Tabla1[[#This Row],[EXISTENCIA ACTUAL]]&lt;Tabla1[[#This Row],[STOCK MINIMO]],1, 2))</f>
        <v>2</v>
      </c>
      <c r="J269" s="2">
        <v>1</v>
      </c>
      <c r="K269" s="21">
        <f>SUMIFS(Tabla2[CANTIDAD],Tabla2[PRODUCTO],Tabla1[[#This Row],[PRODUCTO]])</f>
        <v>1</v>
      </c>
      <c r="L269" s="2" t="s">
        <v>44</v>
      </c>
      <c r="M269" s="2" t="s">
        <v>47</v>
      </c>
      <c r="O269" t="s">
        <v>366</v>
      </c>
    </row>
    <row r="270" spans="2:15" x14ac:dyDescent="0.25">
      <c r="B270" s="24" t="str">
        <f>E270&amp;"-"&amp;COUNTIF($E$8:E270,E270)</f>
        <v>UE-73</v>
      </c>
      <c r="C270" s="22" t="s">
        <v>529</v>
      </c>
      <c r="D270" s="22" t="s">
        <v>21</v>
      </c>
      <c r="E270" s="21" t="str">
        <f>IFERROR(VLOOKUP(D270,Hoja3!$A$2:$B$50,2,0),"")</f>
        <v>UE</v>
      </c>
      <c r="F270" s="2" t="s">
        <v>51</v>
      </c>
      <c r="G270" s="2" t="s">
        <v>38</v>
      </c>
      <c r="H270" s="20" t="str">
        <f>IF(Tabla1[[#This Row],[EXISTENCIA ACTUAL]]=0,"AGOTADO",  IF(Tabla1[[#This Row],[EXISTENCIA ACTUAL]]&lt;Tabla1[[#This Row],[STOCK MINIMO]],"MENOR AL MINIMO", "OK"))</f>
        <v>OK</v>
      </c>
      <c r="I270" s="2">
        <f>IF(Tabla1[[#This Row],[EXISTENCIA ACTUAL]]=0,0,  IF(Tabla1[[#This Row],[EXISTENCIA ACTUAL]]&lt;Tabla1[[#This Row],[STOCK MINIMO]],1, 2))</f>
        <v>2</v>
      </c>
      <c r="J270" s="2">
        <v>1</v>
      </c>
      <c r="K270" s="21">
        <f>SUMIFS(Tabla2[CANTIDAD],Tabla2[PRODUCTO],Tabla1[[#This Row],[PRODUCTO]])</f>
        <v>1</v>
      </c>
      <c r="L270" s="2" t="s">
        <v>44</v>
      </c>
      <c r="M270" s="2" t="s">
        <v>47</v>
      </c>
      <c r="O270" t="s">
        <v>366</v>
      </c>
    </row>
    <row r="271" spans="2:15" x14ac:dyDescent="0.25">
      <c r="B271" s="24" t="str">
        <f>E271&amp;"-"&amp;COUNTIF($E$8:E271,E271)</f>
        <v>IS-55</v>
      </c>
      <c r="C271" s="22" t="s">
        <v>532</v>
      </c>
      <c r="D271" s="22" t="s">
        <v>24</v>
      </c>
      <c r="E271" s="21" t="str">
        <f>IFERROR(VLOOKUP(D271,Hoja3!$A$2:$B$50,2,0),"")</f>
        <v>IS</v>
      </c>
      <c r="F271" s="2" t="s">
        <v>51</v>
      </c>
      <c r="G271" s="2" t="s">
        <v>38</v>
      </c>
      <c r="H271" s="20" t="str">
        <f>IF(Tabla1[[#This Row],[EXISTENCIA ACTUAL]]=0,"AGOTADO",  IF(Tabla1[[#This Row],[EXISTENCIA ACTUAL]]&lt;Tabla1[[#This Row],[STOCK MINIMO]],"MENOR AL MINIMO", "OK"))</f>
        <v>OK</v>
      </c>
      <c r="I271" s="2">
        <f>IF(Tabla1[[#This Row],[EXISTENCIA ACTUAL]]=0,0,  IF(Tabla1[[#This Row],[EXISTENCIA ACTUAL]]&lt;Tabla1[[#This Row],[STOCK MINIMO]],1, 2))</f>
        <v>2</v>
      </c>
      <c r="J271" s="2">
        <v>1</v>
      </c>
      <c r="K271" s="21">
        <f>SUMIFS(Tabla2[CANTIDAD],Tabla2[PRODUCTO],Tabla1[[#This Row],[PRODUCTO]])</f>
        <v>3</v>
      </c>
      <c r="L271" s="2" t="s">
        <v>44</v>
      </c>
      <c r="M271" s="2" t="s">
        <v>47</v>
      </c>
      <c r="O271" t="s">
        <v>521</v>
      </c>
    </row>
    <row r="272" spans="2:15" x14ac:dyDescent="0.25">
      <c r="B272" s="24" t="str">
        <f>E272&amp;"-"&amp;COUNTIF($E$8:E272,E272)</f>
        <v>IS-56</v>
      </c>
      <c r="C272" s="22" t="s">
        <v>533</v>
      </c>
      <c r="D272" s="22" t="s">
        <v>24</v>
      </c>
      <c r="E272" s="21" t="str">
        <f>IFERROR(VLOOKUP(D272,Hoja3!$A$2:$B$50,2,0),"")</f>
        <v>IS</v>
      </c>
      <c r="F272" s="2" t="s">
        <v>51</v>
      </c>
      <c r="G272" s="2" t="s">
        <v>38</v>
      </c>
      <c r="H272" s="20" t="str">
        <f>IF(Tabla1[[#This Row],[EXISTENCIA ACTUAL]]=0,"AGOTADO",  IF(Tabla1[[#This Row],[EXISTENCIA ACTUAL]]&lt;Tabla1[[#This Row],[STOCK MINIMO]],"MENOR AL MINIMO", "OK"))</f>
        <v>OK</v>
      </c>
      <c r="I272" s="2">
        <f>IF(Tabla1[[#This Row],[EXISTENCIA ACTUAL]]=0,0,  IF(Tabla1[[#This Row],[EXISTENCIA ACTUAL]]&lt;Tabla1[[#This Row],[STOCK MINIMO]],1, 2))</f>
        <v>2</v>
      </c>
      <c r="J272" s="2">
        <v>1</v>
      </c>
      <c r="K272" s="21">
        <f>SUMIFS(Tabla2[CANTIDAD],Tabla2[PRODUCTO],Tabla1[[#This Row],[PRODUCTO]])</f>
        <v>2</v>
      </c>
      <c r="L272" s="2" t="s">
        <v>44</v>
      </c>
      <c r="M272" s="2" t="s">
        <v>47</v>
      </c>
      <c r="O272" t="s">
        <v>521</v>
      </c>
    </row>
    <row r="273" spans="2:15" x14ac:dyDescent="0.25">
      <c r="B273" s="24" t="str">
        <f>E273&amp;"-"&amp;COUNTIF($E$8:E273,E273)</f>
        <v>IS-57</v>
      </c>
      <c r="C273" s="22" t="s">
        <v>538</v>
      </c>
      <c r="D273" s="22" t="s">
        <v>24</v>
      </c>
      <c r="E273" s="21" t="str">
        <f>IFERROR(VLOOKUP(D273,Hoja3!$A$2:$B$50,2,0),"")</f>
        <v>IS</v>
      </c>
      <c r="F273" s="2" t="s">
        <v>51</v>
      </c>
      <c r="G273" s="2" t="s">
        <v>38</v>
      </c>
      <c r="H273" s="20" t="str">
        <f>IF(Tabla1[[#This Row],[EXISTENCIA ACTUAL]]=0,"AGOTADO",  IF(Tabla1[[#This Row],[EXISTENCIA ACTUAL]]&lt;Tabla1[[#This Row],[STOCK MINIMO]],"MENOR AL MINIMO", "OK"))</f>
        <v>OK</v>
      </c>
      <c r="I273" s="2">
        <f>IF(Tabla1[[#This Row],[EXISTENCIA ACTUAL]]=0,0,  IF(Tabla1[[#This Row],[EXISTENCIA ACTUAL]]&lt;Tabla1[[#This Row],[STOCK MINIMO]],1, 2))</f>
        <v>2</v>
      </c>
      <c r="J273" s="2">
        <v>10</v>
      </c>
      <c r="K273" s="21">
        <f>SUMIFS(Tabla2[CANTIDAD],Tabla2[PRODUCTO],Tabla1[[#This Row],[PRODUCTO]])</f>
        <v>70</v>
      </c>
      <c r="L273" s="2" t="s">
        <v>44</v>
      </c>
      <c r="M273" s="2" t="s">
        <v>47</v>
      </c>
      <c r="O273" t="s">
        <v>521</v>
      </c>
    </row>
    <row r="274" spans="2:15" x14ac:dyDescent="0.25">
      <c r="B274" s="24" t="str">
        <f>E274&amp;"-"&amp;COUNTIF($E$8:E274,E274)</f>
        <v>IS-58</v>
      </c>
      <c r="C274" s="22" t="s">
        <v>560</v>
      </c>
      <c r="D274" s="22" t="s">
        <v>24</v>
      </c>
      <c r="E274" s="21" t="str">
        <f>IFERROR(VLOOKUP(D274,Hoja3!$A$2:$B$50,2,0),"")</f>
        <v>IS</v>
      </c>
      <c r="F274" s="2" t="s">
        <v>51</v>
      </c>
      <c r="G274" s="2" t="s">
        <v>38</v>
      </c>
      <c r="H274" s="20" t="str">
        <f>IF(Tabla1[[#This Row],[EXISTENCIA ACTUAL]]=0,"AGOTADO",  IF(Tabla1[[#This Row],[EXISTENCIA ACTUAL]]&lt;Tabla1[[#This Row],[STOCK MINIMO]],"MENOR AL MINIMO", "OK"))</f>
        <v>OK</v>
      </c>
      <c r="I274" s="2">
        <f>IF(Tabla1[[#This Row],[EXISTENCIA ACTUAL]]=0,0,  IF(Tabla1[[#This Row],[EXISTENCIA ACTUAL]]&lt;Tabla1[[#This Row],[STOCK MINIMO]],1, 2))</f>
        <v>2</v>
      </c>
      <c r="J274" s="2">
        <v>3</v>
      </c>
      <c r="K274" s="21">
        <f>SUMIFS(Tabla2[CANTIDAD],Tabla2[PRODUCTO],Tabla1[[#This Row],[PRODUCTO]])</f>
        <v>4</v>
      </c>
      <c r="L274" s="2" t="s">
        <v>45</v>
      </c>
      <c r="M274" s="2" t="s">
        <v>47</v>
      </c>
      <c r="O274" t="s">
        <v>6</v>
      </c>
    </row>
    <row r="275" spans="2:15" x14ac:dyDescent="0.25">
      <c r="B275" s="24" t="str">
        <f>E275&amp;"-"&amp;COUNTIF($E$8:E275,E275)</f>
        <v>FER-2</v>
      </c>
      <c r="C275" s="22" t="s">
        <v>564</v>
      </c>
      <c r="D275" s="22" t="s">
        <v>17</v>
      </c>
      <c r="E275" s="21" t="str">
        <f>IFERROR(VLOOKUP(D275,Hoja3!$A$2:$B$50,2,0),"")</f>
        <v>FER</v>
      </c>
      <c r="F275" s="2" t="s">
        <v>51</v>
      </c>
      <c r="G275" s="2" t="s">
        <v>38</v>
      </c>
      <c r="H275" s="20" t="str">
        <f>IF(Tabla1[[#This Row],[EXISTENCIA ACTUAL]]=0,"AGOTADO",  IF(Tabla1[[#This Row],[EXISTENCIA ACTUAL]]&lt;Tabla1[[#This Row],[STOCK MINIMO]],"MENOR AL MINIMO", "OK"))</f>
        <v>AGOTADO</v>
      </c>
      <c r="I275" s="2">
        <f>IF(Tabla1[[#This Row],[EXISTENCIA ACTUAL]]=0,0,  IF(Tabla1[[#This Row],[EXISTENCIA ACTUAL]]&lt;Tabla1[[#This Row],[STOCK MINIMO]],1, 2))</f>
        <v>0</v>
      </c>
      <c r="J275" s="2">
        <v>2</v>
      </c>
      <c r="K275" s="21">
        <f>SUMIFS(Tabla2[CANTIDAD],Tabla2[PRODUCTO],Tabla1[[#This Row],[PRODUCTO]])</f>
        <v>0</v>
      </c>
      <c r="L275" s="2" t="s">
        <v>44</v>
      </c>
      <c r="M275" s="2" t="s">
        <v>47</v>
      </c>
      <c r="O275" t="s">
        <v>18</v>
      </c>
    </row>
    <row r="276" spans="2:15" x14ac:dyDescent="0.25">
      <c r="B276" s="24" t="str">
        <f>E276&amp;"-"&amp;COUNTIF($E$8:E276,E276)</f>
        <v>UE-74</v>
      </c>
      <c r="C276" s="22" t="s">
        <v>565</v>
      </c>
      <c r="D276" s="22" t="s">
        <v>21</v>
      </c>
      <c r="E276" s="21" t="str">
        <f>IFERROR(VLOOKUP(D276,Hoja3!$A$2:$B$50,2,0),"")</f>
        <v>UE</v>
      </c>
      <c r="F276" s="2" t="s">
        <v>51</v>
      </c>
      <c r="G276" s="2" t="s">
        <v>38</v>
      </c>
      <c r="H276" s="20" t="str">
        <f>IF(Tabla1[[#This Row],[EXISTENCIA ACTUAL]]=0,"AGOTADO",  IF(Tabla1[[#This Row],[EXISTENCIA ACTUAL]]&lt;Tabla1[[#This Row],[STOCK MINIMO]],"MENOR AL MINIMO", "OK"))</f>
        <v>OK</v>
      </c>
      <c r="I276" s="2">
        <f>IF(Tabla1[[#This Row],[EXISTENCIA ACTUAL]]=0,0,  IF(Tabla1[[#This Row],[EXISTENCIA ACTUAL]]&lt;Tabla1[[#This Row],[STOCK MINIMO]],1, 2))</f>
        <v>2</v>
      </c>
      <c r="J276" s="2">
        <v>1</v>
      </c>
      <c r="K276" s="21">
        <f>SUMIFS(Tabla2[CANTIDAD],Tabla2[PRODUCTO],Tabla1[[#This Row],[PRODUCTO]])</f>
        <v>1</v>
      </c>
      <c r="L276" s="2" t="s">
        <v>44</v>
      </c>
      <c r="M276" s="2" t="s">
        <v>47</v>
      </c>
      <c r="O276" t="s">
        <v>18</v>
      </c>
    </row>
    <row r="277" spans="2:15" x14ac:dyDescent="0.25">
      <c r="B277" s="24" t="str">
        <f>E277&amp;"-"&amp;COUNTIF($E$8:E277,E277)</f>
        <v>HM-54</v>
      </c>
      <c r="C277" s="22" t="s">
        <v>566</v>
      </c>
      <c r="D277" s="22" t="s">
        <v>19</v>
      </c>
      <c r="E277" s="21" t="str">
        <f>IFERROR(VLOOKUP(D277,Hoja3!$A$2:$B$50,2,0),"")</f>
        <v>HM</v>
      </c>
      <c r="F277" s="2" t="s">
        <v>51</v>
      </c>
      <c r="G277" s="2" t="s">
        <v>38</v>
      </c>
      <c r="H277" s="20" t="str">
        <f>IF(Tabla1[[#This Row],[EXISTENCIA ACTUAL]]=0,"AGOTADO",  IF(Tabla1[[#This Row],[EXISTENCIA ACTUAL]]&lt;Tabla1[[#This Row],[STOCK MINIMO]],"MENOR AL MINIMO", "OK"))</f>
        <v>AGOTADO</v>
      </c>
      <c r="I277" s="2">
        <f>IF(Tabla1[[#This Row],[EXISTENCIA ACTUAL]]=0,0,  IF(Tabla1[[#This Row],[EXISTENCIA ACTUAL]]&lt;Tabla1[[#This Row],[STOCK MINIMO]],1, 2))</f>
        <v>0</v>
      </c>
      <c r="J277" s="2">
        <v>1</v>
      </c>
      <c r="K277" s="21">
        <f>SUMIFS(Tabla2[CANTIDAD],Tabla2[PRODUCTO],Tabla1[[#This Row],[PRODUCTO]])</f>
        <v>0</v>
      </c>
      <c r="L277" s="2" t="s">
        <v>44</v>
      </c>
      <c r="M277" s="2" t="s">
        <v>47</v>
      </c>
      <c r="O277" t="s">
        <v>18</v>
      </c>
    </row>
    <row r="278" spans="2:15" x14ac:dyDescent="0.25">
      <c r="B278" s="24" t="str">
        <f>E278&amp;"-"&amp;COUNTIF($E$8:E278,E278)</f>
        <v>FER-3</v>
      </c>
      <c r="C278" s="22" t="s">
        <v>567</v>
      </c>
      <c r="D278" s="22" t="s">
        <v>17</v>
      </c>
      <c r="E278" s="21" t="str">
        <f>IFERROR(VLOOKUP(D278,Hoja3!$A$2:$B$50,2,0),"")</f>
        <v>FER</v>
      </c>
      <c r="F278" s="2" t="s">
        <v>51</v>
      </c>
      <c r="G278" s="2" t="s">
        <v>38</v>
      </c>
      <c r="H278" s="20" t="str">
        <f>IF(Tabla1[[#This Row],[EXISTENCIA ACTUAL]]=0,"AGOTADO",  IF(Tabla1[[#This Row],[EXISTENCIA ACTUAL]]&lt;Tabla1[[#This Row],[STOCK MINIMO]],"MENOR AL MINIMO", "OK"))</f>
        <v>OK</v>
      </c>
      <c r="I278" s="2">
        <f>IF(Tabla1[[#This Row],[EXISTENCIA ACTUAL]]=0,0,  IF(Tabla1[[#This Row],[EXISTENCIA ACTUAL]]&lt;Tabla1[[#This Row],[STOCK MINIMO]],1, 2))</f>
        <v>2</v>
      </c>
      <c r="J278" s="2">
        <v>5</v>
      </c>
      <c r="K278" s="21">
        <f>SUMIFS(Tabla2[CANTIDAD],Tabla2[PRODUCTO],Tabla1[[#This Row],[PRODUCTO]])</f>
        <v>36</v>
      </c>
      <c r="L278" s="2" t="s">
        <v>44</v>
      </c>
      <c r="M278" s="2" t="s">
        <v>47</v>
      </c>
      <c r="O278" t="s">
        <v>568</v>
      </c>
    </row>
    <row r="279" spans="2:15" x14ac:dyDescent="0.25">
      <c r="B279" s="24" t="str">
        <f>E279&amp;"-"&amp;COUNTIF($E$8:E279,E279)</f>
        <v>FER-4</v>
      </c>
      <c r="C279" s="22" t="s">
        <v>570</v>
      </c>
      <c r="D279" s="22" t="s">
        <v>17</v>
      </c>
      <c r="E279" s="21" t="str">
        <f>IFERROR(VLOOKUP(D279,Hoja3!$A$2:$B$50,2,0),"")</f>
        <v>FER</v>
      </c>
      <c r="F279" s="2" t="s">
        <v>51</v>
      </c>
      <c r="G279" s="2" t="s">
        <v>569</v>
      </c>
      <c r="H279" s="20" t="str">
        <f>IF(Tabla1[[#This Row],[EXISTENCIA ACTUAL]]=0,"AGOTADO",  IF(Tabla1[[#This Row],[EXISTENCIA ACTUAL]]&lt;Tabla1[[#This Row],[STOCK MINIMO]],"MENOR AL MINIMO", "OK"))</f>
        <v>AGOTADO</v>
      </c>
      <c r="I279" s="2">
        <f>IF(Tabla1[[#This Row],[EXISTENCIA ACTUAL]]=0,0,  IF(Tabla1[[#This Row],[EXISTENCIA ACTUAL]]&lt;Tabla1[[#This Row],[STOCK MINIMO]],1, 2))</f>
        <v>0</v>
      </c>
      <c r="J279" s="2">
        <v>1</v>
      </c>
      <c r="K279" s="21">
        <f>SUMIFS(Tabla2[CANTIDAD],Tabla2[PRODUCTO],Tabla1[[#This Row],[PRODUCTO]])</f>
        <v>0</v>
      </c>
      <c r="L279" s="2" t="s">
        <v>44</v>
      </c>
      <c r="M279" s="2" t="s">
        <v>47</v>
      </c>
      <c r="O279" t="s">
        <v>568</v>
      </c>
    </row>
    <row r="280" spans="2:15" x14ac:dyDescent="0.25">
      <c r="B280" s="24" t="str">
        <f>E280&amp;"-"&amp;COUNTIF($E$8:E280,E280)</f>
        <v>FER-5</v>
      </c>
      <c r="C280" s="22" t="s">
        <v>571</v>
      </c>
      <c r="D280" s="22" t="s">
        <v>17</v>
      </c>
      <c r="E280" s="21" t="str">
        <f>IFERROR(VLOOKUP(D280,Hoja3!$A$2:$B$50,2,0),"")</f>
        <v>FER</v>
      </c>
      <c r="F280" s="2" t="s">
        <v>51</v>
      </c>
      <c r="G280" s="2" t="s">
        <v>36</v>
      </c>
      <c r="H280" s="20" t="str">
        <f>IF(Tabla1[[#This Row],[EXISTENCIA ACTUAL]]=0,"AGOTADO",  IF(Tabla1[[#This Row],[EXISTENCIA ACTUAL]]&lt;Tabla1[[#This Row],[STOCK MINIMO]],"MENOR AL MINIMO", "OK"))</f>
        <v>OK</v>
      </c>
      <c r="I280" s="2">
        <f>IF(Tabla1[[#This Row],[EXISTENCIA ACTUAL]]=0,0,  IF(Tabla1[[#This Row],[EXISTENCIA ACTUAL]]&lt;Tabla1[[#This Row],[STOCK MINIMO]],1, 2))</f>
        <v>2</v>
      </c>
      <c r="J280" s="2">
        <v>10</v>
      </c>
      <c r="K280" s="21">
        <f>SUMIFS(Tabla2[CANTIDAD],Tabla2[PRODUCTO],Tabla1[[#This Row],[PRODUCTO]])</f>
        <v>324</v>
      </c>
      <c r="L280" s="2" t="s">
        <v>44</v>
      </c>
      <c r="M280" s="2" t="s">
        <v>47</v>
      </c>
      <c r="O280" t="s">
        <v>568</v>
      </c>
    </row>
    <row r="281" spans="2:15" x14ac:dyDescent="0.25">
      <c r="B281" s="24" t="str">
        <f>E281&amp;"-"&amp;COUNTIF($E$8:E281,E281)</f>
        <v>UE-75</v>
      </c>
      <c r="C281" s="22" t="s">
        <v>578</v>
      </c>
      <c r="D281" s="22" t="s">
        <v>21</v>
      </c>
      <c r="E281" s="21" t="str">
        <f>IFERROR(VLOOKUP(D281,Hoja3!$A$2:$B$50,2,0),"")</f>
        <v>UE</v>
      </c>
      <c r="F281" s="2" t="s">
        <v>51</v>
      </c>
      <c r="G281" s="2" t="s">
        <v>95</v>
      </c>
      <c r="H281" s="20" t="str">
        <f>IF(Tabla1[[#This Row],[EXISTENCIA ACTUAL]]=0,"AGOTADO",  IF(Tabla1[[#This Row],[EXISTENCIA ACTUAL]]&lt;Tabla1[[#This Row],[STOCK MINIMO]],"MENOR AL MINIMO", "OK"))</f>
        <v>OK</v>
      </c>
      <c r="I281" s="2">
        <f>IF(Tabla1[[#This Row],[EXISTENCIA ACTUAL]]=0,0,  IF(Tabla1[[#This Row],[EXISTENCIA ACTUAL]]&lt;Tabla1[[#This Row],[STOCK MINIMO]],1, 2))</f>
        <v>2</v>
      </c>
      <c r="J281" s="2">
        <v>1</v>
      </c>
      <c r="K281" s="21">
        <f>SUMIFS(Tabla2[CANTIDAD],Tabla2[PRODUCTO],Tabla1[[#This Row],[PRODUCTO]])</f>
        <v>2</v>
      </c>
      <c r="L281" s="2" t="s">
        <v>44</v>
      </c>
      <c r="M281" s="2" t="s">
        <v>47</v>
      </c>
      <c r="O281" t="s">
        <v>366</v>
      </c>
    </row>
    <row r="282" spans="2:15" x14ac:dyDescent="0.25">
      <c r="B282" s="24" t="str">
        <f>E282&amp;"-"&amp;COUNTIF($E$8:E282,E282)</f>
        <v>OTR-12</v>
      </c>
      <c r="C282" s="22" t="s">
        <v>581</v>
      </c>
      <c r="D282" s="22" t="s">
        <v>148</v>
      </c>
      <c r="E282" s="21" t="str">
        <f>IFERROR(VLOOKUP(D282,Hoja3!$A$2:$B$50,2,0),"")</f>
        <v>OTR</v>
      </c>
      <c r="F282" s="2" t="s">
        <v>51</v>
      </c>
      <c r="G282" s="2" t="s">
        <v>38</v>
      </c>
      <c r="H282" s="20" t="str">
        <f>IF(Tabla1[[#This Row],[EXISTENCIA ACTUAL]]=0,"AGOTADO",  IF(Tabla1[[#This Row],[EXISTENCIA ACTUAL]]&lt;Tabla1[[#This Row],[STOCK MINIMO]],"MENOR AL MINIMO", "OK"))</f>
        <v>OK</v>
      </c>
      <c r="I282" s="2">
        <f>IF(Tabla1[[#This Row],[EXISTENCIA ACTUAL]]=0,0,  IF(Tabla1[[#This Row],[EXISTENCIA ACTUAL]]&lt;Tabla1[[#This Row],[STOCK MINIMO]],1, 2))</f>
        <v>2</v>
      </c>
      <c r="J282" s="2">
        <v>1</v>
      </c>
      <c r="K282" s="21">
        <f>SUMIFS(Tabla2[CANTIDAD],Tabla2[PRODUCTO],Tabla1[[#This Row],[PRODUCTO]])</f>
        <v>2</v>
      </c>
      <c r="L282" s="2" t="s">
        <v>44</v>
      </c>
      <c r="M282" s="2" t="s">
        <v>47</v>
      </c>
      <c r="O282" t="s">
        <v>582</v>
      </c>
    </row>
    <row r="283" spans="2:15" x14ac:dyDescent="0.25">
      <c r="B283" s="24" t="str">
        <f>E283&amp;"-"&amp;COUNTIF($E$8:E283,E283)</f>
        <v>OTR-13</v>
      </c>
      <c r="C283" s="22" t="s">
        <v>583</v>
      </c>
      <c r="D283" s="22" t="s">
        <v>148</v>
      </c>
      <c r="E283" s="21" t="str">
        <f>IFERROR(VLOOKUP(D283,Hoja3!$A$2:$B$50,2,0),"")</f>
        <v>OTR</v>
      </c>
      <c r="F283" s="2" t="s">
        <v>51</v>
      </c>
      <c r="G283" s="2" t="s">
        <v>38</v>
      </c>
      <c r="H283" s="20" t="str">
        <f>IF(Tabla1[[#This Row],[EXISTENCIA ACTUAL]]=0,"AGOTADO",  IF(Tabla1[[#This Row],[EXISTENCIA ACTUAL]]&lt;Tabla1[[#This Row],[STOCK MINIMO]],"MENOR AL MINIMO", "OK"))</f>
        <v>OK</v>
      </c>
      <c r="I283" s="2">
        <f>IF(Tabla1[[#This Row],[EXISTENCIA ACTUAL]]=0,0,  IF(Tabla1[[#This Row],[EXISTENCIA ACTUAL]]&lt;Tabla1[[#This Row],[STOCK MINIMO]],1, 2))</f>
        <v>2</v>
      </c>
      <c r="J283" s="2">
        <v>1</v>
      </c>
      <c r="K283" s="21">
        <f>SUMIFS(Tabla2[CANTIDAD],Tabla2[PRODUCTO],Tabla1[[#This Row],[PRODUCTO]])</f>
        <v>1</v>
      </c>
      <c r="L283" s="2" t="s">
        <v>44</v>
      </c>
      <c r="M283" s="2" t="s">
        <v>47</v>
      </c>
      <c r="O283" t="s">
        <v>582</v>
      </c>
    </row>
    <row r="284" spans="2:15" x14ac:dyDescent="0.25">
      <c r="B284" s="24" t="str">
        <f>E284&amp;"-"&amp;COUNTIF($E$8:E284,E284)</f>
        <v>OTR-14</v>
      </c>
      <c r="C284" s="22" t="s">
        <v>584</v>
      </c>
      <c r="D284" s="22" t="s">
        <v>148</v>
      </c>
      <c r="E284" s="21" t="str">
        <f>IFERROR(VLOOKUP(D284,Hoja3!$A$2:$B$50,2,0),"")</f>
        <v>OTR</v>
      </c>
      <c r="F284" s="2" t="s">
        <v>51</v>
      </c>
      <c r="G284" s="2" t="s">
        <v>38</v>
      </c>
      <c r="H284" s="20" t="str">
        <f>IF(Tabla1[[#This Row],[EXISTENCIA ACTUAL]]=0,"AGOTADO",  IF(Tabla1[[#This Row],[EXISTENCIA ACTUAL]]&lt;Tabla1[[#This Row],[STOCK MINIMO]],"MENOR AL MINIMO", "OK"))</f>
        <v>OK</v>
      </c>
      <c r="I284" s="2">
        <f>IF(Tabla1[[#This Row],[EXISTENCIA ACTUAL]]=0,0,  IF(Tabla1[[#This Row],[EXISTENCIA ACTUAL]]&lt;Tabla1[[#This Row],[STOCK MINIMO]],1, 2))</f>
        <v>2</v>
      </c>
      <c r="J284" s="2">
        <v>1</v>
      </c>
      <c r="K284" s="21">
        <f>SUMIFS(Tabla2[CANTIDAD],Tabla2[PRODUCTO],Tabla1[[#This Row],[PRODUCTO]])</f>
        <v>1</v>
      </c>
      <c r="L284" s="2" t="s">
        <v>44</v>
      </c>
      <c r="M284" s="2" t="s">
        <v>47</v>
      </c>
      <c r="O284" t="s">
        <v>582</v>
      </c>
    </row>
    <row r="285" spans="2:15" x14ac:dyDescent="0.25">
      <c r="B285" s="24" t="str">
        <f>E285&amp;"-"&amp;COUNTIF($E$8:E285,E285)</f>
        <v>OTR-15</v>
      </c>
      <c r="C285" s="22" t="s">
        <v>585</v>
      </c>
      <c r="D285" s="22" t="s">
        <v>148</v>
      </c>
      <c r="E285" s="21" t="str">
        <f>IFERROR(VLOOKUP(D285,Hoja3!$A$2:$B$50,2,0),"")</f>
        <v>OTR</v>
      </c>
      <c r="F285" s="2" t="s">
        <v>51</v>
      </c>
      <c r="G285" s="2" t="s">
        <v>38</v>
      </c>
      <c r="H285" s="20" t="str">
        <f>IF(Tabla1[[#This Row],[EXISTENCIA ACTUAL]]=0,"AGOTADO",  IF(Tabla1[[#This Row],[EXISTENCIA ACTUAL]]&lt;Tabla1[[#This Row],[STOCK MINIMO]],"MENOR AL MINIMO", "OK"))</f>
        <v>OK</v>
      </c>
      <c r="I285" s="2">
        <f>IF(Tabla1[[#This Row],[EXISTENCIA ACTUAL]]=0,0,  IF(Tabla1[[#This Row],[EXISTENCIA ACTUAL]]&lt;Tabla1[[#This Row],[STOCK MINIMO]],1, 2))</f>
        <v>2</v>
      </c>
      <c r="J285" s="2">
        <v>1</v>
      </c>
      <c r="K285" s="21">
        <f>SUMIFS(Tabla2[CANTIDAD],Tabla2[PRODUCTO],Tabla1[[#This Row],[PRODUCTO]])</f>
        <v>1</v>
      </c>
      <c r="L285" s="2" t="s">
        <v>44</v>
      </c>
      <c r="M285" s="2" t="s">
        <v>47</v>
      </c>
      <c r="O285" t="s">
        <v>582</v>
      </c>
    </row>
    <row r="286" spans="2:15" x14ac:dyDescent="0.25">
      <c r="B286" s="24" t="str">
        <f>E286&amp;"-"&amp;COUNTIF($E$8:E286,E286)</f>
        <v>OTR-16</v>
      </c>
      <c r="C286" s="22" t="s">
        <v>586</v>
      </c>
      <c r="D286" s="22" t="s">
        <v>148</v>
      </c>
      <c r="E286" s="21" t="str">
        <f>IFERROR(VLOOKUP(D286,Hoja3!$A$2:$B$50,2,0),"")</f>
        <v>OTR</v>
      </c>
      <c r="F286" s="2" t="s">
        <v>51</v>
      </c>
      <c r="G286" s="2" t="s">
        <v>38</v>
      </c>
      <c r="H286" s="20" t="str">
        <f>IF(Tabla1[[#This Row],[EXISTENCIA ACTUAL]]=0,"AGOTADO",  IF(Tabla1[[#This Row],[EXISTENCIA ACTUAL]]&lt;Tabla1[[#This Row],[STOCK MINIMO]],"MENOR AL MINIMO", "OK"))</f>
        <v>OK</v>
      </c>
      <c r="I286" s="2">
        <f>IF(Tabla1[[#This Row],[EXISTENCIA ACTUAL]]=0,0,  IF(Tabla1[[#This Row],[EXISTENCIA ACTUAL]]&lt;Tabla1[[#This Row],[STOCK MINIMO]],1, 2))</f>
        <v>2</v>
      </c>
      <c r="J286" s="2">
        <v>1</v>
      </c>
      <c r="K286" s="21">
        <f>SUMIFS(Tabla2[CANTIDAD],Tabla2[PRODUCTO],Tabla1[[#This Row],[PRODUCTO]])</f>
        <v>1</v>
      </c>
      <c r="L286" s="2" t="s">
        <v>44</v>
      </c>
      <c r="M286" s="2" t="s">
        <v>47</v>
      </c>
      <c r="O286" t="s">
        <v>582</v>
      </c>
    </row>
    <row r="287" spans="2:15" x14ac:dyDescent="0.25">
      <c r="B287" s="24" t="str">
        <f>E287&amp;"-"&amp;COUNTIF($E$8:E287,E287)</f>
        <v>OTR-17</v>
      </c>
      <c r="C287" s="22" t="s">
        <v>587</v>
      </c>
      <c r="D287" s="22" t="s">
        <v>148</v>
      </c>
      <c r="E287" s="21" t="str">
        <f>IFERROR(VLOOKUP(D287,Hoja3!$A$2:$B$50,2,0),"")</f>
        <v>OTR</v>
      </c>
      <c r="F287" s="2" t="s">
        <v>51</v>
      </c>
      <c r="G287" s="2" t="s">
        <v>41</v>
      </c>
      <c r="H287" s="20" t="str">
        <f>IF(Tabla1[[#This Row],[EXISTENCIA ACTUAL]]=0,"AGOTADO",  IF(Tabla1[[#This Row],[EXISTENCIA ACTUAL]]&lt;Tabla1[[#This Row],[STOCK MINIMO]],"MENOR AL MINIMO", "OK"))</f>
        <v>OK</v>
      </c>
      <c r="I287" s="2">
        <f>IF(Tabla1[[#This Row],[EXISTENCIA ACTUAL]]=0,0,  IF(Tabla1[[#This Row],[EXISTENCIA ACTUAL]]&lt;Tabla1[[#This Row],[STOCK MINIMO]],1, 2))</f>
        <v>2</v>
      </c>
      <c r="J287" s="2">
        <v>1</v>
      </c>
      <c r="K287" s="21">
        <f>SUMIFS(Tabla2[CANTIDAD],Tabla2[PRODUCTO],Tabla1[[#This Row],[PRODUCTO]])</f>
        <v>1</v>
      </c>
      <c r="L287" s="2" t="s">
        <v>44</v>
      </c>
      <c r="M287" s="2" t="s">
        <v>47</v>
      </c>
      <c r="O287" t="s">
        <v>582</v>
      </c>
    </row>
    <row r="288" spans="2:15" x14ac:dyDescent="0.25">
      <c r="B288" s="24" t="str">
        <f>E288&amp;"-"&amp;COUNTIF($E$8:E288,E288)</f>
        <v>OTR-18</v>
      </c>
      <c r="C288" s="22" t="s">
        <v>588</v>
      </c>
      <c r="D288" s="22" t="s">
        <v>148</v>
      </c>
      <c r="E288" s="21" t="str">
        <f>IFERROR(VLOOKUP(D288,Hoja3!$A$2:$B$50,2,0),"")</f>
        <v>OTR</v>
      </c>
      <c r="F288" s="2" t="s">
        <v>51</v>
      </c>
      <c r="G288" s="2" t="s">
        <v>38</v>
      </c>
      <c r="H288" s="20" t="str">
        <f>IF(Tabla1[[#This Row],[EXISTENCIA ACTUAL]]=0,"AGOTADO",  IF(Tabla1[[#This Row],[EXISTENCIA ACTUAL]]&lt;Tabla1[[#This Row],[STOCK MINIMO]],"MENOR AL MINIMO", "OK"))</f>
        <v>OK</v>
      </c>
      <c r="I288" s="2">
        <f>IF(Tabla1[[#This Row],[EXISTENCIA ACTUAL]]=0,0,  IF(Tabla1[[#This Row],[EXISTENCIA ACTUAL]]&lt;Tabla1[[#This Row],[STOCK MINIMO]],1, 2))</f>
        <v>2</v>
      </c>
      <c r="J288" s="2">
        <v>1</v>
      </c>
      <c r="K288" s="21">
        <f>SUMIFS(Tabla2[CANTIDAD],Tabla2[PRODUCTO],Tabla1[[#This Row],[PRODUCTO]])</f>
        <v>1</v>
      </c>
      <c r="L288" s="2" t="s">
        <v>44</v>
      </c>
      <c r="M288" s="2" t="s">
        <v>47</v>
      </c>
      <c r="O288" t="s">
        <v>589</v>
      </c>
    </row>
    <row r="289" spans="2:15" x14ac:dyDescent="0.25">
      <c r="B289" s="24" t="str">
        <f>E289&amp;"-"&amp;COUNTIF($E$8:E289,E289)</f>
        <v>HM-55</v>
      </c>
      <c r="C289" s="22" t="s">
        <v>590</v>
      </c>
      <c r="D289" s="22" t="s">
        <v>19</v>
      </c>
      <c r="E289" s="21" t="str">
        <f>IFERROR(VLOOKUP(D289,Hoja3!$A$2:$B$50,2,0),"")</f>
        <v>HM</v>
      </c>
      <c r="F289" s="2" t="s">
        <v>51</v>
      </c>
      <c r="G289" s="2" t="s">
        <v>38</v>
      </c>
      <c r="H289" s="20" t="str">
        <f>IF(Tabla1[[#This Row],[EXISTENCIA ACTUAL]]=0,"AGOTADO",  IF(Tabla1[[#This Row],[EXISTENCIA ACTUAL]]&lt;Tabla1[[#This Row],[STOCK MINIMO]],"MENOR AL MINIMO", "OK"))</f>
        <v>OK</v>
      </c>
      <c r="I289" s="2">
        <f>IF(Tabla1[[#This Row],[EXISTENCIA ACTUAL]]=0,0,  IF(Tabla1[[#This Row],[EXISTENCIA ACTUAL]]&lt;Tabla1[[#This Row],[STOCK MINIMO]],1, 2))</f>
        <v>2</v>
      </c>
      <c r="J289" s="2">
        <v>1</v>
      </c>
      <c r="K289" s="21">
        <f>SUMIFS(Tabla2[CANTIDAD],Tabla2[PRODUCTO],Tabla1[[#This Row],[PRODUCTO]])</f>
        <v>10</v>
      </c>
      <c r="L289" s="2" t="s">
        <v>44</v>
      </c>
      <c r="M289" s="2" t="s">
        <v>47</v>
      </c>
      <c r="O289" t="s">
        <v>348</v>
      </c>
    </row>
    <row r="290" spans="2:15" x14ac:dyDescent="0.25">
      <c r="B290" s="24" t="str">
        <f>E290&amp;"-"&amp;COUNTIF($E$8:E291,E290)</f>
        <v>OTR-19</v>
      </c>
      <c r="C290" s="22" t="s">
        <v>592</v>
      </c>
      <c r="D290" s="22" t="s">
        <v>148</v>
      </c>
      <c r="E290" s="21" t="str">
        <f>IFERROR(VLOOKUP(D290,Hoja3!$A$2:$B$50,2,0),"")</f>
        <v>OTR</v>
      </c>
      <c r="F290" s="2" t="s">
        <v>51</v>
      </c>
      <c r="G290" s="2" t="s">
        <v>38</v>
      </c>
      <c r="H290" s="20" t="str">
        <f>IF(Tabla1[[#This Row],[EXISTENCIA ACTUAL]]=0,"AGOTADO",  IF(Tabla1[[#This Row],[EXISTENCIA ACTUAL]]&lt;Tabla1[[#This Row],[STOCK MINIMO]],"MENOR AL MINIMO", "OK"))</f>
        <v>AGOTADO</v>
      </c>
      <c r="I290" s="2">
        <f>IF(Tabla1[[#This Row],[EXISTENCIA ACTUAL]]=0,0,  IF(Tabla1[[#This Row],[EXISTENCIA ACTUAL]]&lt;Tabla1[[#This Row],[STOCK MINIMO]],1, 2))</f>
        <v>0</v>
      </c>
      <c r="J290" s="2">
        <v>1</v>
      </c>
      <c r="K290" s="21">
        <f>SUMIFS(Tabla2[CANTIDAD],Tabla2[PRODUCTO],Tabla1[[#This Row],[PRODUCTO]])</f>
        <v>0</v>
      </c>
      <c r="L290" s="2" t="s">
        <v>44</v>
      </c>
      <c r="M290" s="2" t="s">
        <v>47</v>
      </c>
      <c r="O290" t="s">
        <v>593</v>
      </c>
    </row>
    <row r="291" spans="2:15" hidden="1" x14ac:dyDescent="0.25">
      <c r="B291" s="23" t="str">
        <f>E291&amp;"-"&amp;COUNTIF($E$8:E291,E291)</f>
        <v>-1</v>
      </c>
      <c r="C291" s="22"/>
      <c r="D291" s="22"/>
      <c r="E291" s="21" t="str">
        <f>IFERROR(VLOOKUP(D291,Hoja3!$A$2:$B$50,2,0),"")</f>
        <v/>
      </c>
      <c r="F291" s="2"/>
      <c r="G291" s="2"/>
      <c r="H291" s="20" t="str">
        <f>IF(Tabla1[[#This Row],[EXISTENCIA ACTUAL]]=0,"AGOTADO",  IF(Tabla1[[#This Row],[EXISTENCIA ACTUAL]]&lt;Tabla1[[#This Row],[STOCK MINIMO]],"MENOR AL MINIMO", "OK"))</f>
        <v>AGOTADO</v>
      </c>
      <c r="I291" s="2">
        <f>IF(Tabla1[[#This Row],[EXISTENCIA ACTUAL]]=0,0,  IF(Tabla1[[#This Row],[EXISTENCIA ACTUAL]]&lt;Tabla1[[#This Row],[STOCK MINIMO]],1, 2))</f>
        <v>0</v>
      </c>
      <c r="J291" s="2"/>
      <c r="K291" s="21">
        <f>SUMIFS(Tabla2[CANTIDAD],Tabla2[PRODUCTO],Tabla1[[#This Row],[PRODUCTO]])</f>
        <v>0</v>
      </c>
      <c r="L291" s="2"/>
      <c r="M291" s="2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2D833F1-DF6F-4A67-A3E5-8E4726C2DE87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2</xm:f>
              </x14:cfvo>
              <x14:cfIcon iconSet="3Symbols" iconId="0"/>
              <x14:cfIcon iconSet="3Symbols" iconId="1"/>
              <x14:cfIcon iconSet="NoIcons" iconId="0"/>
            </x14:iconSet>
          </x14:cfRule>
          <xm:sqref>I8:I291</xm:sqref>
        </x14:conditionalFormatting>
        <x14:conditionalFormatting xmlns:xm="http://schemas.microsoft.com/office/excel/2006/main">
          <x14:cfRule type="iconSet" priority="2" id="{916792FE-B483-4CAC-9549-D1A9BB826128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2</xm:f>
              </x14:cfvo>
              <x14:cfIcon iconSet="3Symbols" iconId="0"/>
              <x14:cfIcon iconSet="3Symbols" iconId="1"/>
              <x14:cfIcon iconSet="NoIcons" iconId="0"/>
            </x14:iconSet>
          </x14:cfRule>
          <xm:sqref>Q9</xm:sqref>
        </x14:conditionalFormatting>
        <x14:conditionalFormatting xmlns:xm="http://schemas.microsoft.com/office/excel/2006/main">
          <x14:cfRule type="iconSet" priority="1" id="{0C030D48-D759-499A-8665-24241423B5B0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2</xm:f>
              </x14:cfvo>
              <x14:cfIcon iconSet="3Symbols" iconId="0"/>
              <x14:cfIcon iconSet="3Symbols" iconId="1"/>
              <x14:cfIcon iconSet="NoIcons" iconId="0"/>
            </x14:iconSet>
          </x14:cfRule>
          <xm:sqref>Q45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75B5881-92A1-4E9C-A4A4-220D15225D1E}">
          <x14:formula1>
            <xm:f>Hoja3!$A$2:$A$24</xm:f>
          </x14:formula1>
          <xm:sqref>D8:D186</xm:sqref>
        </x14:dataValidation>
        <x14:dataValidation type="list" allowBlank="1" showInputMessage="1" showErrorMessage="1" xr:uid="{94CAFC5A-507B-471B-9020-5D1C376C5655}">
          <x14:formula1>
            <xm:f>Hoja3!$E$2:$E$21</xm:f>
          </x14:formula1>
          <xm:sqref>G8:G186</xm:sqref>
        </x14:dataValidation>
        <x14:dataValidation type="list" allowBlank="1" showInputMessage="1" showErrorMessage="1" xr:uid="{FC0CC8E7-4FE3-4847-B5A6-CDE8CCFEACD7}">
          <x14:formula1>
            <xm:f>Hoja3!$I$2:$I$18</xm:f>
          </x14:formula1>
          <xm:sqref>M8:M186</xm:sqref>
        </x14:dataValidation>
        <x14:dataValidation type="list" allowBlank="1" showInputMessage="1" showErrorMessage="1" xr:uid="{E24F593E-8DB1-4494-BA5A-C51B3BE26223}">
          <x14:formula1>
            <xm:f>Hoja3!$G$2:$G$22</xm:f>
          </x14:formula1>
          <xm:sqref>L8:L186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26F4-217C-4750-BDA0-3588FF6967A6}">
  <sheetPr codeName="Hoja4"/>
  <dimension ref="A1:R1331"/>
  <sheetViews>
    <sheetView showGridLines="0" zoomScaleNormal="100" workbookViewId="0">
      <pane xSplit="4" topLeftCell="J1" activePane="topRight" state="frozen"/>
      <selection pane="topRight" activeCell="I300" sqref="I300"/>
    </sheetView>
  </sheetViews>
  <sheetFormatPr baseColWidth="10" defaultRowHeight="15" x14ac:dyDescent="0.25"/>
  <cols>
    <col min="1" max="1" width="2.5703125" customWidth="1"/>
    <col min="2" max="2" width="10.7109375" customWidth="1"/>
    <col min="3" max="3" width="13.7109375" customWidth="1"/>
    <col min="4" max="4" width="51.28515625" customWidth="1"/>
    <col min="5" max="5" width="30.28515625" customWidth="1"/>
    <col min="6" max="6" width="28" customWidth="1"/>
    <col min="7" max="7" width="14.7109375" customWidth="1"/>
    <col min="8" max="8" width="11.28515625" customWidth="1"/>
    <col min="10" max="10" width="37.28515625" customWidth="1"/>
    <col min="11" max="11" width="16.28515625" customWidth="1"/>
    <col min="12" max="12" width="31.42578125" customWidth="1"/>
    <col min="13" max="13" width="30.5703125" customWidth="1"/>
    <col min="14" max="15" width="12.28515625" customWidth="1"/>
    <col min="16" max="16" width="16.5703125" customWidth="1"/>
    <col min="17" max="17" width="13.42578125" customWidth="1"/>
    <col min="18" max="18" width="48" customWidth="1"/>
    <col min="20" max="20" width="54.28515625" customWidth="1"/>
  </cols>
  <sheetData>
    <row r="1" spans="1:18" ht="42.6" customHeight="1" x14ac:dyDescent="0.25">
      <c r="A1" s="10"/>
      <c r="B1" s="11" t="s">
        <v>104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8" ht="5.45" customHeight="1" x14ac:dyDescent="0.25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8" ht="20.45" customHeight="1" x14ac:dyDescent="0.25">
      <c r="A3" s="10"/>
      <c r="B3" s="12" t="s">
        <v>105</v>
      </c>
      <c r="C3" s="10"/>
      <c r="D3" s="10"/>
      <c r="E3" s="10"/>
      <c r="F3" s="10"/>
      <c r="G3" s="10"/>
      <c r="H3" s="10"/>
      <c r="I3" s="10"/>
      <c r="J3" s="10"/>
    </row>
    <row r="5" spans="1:18" ht="18.75" x14ac:dyDescent="0.3">
      <c r="B5" s="3" t="s">
        <v>10</v>
      </c>
    </row>
    <row r="6" spans="1:18" x14ac:dyDescent="0.2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</row>
    <row r="7" spans="1:18" s="1" customFormat="1" ht="36" customHeight="1" x14ac:dyDescent="0.25">
      <c r="B7" s="1" t="s">
        <v>11</v>
      </c>
      <c r="C7" s="1" t="s">
        <v>0</v>
      </c>
      <c r="D7" s="1" t="s">
        <v>1</v>
      </c>
      <c r="E7" s="1" t="s">
        <v>2</v>
      </c>
      <c r="F7" s="1" t="s">
        <v>12</v>
      </c>
      <c r="G7" s="1" t="s">
        <v>3</v>
      </c>
      <c r="H7" s="6" t="s">
        <v>5</v>
      </c>
      <c r="I7" s="1" t="s">
        <v>13</v>
      </c>
      <c r="J7" s="1" t="s">
        <v>14</v>
      </c>
      <c r="K7" s="1" t="s">
        <v>7</v>
      </c>
      <c r="L7" s="1" t="s">
        <v>15</v>
      </c>
      <c r="M7" s="1" t="s">
        <v>16</v>
      </c>
      <c r="N7" s="1" t="s">
        <v>153</v>
      </c>
      <c r="O7" s="1" t="s">
        <v>154</v>
      </c>
      <c r="P7" s="1" t="s">
        <v>87</v>
      </c>
      <c r="Q7" s="1" t="s">
        <v>88</v>
      </c>
      <c r="R7" s="1" t="s">
        <v>467</v>
      </c>
    </row>
    <row r="8" spans="1:18" ht="20.45" hidden="1" customHeight="1" x14ac:dyDescent="0.25">
      <c r="B8" s="5">
        <v>45910</v>
      </c>
      <c r="C8" s="2" t="str">
        <f>IFERROR(_xlfn.XLOOKUP(Tabla2[[#This Row],[PRODUCTO]],Tabla1[PRODUCTO],Tabla1[CODIGO]),"")</f>
        <v>IS-1</v>
      </c>
      <c r="D8" s="30" t="s">
        <v>50</v>
      </c>
      <c r="E8" s="30" t="str">
        <f>IFERROR(VLOOKUP(Tabla2[[#This Row],[CODIGO]],Tabla1[],3,0),"")</f>
        <v>IMPLEMENTOS DE SEGURIDAD</v>
      </c>
      <c r="F8" s="27" t="str">
        <f>IFERROR(VLOOKUP(Tabla2[[#This Row],[CODIGO]],Tabla1[],5,0),"")</f>
        <v>ALMACEN TICAPAMPA</v>
      </c>
      <c r="G8" s="25" t="str">
        <f>IFERROR(VLOOKUP(Tabla2[[#This Row],[CODIGO]],Tabla1[],6,0),"")</f>
        <v>UNI</v>
      </c>
      <c r="H8" s="25">
        <f>IFERROR(VLOOKUP(Tabla2[[#This Row],[CODIGO]],Tabla1[],10,0),"")</f>
        <v>4</v>
      </c>
      <c r="I8" s="7">
        <v>10</v>
      </c>
      <c r="J8" s="29" t="s">
        <v>320</v>
      </c>
      <c r="K8" s="25" t="str">
        <f>IFERROR(VLOOKUP(Tabla2[[#This Row],[CODIGO]],Tabla1[],11,0),"")</f>
        <v>COMPRA</v>
      </c>
      <c r="L8" s="67" t="s">
        <v>308</v>
      </c>
      <c r="M8" s="67" t="s">
        <v>472</v>
      </c>
      <c r="N8" s="70">
        <v>45</v>
      </c>
      <c r="O8" s="70">
        <f>Tabla2[[#This Row],[CANTIDAD]]*Tabla2[[#This Row],[PREC. UNITARIO]]</f>
        <v>450</v>
      </c>
      <c r="P8" t="s">
        <v>547</v>
      </c>
      <c r="R8" t="str">
        <f>Tabla2[[#This Row],[QUIEN RECIBE]]&amp;"-"&amp;TEXT(Tabla2[[#This Row],[FECHA]],"dd/mm/yyyy")</f>
        <v>ACUACHI LANCHIPA ERNESTO ALONSO-10/09/2025</v>
      </c>
    </row>
    <row r="9" spans="1:18" ht="20.45" hidden="1" customHeight="1" x14ac:dyDescent="0.25">
      <c r="B9" s="5">
        <v>45910</v>
      </c>
      <c r="C9" s="2" t="str">
        <f>IFERROR(_xlfn.XLOOKUP(Tabla2[[#This Row],[PRODUCTO]],Tabla1[PRODUCTO],Tabla1[CODIGO]),"")</f>
        <v>IS-2</v>
      </c>
      <c r="D9" s="30" t="s">
        <v>52</v>
      </c>
      <c r="E9" s="30" t="str">
        <f>IFERROR(VLOOKUP(Tabla2[[#This Row],[CODIGO]],Tabla1[],3,0),"")</f>
        <v>IMPLEMENTOS DE SEGURIDAD</v>
      </c>
      <c r="F9" s="27" t="str">
        <f>IFERROR(VLOOKUP(Tabla2[[#This Row],[CODIGO]],Tabla1[],5,0),"")</f>
        <v>ALMACEN TICAPAMPA</v>
      </c>
      <c r="G9" s="25" t="str">
        <f>IFERROR(VLOOKUP(Tabla2[[#This Row],[CODIGO]],Tabla1[],6,0),"")</f>
        <v>UNI</v>
      </c>
      <c r="H9" s="25">
        <f>IFERROR(VLOOKUP(Tabla2[[#This Row],[CODIGO]],Tabla1[],10,0),"")</f>
        <v>5</v>
      </c>
      <c r="I9" s="7">
        <v>10</v>
      </c>
      <c r="J9" s="29" t="s">
        <v>320</v>
      </c>
      <c r="K9" s="25" t="str">
        <f>IFERROR(VLOOKUP(Tabla2[[#This Row],[CODIGO]],Tabla1[],11,0),"")</f>
        <v>COMPRA</v>
      </c>
      <c r="L9" s="67" t="s">
        <v>308</v>
      </c>
      <c r="M9" s="67" t="s">
        <v>472</v>
      </c>
      <c r="N9" s="70">
        <v>45</v>
      </c>
      <c r="O9" s="70">
        <f>Tabla2[[#This Row],[CANTIDAD]]*Tabla2[[#This Row],[PREC. UNITARIO]]</f>
        <v>450</v>
      </c>
      <c r="P9" t="s">
        <v>547</v>
      </c>
      <c r="R9" t="str">
        <f>Tabla2[[#This Row],[QUIEN RECIBE]]&amp;"-"&amp;TEXT(Tabla2[[#This Row],[FECHA]],"dd/mm/yyyy")</f>
        <v>ACUACHI LANCHIPA ERNESTO ALONSO-10/09/2025</v>
      </c>
    </row>
    <row r="10" spans="1:18" ht="20.45" hidden="1" customHeight="1" x14ac:dyDescent="0.25">
      <c r="B10" s="5">
        <v>45910</v>
      </c>
      <c r="C10" s="2" t="str">
        <f>IFERROR(_xlfn.XLOOKUP(Tabla2[[#This Row],[PRODUCTO]],Tabla1[PRODUCTO],Tabla1[CODIGO]),"")</f>
        <v>IS-3</v>
      </c>
      <c r="D10" s="30" t="s">
        <v>53</v>
      </c>
      <c r="E10" s="30" t="str">
        <f>IFERROR(VLOOKUP(Tabla2[[#This Row],[CODIGO]],Tabla1[],3,0),"")</f>
        <v>IMPLEMENTOS DE SEGURIDAD</v>
      </c>
      <c r="F10" s="27" t="str">
        <f>IFERROR(VLOOKUP(Tabla2[[#This Row],[CODIGO]],Tabla1[],5,0),"")</f>
        <v>ALMACEN TICAPAMPA</v>
      </c>
      <c r="G10" s="25" t="str">
        <f>IFERROR(VLOOKUP(Tabla2[[#This Row],[CODIGO]],Tabla1[],6,0),"")</f>
        <v>UNI</v>
      </c>
      <c r="H10" s="25">
        <f>IFERROR(VLOOKUP(Tabla2[[#This Row],[CODIGO]],Tabla1[],10,0),"")</f>
        <v>0</v>
      </c>
      <c r="I10" s="7">
        <v>1</v>
      </c>
      <c r="J10" s="29" t="s">
        <v>320</v>
      </c>
      <c r="K10" s="25" t="str">
        <f>IFERROR(VLOOKUP(Tabla2[[#This Row],[CODIGO]],Tabla1[],11,0),"")</f>
        <v>COMPRA</v>
      </c>
      <c r="L10" s="67" t="s">
        <v>308</v>
      </c>
      <c r="M10" s="67" t="s">
        <v>472</v>
      </c>
      <c r="N10" s="70">
        <v>45</v>
      </c>
      <c r="O10" s="70">
        <f>Tabla2[[#This Row],[CANTIDAD]]*Tabla2[[#This Row],[PREC. UNITARIO]]</f>
        <v>45</v>
      </c>
      <c r="P10" t="s">
        <v>547</v>
      </c>
      <c r="R10" t="str">
        <f>Tabla2[[#This Row],[QUIEN RECIBE]]&amp;"-"&amp;TEXT(Tabla2[[#This Row],[FECHA]],"dd/mm/yyyy")</f>
        <v>ACUACHI LANCHIPA ERNESTO ALONSO-10/09/2025</v>
      </c>
    </row>
    <row r="11" spans="1:18" ht="20.45" hidden="1" customHeight="1" x14ac:dyDescent="0.25">
      <c r="B11" s="5">
        <v>45910</v>
      </c>
      <c r="C11" s="2" t="str">
        <f>IFERROR(_xlfn.XLOOKUP(Tabla2[[#This Row],[PRODUCTO]],Tabla1[PRODUCTO],Tabla1[CODIGO]),"")</f>
        <v>IS-4</v>
      </c>
      <c r="D11" s="30" t="s">
        <v>54</v>
      </c>
      <c r="E11" s="30" t="str">
        <f>IFERROR(VLOOKUP(Tabla2[[#This Row],[CODIGO]],Tabla1[],3,0),"")</f>
        <v>IMPLEMENTOS DE SEGURIDAD</v>
      </c>
      <c r="F11" s="27" t="str">
        <f>IFERROR(VLOOKUP(Tabla2[[#This Row],[CODIGO]],Tabla1[],5,0),"")</f>
        <v>ALMACEN TICAPAMPA</v>
      </c>
      <c r="G11" s="25" t="str">
        <f>IFERROR(VLOOKUP(Tabla2[[#This Row],[CODIGO]],Tabla1[],6,0),"")</f>
        <v>UNI</v>
      </c>
      <c r="H11" s="25">
        <f>IFERROR(VLOOKUP(Tabla2[[#This Row],[CODIGO]],Tabla1[],10,0),"")</f>
        <v>0</v>
      </c>
      <c r="I11" s="7">
        <v>1</v>
      </c>
      <c r="J11" s="29" t="s">
        <v>320</v>
      </c>
      <c r="K11" s="25" t="str">
        <f>IFERROR(VLOOKUP(Tabla2[[#This Row],[CODIGO]],Tabla1[],11,0),"")</f>
        <v>COMPRA</v>
      </c>
      <c r="L11" s="67" t="s">
        <v>308</v>
      </c>
      <c r="M11" s="67" t="s">
        <v>472</v>
      </c>
      <c r="N11" s="70">
        <v>45</v>
      </c>
      <c r="O11" s="70">
        <f>Tabla2[[#This Row],[CANTIDAD]]*Tabla2[[#This Row],[PREC. UNITARIO]]</f>
        <v>45</v>
      </c>
      <c r="P11" t="s">
        <v>547</v>
      </c>
      <c r="R11" t="str">
        <f>Tabla2[[#This Row],[QUIEN RECIBE]]&amp;"-"&amp;TEXT(Tabla2[[#This Row],[FECHA]],"dd/mm/yyyy")</f>
        <v>ACUACHI LANCHIPA ERNESTO ALONSO-10/09/2025</v>
      </c>
    </row>
    <row r="12" spans="1:18" ht="20.45" hidden="1" customHeight="1" x14ac:dyDescent="0.25">
      <c r="B12" s="5">
        <v>45910</v>
      </c>
      <c r="C12" s="2" t="str">
        <f>IFERROR(_xlfn.XLOOKUP(Tabla2[[#This Row],[PRODUCTO]],Tabla1[PRODUCTO],Tabla1[CODIGO]),"")</f>
        <v>IS-5</v>
      </c>
      <c r="D12" s="30" t="s">
        <v>55</v>
      </c>
      <c r="E12" s="30" t="str">
        <f>IFERROR(VLOOKUP(Tabla2[[#This Row],[CODIGO]],Tabla1[],3,0),"")</f>
        <v>IMPLEMENTOS DE SEGURIDAD</v>
      </c>
      <c r="F12" s="27" t="str">
        <f>IFERROR(VLOOKUP(Tabla2[[#This Row],[CODIGO]],Tabla1[],5,0),"")</f>
        <v>ALMACEN TICAPAMPA</v>
      </c>
      <c r="G12" s="25" t="str">
        <f>IFERROR(VLOOKUP(Tabla2[[#This Row],[CODIGO]],Tabla1[],6,0),"")</f>
        <v>UNI</v>
      </c>
      <c r="H12" s="25">
        <f>IFERROR(VLOOKUP(Tabla2[[#This Row],[CODIGO]],Tabla1[],10,0),"")</f>
        <v>0</v>
      </c>
      <c r="I12" s="7">
        <v>1</v>
      </c>
      <c r="J12" s="29" t="s">
        <v>320</v>
      </c>
      <c r="K12" s="25" t="str">
        <f>IFERROR(VLOOKUP(Tabla2[[#This Row],[CODIGO]],Tabla1[],11,0),"")</f>
        <v>COMPRA</v>
      </c>
      <c r="L12" s="67" t="s">
        <v>308</v>
      </c>
      <c r="M12" s="67" t="s">
        <v>472</v>
      </c>
      <c r="N12" s="70">
        <v>45</v>
      </c>
      <c r="O12" s="70">
        <f>Tabla2[[#This Row],[CANTIDAD]]*Tabla2[[#This Row],[PREC. UNITARIO]]</f>
        <v>45</v>
      </c>
      <c r="P12" t="s">
        <v>547</v>
      </c>
      <c r="R12" t="str">
        <f>Tabla2[[#This Row],[QUIEN RECIBE]]&amp;"-"&amp;TEXT(Tabla2[[#This Row],[FECHA]],"dd/mm/yyyy")</f>
        <v>ACUACHI LANCHIPA ERNESTO ALONSO-10/09/2025</v>
      </c>
    </row>
    <row r="13" spans="1:18" ht="20.45" hidden="1" customHeight="1" x14ac:dyDescent="0.25">
      <c r="B13" s="5">
        <v>45910</v>
      </c>
      <c r="C13" s="2" t="str">
        <f>IFERROR(_xlfn.XLOOKUP(Tabla2[[#This Row],[PRODUCTO]],Tabla1[PRODUCTO],Tabla1[CODIGO]),"")</f>
        <v>IS-6</v>
      </c>
      <c r="D13" s="30" t="s">
        <v>56</v>
      </c>
      <c r="E13" s="30" t="str">
        <f>IFERROR(VLOOKUP(Tabla2[[#This Row],[CODIGO]],Tabla1[],3,0),"")</f>
        <v>IMPLEMENTOS DE SEGURIDAD</v>
      </c>
      <c r="F13" s="27" t="str">
        <f>IFERROR(VLOOKUP(Tabla2[[#This Row],[CODIGO]],Tabla1[],5,0),"")</f>
        <v>ALMACEN TICAPAMPA</v>
      </c>
      <c r="G13" s="25" t="str">
        <f>IFERROR(VLOOKUP(Tabla2[[#This Row],[CODIGO]],Tabla1[],6,0),"")</f>
        <v>UNI</v>
      </c>
      <c r="H13" s="25">
        <f>IFERROR(VLOOKUP(Tabla2[[#This Row],[CODIGO]],Tabla1[],10,0),"")</f>
        <v>0</v>
      </c>
      <c r="I13" s="7">
        <v>2</v>
      </c>
      <c r="J13" s="29" t="s">
        <v>320</v>
      </c>
      <c r="K13" s="25" t="str">
        <f>IFERROR(VLOOKUP(Tabla2[[#This Row],[CODIGO]],Tabla1[],11,0),"")</f>
        <v>COMPRA</v>
      </c>
      <c r="L13" s="67" t="s">
        <v>308</v>
      </c>
      <c r="M13" s="67" t="s">
        <v>472</v>
      </c>
      <c r="N13" s="70">
        <v>75</v>
      </c>
      <c r="O13" s="70">
        <f>Tabla2[[#This Row],[CANTIDAD]]*Tabla2[[#This Row],[PREC. UNITARIO]]</f>
        <v>150</v>
      </c>
      <c r="P13" t="s">
        <v>547</v>
      </c>
      <c r="R13" t="str">
        <f>Tabla2[[#This Row],[QUIEN RECIBE]]&amp;"-"&amp;TEXT(Tabla2[[#This Row],[FECHA]],"dd/mm/yyyy")</f>
        <v>ACUACHI LANCHIPA ERNESTO ALONSO-10/09/2025</v>
      </c>
    </row>
    <row r="14" spans="1:18" ht="20.45" hidden="1" customHeight="1" x14ac:dyDescent="0.25">
      <c r="B14" s="5">
        <v>45910</v>
      </c>
      <c r="C14" s="2" t="str">
        <f>IFERROR(_xlfn.XLOOKUP(Tabla2[[#This Row],[PRODUCTO]],Tabla1[PRODUCTO],Tabla1[CODIGO]),"")</f>
        <v>IS-7</v>
      </c>
      <c r="D14" s="30" t="s">
        <v>57</v>
      </c>
      <c r="E14" s="30" t="str">
        <f>IFERROR(VLOOKUP(Tabla2[[#This Row],[CODIGO]],Tabla1[],3,0),"")</f>
        <v>IMPLEMENTOS DE SEGURIDAD</v>
      </c>
      <c r="F14" s="27" t="str">
        <f>IFERROR(VLOOKUP(Tabla2[[#This Row],[CODIGO]],Tabla1[],5,0),"")</f>
        <v>ALMACEN TICAPAMPA</v>
      </c>
      <c r="G14" s="25" t="str">
        <f>IFERROR(VLOOKUP(Tabla2[[#This Row],[CODIGO]],Tabla1[],6,0),"")</f>
        <v>UNI</v>
      </c>
      <c r="H14" s="25">
        <f>IFERROR(VLOOKUP(Tabla2[[#This Row],[CODIGO]],Tabla1[],10,0),"")</f>
        <v>0</v>
      </c>
      <c r="I14" s="7">
        <v>1</v>
      </c>
      <c r="J14" s="29" t="s">
        <v>320</v>
      </c>
      <c r="K14" s="25" t="str">
        <f>IFERROR(VLOOKUP(Tabla2[[#This Row],[CODIGO]],Tabla1[],11,0),"")</f>
        <v>COMPRA</v>
      </c>
      <c r="L14" s="67" t="s">
        <v>308</v>
      </c>
      <c r="M14" s="67" t="s">
        <v>472</v>
      </c>
      <c r="N14" s="70">
        <v>75</v>
      </c>
      <c r="O14" s="70">
        <f>Tabla2[[#This Row],[CANTIDAD]]*Tabla2[[#This Row],[PREC. UNITARIO]]</f>
        <v>75</v>
      </c>
      <c r="P14" t="s">
        <v>547</v>
      </c>
      <c r="R14" t="str">
        <f>Tabla2[[#This Row],[QUIEN RECIBE]]&amp;"-"&amp;TEXT(Tabla2[[#This Row],[FECHA]],"dd/mm/yyyy")</f>
        <v>ACUACHI LANCHIPA ERNESTO ALONSO-10/09/2025</v>
      </c>
    </row>
    <row r="15" spans="1:18" ht="20.45" hidden="1" customHeight="1" x14ac:dyDescent="0.25">
      <c r="B15" s="5">
        <v>45910</v>
      </c>
      <c r="C15" s="2" t="str">
        <f>IFERROR(_xlfn.XLOOKUP(Tabla2[[#This Row],[PRODUCTO]],Tabla1[PRODUCTO],Tabla1[CODIGO]),"")</f>
        <v>IS-8</v>
      </c>
      <c r="D15" s="30" t="s">
        <v>58</v>
      </c>
      <c r="E15" s="30" t="str">
        <f>IFERROR(VLOOKUP(Tabla2[[#This Row],[CODIGO]],Tabla1[],3,0),"")</f>
        <v>IMPLEMENTOS DE SEGURIDAD</v>
      </c>
      <c r="F15" s="27" t="str">
        <f>IFERROR(VLOOKUP(Tabla2[[#This Row],[CODIGO]],Tabla1[],5,0),"")</f>
        <v>ALMACEN TICAPAMPA</v>
      </c>
      <c r="G15" s="25" t="str">
        <f>IFERROR(VLOOKUP(Tabla2[[#This Row],[CODIGO]],Tabla1[],6,0),"")</f>
        <v>UNI</v>
      </c>
      <c r="H15" s="25">
        <f>IFERROR(VLOOKUP(Tabla2[[#This Row],[CODIGO]],Tabla1[],10,0),"")</f>
        <v>0</v>
      </c>
      <c r="I15" s="7">
        <v>3</v>
      </c>
      <c r="J15" s="29" t="s">
        <v>320</v>
      </c>
      <c r="K15" s="25" t="str">
        <f>IFERROR(VLOOKUP(Tabla2[[#This Row],[CODIGO]],Tabla1[],11,0),"")</f>
        <v>COMPRA</v>
      </c>
      <c r="L15" s="67" t="s">
        <v>308</v>
      </c>
      <c r="M15" s="67" t="s">
        <v>472</v>
      </c>
      <c r="N15" s="70">
        <v>75</v>
      </c>
      <c r="O15" s="70">
        <f>Tabla2[[#This Row],[CANTIDAD]]*Tabla2[[#This Row],[PREC. UNITARIO]]</f>
        <v>225</v>
      </c>
      <c r="P15" t="s">
        <v>547</v>
      </c>
      <c r="R15" t="str">
        <f>Tabla2[[#This Row],[QUIEN RECIBE]]&amp;"-"&amp;TEXT(Tabla2[[#This Row],[FECHA]],"dd/mm/yyyy")</f>
        <v>ACUACHI LANCHIPA ERNESTO ALONSO-10/09/2025</v>
      </c>
    </row>
    <row r="16" spans="1:18" ht="20.45" hidden="1" customHeight="1" x14ac:dyDescent="0.25">
      <c r="B16" s="5">
        <v>45910</v>
      </c>
      <c r="C16" s="2" t="str">
        <f>IFERROR(_xlfn.XLOOKUP(Tabla2[[#This Row],[PRODUCTO]],Tabla1[PRODUCTO],Tabla1[CODIGO]),"")</f>
        <v>IS-9</v>
      </c>
      <c r="D16" s="30" t="s">
        <v>59</v>
      </c>
      <c r="E16" s="30" t="str">
        <f>IFERROR(VLOOKUP(Tabla2[[#This Row],[CODIGO]],Tabla1[],3,0),"")</f>
        <v>IMPLEMENTOS DE SEGURIDAD</v>
      </c>
      <c r="F16" s="27" t="str">
        <f>IFERROR(VLOOKUP(Tabla2[[#This Row],[CODIGO]],Tabla1[],5,0),"")</f>
        <v>ALMACEN TICAPAMPA</v>
      </c>
      <c r="G16" s="25" t="str">
        <f>IFERROR(VLOOKUP(Tabla2[[#This Row],[CODIGO]],Tabla1[],6,0),"")</f>
        <v>UNI</v>
      </c>
      <c r="H16" s="25">
        <f>IFERROR(VLOOKUP(Tabla2[[#This Row],[CODIGO]],Tabla1[],10,0),"")</f>
        <v>0</v>
      </c>
      <c r="I16" s="7">
        <v>2</v>
      </c>
      <c r="J16" s="29" t="s">
        <v>320</v>
      </c>
      <c r="K16" s="25" t="str">
        <f>IFERROR(VLOOKUP(Tabla2[[#This Row],[CODIGO]],Tabla1[],11,0),"")</f>
        <v>COMPRA</v>
      </c>
      <c r="L16" s="67" t="s">
        <v>308</v>
      </c>
      <c r="M16" s="67" t="s">
        <v>472</v>
      </c>
      <c r="N16" s="70">
        <v>38</v>
      </c>
      <c r="O16" s="70">
        <f>Tabla2[[#This Row],[CANTIDAD]]*Tabla2[[#This Row],[PREC. UNITARIO]]</f>
        <v>76</v>
      </c>
      <c r="R16" t="str">
        <f>Tabla2[[#This Row],[QUIEN RECIBE]]&amp;"-"&amp;TEXT(Tabla2[[#This Row],[FECHA]],"dd/mm/yyyy")</f>
        <v>ACUACHI LANCHIPA ERNESTO ALONSO-10/09/2025</v>
      </c>
    </row>
    <row r="17" spans="2:18" ht="20.45" hidden="1" customHeight="1" x14ac:dyDescent="0.25">
      <c r="B17" s="5">
        <v>45910</v>
      </c>
      <c r="C17" s="2" t="str">
        <f>IFERROR(_xlfn.XLOOKUP(Tabla2[[#This Row],[PRODUCTO]],Tabla1[PRODUCTO],Tabla1[CODIGO]),"")</f>
        <v>IS-10</v>
      </c>
      <c r="D17" s="30" t="s">
        <v>60</v>
      </c>
      <c r="E17" s="30" t="str">
        <f>IFERROR(VLOOKUP(Tabla2[[#This Row],[CODIGO]],Tabla1[],3,0),"")</f>
        <v>IMPLEMENTOS DE SEGURIDAD</v>
      </c>
      <c r="F17" s="27" t="str">
        <f>IFERROR(VLOOKUP(Tabla2[[#This Row],[CODIGO]],Tabla1[],5,0),"")</f>
        <v>ALMACEN TICAPAMPA</v>
      </c>
      <c r="G17" s="25" t="str">
        <f>IFERROR(VLOOKUP(Tabla2[[#This Row],[CODIGO]],Tabla1[],6,0),"")</f>
        <v>UNI</v>
      </c>
      <c r="H17" s="25">
        <f>IFERROR(VLOOKUP(Tabla2[[#This Row],[CODIGO]],Tabla1[],10,0),"")</f>
        <v>0</v>
      </c>
      <c r="I17" s="7">
        <v>4</v>
      </c>
      <c r="J17" s="29" t="s">
        <v>320</v>
      </c>
      <c r="K17" s="25" t="str">
        <f>IFERROR(VLOOKUP(Tabla2[[#This Row],[CODIGO]],Tabla1[],11,0),"")</f>
        <v>COMPRA</v>
      </c>
      <c r="L17" s="67" t="s">
        <v>308</v>
      </c>
      <c r="M17" s="67" t="s">
        <v>472</v>
      </c>
      <c r="N17" s="70">
        <v>38</v>
      </c>
      <c r="O17" s="70">
        <f>Tabla2[[#This Row],[CANTIDAD]]*Tabla2[[#This Row],[PREC. UNITARIO]]</f>
        <v>152</v>
      </c>
      <c r="R17" t="str">
        <f>Tabla2[[#This Row],[QUIEN RECIBE]]&amp;"-"&amp;TEXT(Tabla2[[#This Row],[FECHA]],"dd/mm/yyyy")</f>
        <v>ACUACHI LANCHIPA ERNESTO ALONSO-10/09/2025</v>
      </c>
    </row>
    <row r="18" spans="2:18" ht="20.45" hidden="1" customHeight="1" x14ac:dyDescent="0.25">
      <c r="B18" s="5">
        <v>45910</v>
      </c>
      <c r="C18" s="2" t="str">
        <f>IFERROR(_xlfn.XLOOKUP(Tabla2[[#This Row],[PRODUCTO]],Tabla1[PRODUCTO],Tabla1[CODIGO]),"")</f>
        <v>IS-11</v>
      </c>
      <c r="D18" s="30" t="s">
        <v>61</v>
      </c>
      <c r="E18" s="30" t="str">
        <f>IFERROR(VLOOKUP(Tabla2[[#This Row],[CODIGO]],Tabla1[],3,0),"")</f>
        <v>IMPLEMENTOS DE SEGURIDAD</v>
      </c>
      <c r="F18" s="27" t="str">
        <f>IFERROR(VLOOKUP(Tabla2[[#This Row],[CODIGO]],Tabla1[],5,0),"")</f>
        <v>ALMACEN TICAPAMPA</v>
      </c>
      <c r="G18" s="25" t="str">
        <f>IFERROR(VLOOKUP(Tabla2[[#This Row],[CODIGO]],Tabla1[],6,0),"")</f>
        <v>UNI</v>
      </c>
      <c r="H18" s="25">
        <f>IFERROR(VLOOKUP(Tabla2[[#This Row],[CODIGO]],Tabla1[],10,0),"")</f>
        <v>0</v>
      </c>
      <c r="I18" s="7">
        <v>5</v>
      </c>
      <c r="J18" s="29" t="s">
        <v>320</v>
      </c>
      <c r="K18" s="25" t="str">
        <f>IFERROR(VLOOKUP(Tabla2[[#This Row],[CODIGO]],Tabla1[],11,0),"")</f>
        <v>COMPRA</v>
      </c>
      <c r="L18" s="67" t="s">
        <v>308</v>
      </c>
      <c r="M18" s="67" t="s">
        <v>472</v>
      </c>
      <c r="N18" s="70">
        <v>38</v>
      </c>
      <c r="O18" s="70">
        <f>Tabla2[[#This Row],[CANTIDAD]]*Tabla2[[#This Row],[PREC. UNITARIO]]</f>
        <v>190</v>
      </c>
      <c r="R18" t="str">
        <f>Tabla2[[#This Row],[QUIEN RECIBE]]&amp;"-"&amp;TEXT(Tabla2[[#This Row],[FECHA]],"dd/mm/yyyy")</f>
        <v>ACUACHI LANCHIPA ERNESTO ALONSO-10/09/2025</v>
      </c>
    </row>
    <row r="19" spans="2:18" ht="20.45" hidden="1" customHeight="1" x14ac:dyDescent="0.25">
      <c r="B19" s="5">
        <v>45910</v>
      </c>
      <c r="C19" s="2" t="str">
        <f>IFERROR(_xlfn.XLOOKUP(Tabla2[[#This Row],[PRODUCTO]],Tabla1[PRODUCTO],Tabla1[CODIGO]),"")</f>
        <v>IS-12</v>
      </c>
      <c r="D19" s="30" t="s">
        <v>62</v>
      </c>
      <c r="E19" s="30" t="str">
        <f>IFERROR(VLOOKUP(Tabla2[[#This Row],[CODIGO]],Tabla1[],3,0),"")</f>
        <v>IMPLEMENTOS DE SEGURIDAD</v>
      </c>
      <c r="F19" s="27" t="str">
        <f>IFERROR(VLOOKUP(Tabla2[[#This Row],[CODIGO]],Tabla1[],5,0),"")</f>
        <v>ALMACEN TICAPAMPA</v>
      </c>
      <c r="G19" s="25" t="str">
        <f>IFERROR(VLOOKUP(Tabla2[[#This Row],[CODIGO]],Tabla1[],6,0),"")</f>
        <v>UNI</v>
      </c>
      <c r="H19" s="25">
        <f>IFERROR(VLOOKUP(Tabla2[[#This Row],[CODIGO]],Tabla1[],10,0),"")</f>
        <v>0</v>
      </c>
      <c r="I19" s="7">
        <v>1</v>
      </c>
      <c r="J19" s="29" t="s">
        <v>320</v>
      </c>
      <c r="K19" s="25" t="str">
        <f>IFERROR(VLOOKUP(Tabla2[[#This Row],[CODIGO]],Tabla1[],11,0),"")</f>
        <v>COMPRA</v>
      </c>
      <c r="L19" s="67" t="s">
        <v>308</v>
      </c>
      <c r="M19" s="67" t="s">
        <v>472</v>
      </c>
      <c r="N19" s="70">
        <v>38</v>
      </c>
      <c r="O19" s="70">
        <f>Tabla2[[#This Row],[CANTIDAD]]*Tabla2[[#This Row],[PREC. UNITARIO]]</f>
        <v>38</v>
      </c>
      <c r="R19" t="str">
        <f>Tabla2[[#This Row],[QUIEN RECIBE]]&amp;"-"&amp;TEXT(Tabla2[[#This Row],[FECHA]],"dd/mm/yyyy")</f>
        <v>ACUACHI LANCHIPA ERNESTO ALONSO-10/09/2025</v>
      </c>
    </row>
    <row r="20" spans="2:18" ht="20.45" hidden="1" customHeight="1" x14ac:dyDescent="0.25">
      <c r="B20" s="5">
        <v>45910</v>
      </c>
      <c r="C20" s="2" t="str">
        <f>IFERROR(_xlfn.XLOOKUP(Tabla2[[#This Row],[PRODUCTO]],Tabla1[PRODUCTO],Tabla1[CODIGO]),"")</f>
        <v>IS-13</v>
      </c>
      <c r="D20" s="30" t="s">
        <v>63</v>
      </c>
      <c r="E20" s="30" t="str">
        <f>IFERROR(VLOOKUP(Tabla2[[#This Row],[CODIGO]],Tabla1[],3,0),"")</f>
        <v>IMPLEMENTOS DE SEGURIDAD</v>
      </c>
      <c r="F20" s="27" t="str">
        <f>IFERROR(VLOOKUP(Tabla2[[#This Row],[CODIGO]],Tabla1[],5,0),"")</f>
        <v>ALMACEN TICAPAMPA</v>
      </c>
      <c r="G20" s="25" t="str">
        <f>IFERROR(VLOOKUP(Tabla2[[#This Row],[CODIGO]],Tabla1[],6,0),"")</f>
        <v>UNI</v>
      </c>
      <c r="H20" s="25">
        <f>IFERROR(VLOOKUP(Tabla2[[#This Row],[CODIGO]],Tabla1[],10,0),"")</f>
        <v>2</v>
      </c>
      <c r="I20" s="7">
        <v>1</v>
      </c>
      <c r="J20" s="29" t="s">
        <v>320</v>
      </c>
      <c r="K20" s="25" t="str">
        <f>IFERROR(VLOOKUP(Tabla2[[#This Row],[CODIGO]],Tabla1[],11,0),"")</f>
        <v>COMPRA</v>
      </c>
      <c r="L20" s="67" t="s">
        <v>308</v>
      </c>
      <c r="M20" s="67" t="s">
        <v>472</v>
      </c>
      <c r="N20" s="70">
        <v>45</v>
      </c>
      <c r="O20" s="70">
        <f>Tabla2[[#This Row],[CANTIDAD]]*Tabla2[[#This Row],[PREC. UNITARIO]]</f>
        <v>45</v>
      </c>
      <c r="P20" t="s">
        <v>547</v>
      </c>
      <c r="R20" t="str">
        <f>Tabla2[[#This Row],[QUIEN RECIBE]]&amp;"-"&amp;TEXT(Tabla2[[#This Row],[FECHA]],"dd/mm/yyyy")</f>
        <v>ACUACHI LANCHIPA ERNESTO ALONSO-10/09/2025</v>
      </c>
    </row>
    <row r="21" spans="2:18" ht="20.45" hidden="1" customHeight="1" x14ac:dyDescent="0.25">
      <c r="B21" s="5">
        <v>45910</v>
      </c>
      <c r="C21" s="2" t="str">
        <f>IFERROR(_xlfn.XLOOKUP(Tabla2[[#This Row],[PRODUCTO]],Tabla1[PRODUCTO],Tabla1[CODIGO]),"")</f>
        <v>IS-14</v>
      </c>
      <c r="D21" s="30" t="s">
        <v>271</v>
      </c>
      <c r="E21" s="30" t="str">
        <f>IFERROR(VLOOKUP(Tabla2[[#This Row],[CODIGO]],Tabla1[],3,0),"")</f>
        <v>IMPLEMENTOS DE SEGURIDAD</v>
      </c>
      <c r="F21" s="27" t="str">
        <f>IFERROR(VLOOKUP(Tabla2[[#This Row],[CODIGO]],Tabla1[],5,0),"")</f>
        <v>ALMACEN TICAPAMPA</v>
      </c>
      <c r="G21" s="25" t="str">
        <f>IFERROR(VLOOKUP(Tabla2[[#This Row],[CODIGO]],Tabla1[],6,0),"")</f>
        <v>UNI</v>
      </c>
      <c r="H21" s="25">
        <f>IFERROR(VLOOKUP(Tabla2[[#This Row],[CODIGO]],Tabla1[],10,0),"")</f>
        <v>1</v>
      </c>
      <c r="I21" s="7">
        <v>30</v>
      </c>
      <c r="J21" s="29" t="s">
        <v>320</v>
      </c>
      <c r="K21" s="25" t="str">
        <f>IFERROR(VLOOKUP(Tabla2[[#This Row],[CODIGO]],Tabla1[],11,0),"")</f>
        <v>COMPRA</v>
      </c>
      <c r="L21" s="67" t="s">
        <v>308</v>
      </c>
      <c r="M21" s="67" t="s">
        <v>472</v>
      </c>
      <c r="N21" s="70">
        <v>4</v>
      </c>
      <c r="O21" s="70">
        <f>Tabla2[[#This Row],[CANTIDAD]]*Tabla2[[#This Row],[PREC. UNITARIO]]</f>
        <v>120</v>
      </c>
      <c r="P21" t="s">
        <v>547</v>
      </c>
      <c r="R21" t="str">
        <f>Tabla2[[#This Row],[QUIEN RECIBE]]&amp;"-"&amp;TEXT(Tabla2[[#This Row],[FECHA]],"dd/mm/yyyy")</f>
        <v>ACUACHI LANCHIPA ERNESTO ALONSO-10/09/2025</v>
      </c>
    </row>
    <row r="22" spans="2:18" ht="20.45" hidden="1" customHeight="1" x14ac:dyDescent="0.25">
      <c r="B22" s="5">
        <v>45910</v>
      </c>
      <c r="C22" s="2" t="str">
        <f>IFERROR(_xlfn.XLOOKUP(Tabla2[[#This Row],[PRODUCTO]],Tabla1[PRODUCTO],Tabla1[CODIGO]),"")</f>
        <v>IS-15</v>
      </c>
      <c r="D22" s="30" t="s">
        <v>64</v>
      </c>
      <c r="E22" s="30" t="str">
        <f>IFERROR(VLOOKUP(Tabla2[[#This Row],[CODIGO]],Tabla1[],3,0),"")</f>
        <v>IMPLEMENTOS DE SEGURIDAD</v>
      </c>
      <c r="F22" s="27" t="str">
        <f>IFERROR(VLOOKUP(Tabla2[[#This Row],[CODIGO]],Tabla1[],5,0),"")</f>
        <v>ALMACEN TICAPAMPA</v>
      </c>
      <c r="G22" s="25" t="str">
        <f>IFERROR(VLOOKUP(Tabla2[[#This Row],[CODIGO]],Tabla1[],6,0),"")</f>
        <v>PAR</v>
      </c>
      <c r="H22" s="25">
        <f>IFERROR(VLOOKUP(Tabla2[[#This Row],[CODIGO]],Tabla1[],10,0),"")</f>
        <v>0</v>
      </c>
      <c r="I22" s="7">
        <v>10</v>
      </c>
      <c r="J22" s="29" t="s">
        <v>320</v>
      </c>
      <c r="K22" s="25" t="str">
        <f>IFERROR(VLOOKUP(Tabla2[[#This Row],[CODIGO]],Tabla1[],11,0),"")</f>
        <v>COMPRA</v>
      </c>
      <c r="L22" s="67" t="s">
        <v>308</v>
      </c>
      <c r="M22" s="67" t="s">
        <v>472</v>
      </c>
      <c r="N22" s="70">
        <v>63</v>
      </c>
      <c r="O22" s="70">
        <f>Tabla2[[#This Row],[CANTIDAD]]*Tabla2[[#This Row],[PREC. UNITARIO]]</f>
        <v>630</v>
      </c>
      <c r="R22" t="str">
        <f>Tabla2[[#This Row],[QUIEN RECIBE]]&amp;"-"&amp;TEXT(Tabla2[[#This Row],[FECHA]],"dd/mm/yyyy")</f>
        <v>ACUACHI LANCHIPA ERNESTO ALONSO-10/09/2025</v>
      </c>
    </row>
    <row r="23" spans="2:18" ht="20.45" hidden="1" customHeight="1" x14ac:dyDescent="0.25">
      <c r="B23" s="5">
        <v>45910</v>
      </c>
      <c r="C23" s="2" t="str">
        <f>IFERROR(_xlfn.XLOOKUP(Tabla2[[#This Row],[PRODUCTO]],Tabla1[PRODUCTO],Tabla1[CODIGO]),"")</f>
        <v>IS-16</v>
      </c>
      <c r="D23" s="30" t="s">
        <v>65</v>
      </c>
      <c r="E23" s="30" t="str">
        <f>IFERROR(VLOOKUP(Tabla2[[#This Row],[CODIGO]],Tabla1[],3,0),"")</f>
        <v>IMPLEMENTOS DE SEGURIDAD</v>
      </c>
      <c r="F23" s="27" t="str">
        <f>IFERROR(VLOOKUP(Tabla2[[#This Row],[CODIGO]],Tabla1[],5,0),"")</f>
        <v>ALMACEN TICAPAMPA</v>
      </c>
      <c r="G23" s="25" t="str">
        <f>IFERROR(VLOOKUP(Tabla2[[#This Row],[CODIGO]],Tabla1[],6,0),"")</f>
        <v>PAR</v>
      </c>
      <c r="H23" s="25">
        <f>IFERROR(VLOOKUP(Tabla2[[#This Row],[CODIGO]],Tabla1[],10,0),"")</f>
        <v>1</v>
      </c>
      <c r="I23" s="7">
        <v>3</v>
      </c>
      <c r="J23" s="29" t="s">
        <v>320</v>
      </c>
      <c r="K23" s="25" t="str">
        <f>IFERROR(VLOOKUP(Tabla2[[#This Row],[CODIGO]],Tabla1[],11,0),"")</f>
        <v>COMPRA</v>
      </c>
      <c r="L23" s="67" t="s">
        <v>308</v>
      </c>
      <c r="M23" s="67" t="s">
        <v>472</v>
      </c>
      <c r="N23" s="70">
        <v>63</v>
      </c>
      <c r="O23" s="70">
        <f>Tabla2[[#This Row],[CANTIDAD]]*Tabla2[[#This Row],[PREC. UNITARIO]]</f>
        <v>189</v>
      </c>
      <c r="R23" t="str">
        <f>Tabla2[[#This Row],[QUIEN RECIBE]]&amp;"-"&amp;TEXT(Tabla2[[#This Row],[FECHA]],"dd/mm/yyyy")</f>
        <v>ACUACHI LANCHIPA ERNESTO ALONSO-10/09/2025</v>
      </c>
    </row>
    <row r="24" spans="2:18" ht="20.45" hidden="1" customHeight="1" x14ac:dyDescent="0.25">
      <c r="B24" s="5">
        <v>45910</v>
      </c>
      <c r="C24" s="2" t="str">
        <f>IFERROR(_xlfn.XLOOKUP(Tabla2[[#This Row],[PRODUCTO]],Tabla1[PRODUCTO],Tabla1[CODIGO]),"")</f>
        <v>IS-17</v>
      </c>
      <c r="D24" s="30" t="s">
        <v>66</v>
      </c>
      <c r="E24" s="30" t="str">
        <f>IFERROR(VLOOKUP(Tabla2[[#This Row],[CODIGO]],Tabla1[],3,0),"")</f>
        <v>IMPLEMENTOS DE SEGURIDAD</v>
      </c>
      <c r="F24" s="27" t="str">
        <f>IFERROR(VLOOKUP(Tabla2[[#This Row],[CODIGO]],Tabla1[],5,0),"")</f>
        <v>ALMACEN TICAPAMPA</v>
      </c>
      <c r="G24" s="25" t="str">
        <f>IFERROR(VLOOKUP(Tabla2[[#This Row],[CODIGO]],Tabla1[],6,0),"")</f>
        <v>PAR</v>
      </c>
      <c r="H24" s="25">
        <f>IFERROR(VLOOKUP(Tabla2[[#This Row],[CODIGO]],Tabla1[],10,0),"")</f>
        <v>0</v>
      </c>
      <c r="I24" s="7">
        <v>7</v>
      </c>
      <c r="J24" s="29" t="s">
        <v>320</v>
      </c>
      <c r="K24" s="25" t="str">
        <f>IFERROR(VLOOKUP(Tabla2[[#This Row],[CODIGO]],Tabla1[],11,0),"")</f>
        <v>COMPRA</v>
      </c>
      <c r="L24" s="67" t="s">
        <v>308</v>
      </c>
      <c r="M24" s="67" t="s">
        <v>472</v>
      </c>
      <c r="N24" s="70">
        <v>63</v>
      </c>
      <c r="O24" s="70">
        <f>Tabla2[[#This Row],[CANTIDAD]]*Tabla2[[#This Row],[PREC. UNITARIO]]</f>
        <v>441</v>
      </c>
      <c r="R24" t="str">
        <f>Tabla2[[#This Row],[QUIEN RECIBE]]&amp;"-"&amp;TEXT(Tabla2[[#This Row],[FECHA]],"dd/mm/yyyy")</f>
        <v>ACUACHI LANCHIPA ERNESTO ALONSO-10/09/2025</v>
      </c>
    </row>
    <row r="25" spans="2:18" ht="20.45" hidden="1" customHeight="1" x14ac:dyDescent="0.25">
      <c r="B25" s="5">
        <v>45910</v>
      </c>
      <c r="C25" s="2" t="str">
        <f>IFERROR(_xlfn.XLOOKUP(Tabla2[[#This Row],[PRODUCTO]],Tabla1[PRODUCTO],Tabla1[CODIGO]),"")</f>
        <v>IS-18</v>
      </c>
      <c r="D25" s="30" t="s">
        <v>67</v>
      </c>
      <c r="E25" s="30" t="str">
        <f>IFERROR(VLOOKUP(Tabla2[[#This Row],[CODIGO]],Tabla1[],3,0),"")</f>
        <v>IMPLEMENTOS DE SEGURIDAD</v>
      </c>
      <c r="F25" s="27" t="str">
        <f>IFERROR(VLOOKUP(Tabla2[[#This Row],[CODIGO]],Tabla1[],5,0),"")</f>
        <v>ALMACEN TICAPAMPA</v>
      </c>
      <c r="G25" s="25" t="str">
        <f>IFERROR(VLOOKUP(Tabla2[[#This Row],[CODIGO]],Tabla1[],6,0),"")</f>
        <v>UNI</v>
      </c>
      <c r="H25" s="25">
        <f>IFERROR(VLOOKUP(Tabla2[[#This Row],[CODIGO]],Tabla1[],10,0),"")</f>
        <v>0</v>
      </c>
      <c r="I25" s="7">
        <v>6</v>
      </c>
      <c r="J25" s="29" t="s">
        <v>320</v>
      </c>
      <c r="K25" s="25" t="str">
        <f>IFERROR(VLOOKUP(Tabla2[[#This Row],[CODIGO]],Tabla1[],11,0),"")</f>
        <v>COMPRA</v>
      </c>
      <c r="L25" s="67" t="s">
        <v>308</v>
      </c>
      <c r="M25" s="67" t="s">
        <v>472</v>
      </c>
      <c r="N25" s="70">
        <v>45</v>
      </c>
      <c r="O25" s="70">
        <f>Tabla2[[#This Row],[CANTIDAD]]*Tabla2[[#This Row],[PREC. UNITARIO]]</f>
        <v>270</v>
      </c>
      <c r="P25" t="s">
        <v>547</v>
      </c>
      <c r="R25" t="str">
        <f>Tabla2[[#This Row],[QUIEN RECIBE]]&amp;"-"&amp;TEXT(Tabla2[[#This Row],[FECHA]],"dd/mm/yyyy")</f>
        <v>ACUACHI LANCHIPA ERNESTO ALONSO-10/09/2025</v>
      </c>
    </row>
    <row r="26" spans="2:18" ht="20.45" hidden="1" customHeight="1" x14ac:dyDescent="0.25">
      <c r="B26" s="5">
        <v>45910</v>
      </c>
      <c r="C26" s="2" t="str">
        <f>IFERROR(_xlfn.XLOOKUP(Tabla2[[#This Row],[PRODUCTO]],Tabla1[PRODUCTO],Tabla1[CODIGO]),"")</f>
        <v>IS-19</v>
      </c>
      <c r="D26" s="30" t="s">
        <v>68</v>
      </c>
      <c r="E26" s="30" t="str">
        <f>IFERROR(VLOOKUP(Tabla2[[#This Row],[CODIGO]],Tabla1[],3,0),"")</f>
        <v>IMPLEMENTOS DE SEGURIDAD</v>
      </c>
      <c r="F26" s="27" t="str">
        <f>IFERROR(VLOOKUP(Tabla2[[#This Row],[CODIGO]],Tabla1[],5,0),"")</f>
        <v>ALMACEN TICAPAMPA</v>
      </c>
      <c r="G26" s="25" t="str">
        <f>IFERROR(VLOOKUP(Tabla2[[#This Row],[CODIGO]],Tabla1[],6,0),"")</f>
        <v>UNI</v>
      </c>
      <c r="H26" s="25">
        <f>IFERROR(VLOOKUP(Tabla2[[#This Row],[CODIGO]],Tabla1[],10,0),"")</f>
        <v>4</v>
      </c>
      <c r="I26" s="7">
        <v>4</v>
      </c>
      <c r="J26" s="29" t="s">
        <v>320</v>
      </c>
      <c r="K26" s="25" t="str">
        <f>IFERROR(VLOOKUP(Tabla2[[#This Row],[CODIGO]],Tabla1[],11,0),"")</f>
        <v>COMPRA</v>
      </c>
      <c r="L26" s="67" t="s">
        <v>308</v>
      </c>
      <c r="M26" s="67" t="s">
        <v>472</v>
      </c>
      <c r="N26" s="70">
        <v>6.5</v>
      </c>
      <c r="O26" s="70">
        <f>Tabla2[[#This Row],[CANTIDAD]]*Tabla2[[#This Row],[PREC. UNITARIO]]</f>
        <v>26</v>
      </c>
      <c r="P26" t="s">
        <v>547</v>
      </c>
      <c r="R26" t="str">
        <f>Tabla2[[#This Row],[QUIEN RECIBE]]&amp;"-"&amp;TEXT(Tabla2[[#This Row],[FECHA]],"dd/mm/yyyy")</f>
        <v>ACUACHI LANCHIPA ERNESTO ALONSO-10/09/2025</v>
      </c>
    </row>
    <row r="27" spans="2:18" ht="20.45" hidden="1" customHeight="1" x14ac:dyDescent="0.25">
      <c r="B27" s="5">
        <v>45910</v>
      </c>
      <c r="C27" s="2" t="str">
        <f>IFERROR(_xlfn.XLOOKUP(Tabla2[[#This Row],[PRODUCTO]],Tabla1[PRODUCTO],Tabla1[CODIGO]),"")</f>
        <v>IS-20</v>
      </c>
      <c r="D27" s="30" t="s">
        <v>69</v>
      </c>
      <c r="E27" s="30" t="str">
        <f>IFERROR(VLOOKUP(Tabla2[[#This Row],[CODIGO]],Tabla1[],3,0),"")</f>
        <v>IMPLEMENTOS DE SEGURIDAD</v>
      </c>
      <c r="F27" s="27" t="str">
        <f>IFERROR(VLOOKUP(Tabla2[[#This Row],[CODIGO]],Tabla1[],5,0),"")</f>
        <v>ALMACEN TICAPAMPA</v>
      </c>
      <c r="G27" s="25" t="str">
        <f>IFERROR(VLOOKUP(Tabla2[[#This Row],[CODIGO]],Tabla1[],6,0),"")</f>
        <v>UNI</v>
      </c>
      <c r="H27" s="25">
        <f>IFERROR(VLOOKUP(Tabla2[[#This Row],[CODIGO]],Tabla1[],10,0),"")</f>
        <v>5</v>
      </c>
      <c r="I27" s="7">
        <v>10</v>
      </c>
      <c r="J27" s="29" t="s">
        <v>320</v>
      </c>
      <c r="K27" s="25" t="str">
        <f>IFERROR(VLOOKUP(Tabla2[[#This Row],[CODIGO]],Tabla1[],11,0),"")</f>
        <v>COMPRA</v>
      </c>
      <c r="L27" s="67" t="s">
        <v>308</v>
      </c>
      <c r="M27" s="67" t="s">
        <v>472</v>
      </c>
      <c r="N27" s="70">
        <v>6.5</v>
      </c>
      <c r="O27" s="70">
        <f>Tabla2[[#This Row],[CANTIDAD]]*Tabla2[[#This Row],[PREC. UNITARIO]]</f>
        <v>65</v>
      </c>
      <c r="P27" t="s">
        <v>547</v>
      </c>
      <c r="R27" t="str">
        <f>Tabla2[[#This Row],[QUIEN RECIBE]]&amp;"-"&amp;TEXT(Tabla2[[#This Row],[FECHA]],"dd/mm/yyyy")</f>
        <v>ACUACHI LANCHIPA ERNESTO ALONSO-10/09/2025</v>
      </c>
    </row>
    <row r="28" spans="2:18" ht="20.45" hidden="1" customHeight="1" x14ac:dyDescent="0.25">
      <c r="B28" s="5">
        <v>45910</v>
      </c>
      <c r="C28" s="2" t="str">
        <f>IFERROR(_xlfn.XLOOKUP(Tabla2[[#This Row],[PRODUCTO]],Tabla1[PRODUCTO],Tabla1[CODIGO]),"")</f>
        <v>IS-21</v>
      </c>
      <c r="D28" s="30" t="s">
        <v>70</v>
      </c>
      <c r="E28" s="30" t="str">
        <f>IFERROR(VLOOKUP(Tabla2[[#This Row],[CODIGO]],Tabla1[],3,0),"")</f>
        <v>IMPLEMENTOS DE SEGURIDAD</v>
      </c>
      <c r="F28" s="27" t="str">
        <f>IFERROR(VLOOKUP(Tabla2[[#This Row],[CODIGO]],Tabla1[],5,0),"")</f>
        <v>ALMACEN TICAPAMPA</v>
      </c>
      <c r="G28" s="25" t="str">
        <f>IFERROR(VLOOKUP(Tabla2[[#This Row],[CODIGO]],Tabla1[],6,0),"")</f>
        <v>UNI</v>
      </c>
      <c r="H28" s="25">
        <f>IFERROR(VLOOKUP(Tabla2[[#This Row],[CODIGO]],Tabla1[],10,0),"")</f>
        <v>13</v>
      </c>
      <c r="I28" s="7">
        <v>20</v>
      </c>
      <c r="J28" s="29" t="s">
        <v>320</v>
      </c>
      <c r="K28" s="25" t="str">
        <f>IFERROR(VLOOKUP(Tabla2[[#This Row],[CODIGO]],Tabla1[],11,0),"")</f>
        <v>COMPRA</v>
      </c>
      <c r="L28" s="67" t="s">
        <v>308</v>
      </c>
      <c r="M28" s="67" t="s">
        <v>472</v>
      </c>
      <c r="N28" s="70">
        <v>6.5</v>
      </c>
      <c r="O28" s="70">
        <f>Tabla2[[#This Row],[CANTIDAD]]*Tabla2[[#This Row],[PREC. UNITARIO]]</f>
        <v>130</v>
      </c>
      <c r="P28" t="s">
        <v>547</v>
      </c>
      <c r="R28" t="str">
        <f>Tabla2[[#This Row],[QUIEN RECIBE]]&amp;"-"&amp;TEXT(Tabla2[[#This Row],[FECHA]],"dd/mm/yyyy")</f>
        <v>ACUACHI LANCHIPA ERNESTO ALONSO-10/09/2025</v>
      </c>
    </row>
    <row r="29" spans="2:18" ht="20.45" hidden="1" customHeight="1" x14ac:dyDescent="0.25">
      <c r="B29" s="5">
        <v>45910</v>
      </c>
      <c r="C29" s="2" t="str">
        <f>IFERROR(_xlfn.XLOOKUP(Tabla2[[#This Row],[PRODUCTO]],Tabla1[PRODUCTO],Tabla1[CODIGO]),"")</f>
        <v>IS-34</v>
      </c>
      <c r="D29" s="30" t="s">
        <v>85</v>
      </c>
      <c r="E29" s="30" t="str">
        <f>IFERROR(VLOOKUP(Tabla2[[#This Row],[CODIGO]],Tabla1[],3,0),"")</f>
        <v>IMPLEMENTOS DE SEGURIDAD</v>
      </c>
      <c r="F29" s="27" t="str">
        <f>IFERROR(VLOOKUP(Tabla2[[#This Row],[CODIGO]],Tabla1[],5,0),"")</f>
        <v>ALMACEN TICAPAMPA</v>
      </c>
      <c r="G29" s="25" t="str">
        <f>IFERROR(VLOOKUP(Tabla2[[#This Row],[CODIGO]],Tabla1[],6,0),"")</f>
        <v>UNI</v>
      </c>
      <c r="H29" s="25">
        <f>IFERROR(VLOOKUP(Tabla2[[#This Row],[CODIGO]],Tabla1[],10,0),"")</f>
        <v>34</v>
      </c>
      <c r="I29" s="7">
        <v>34</v>
      </c>
      <c r="J29" s="29" t="s">
        <v>320</v>
      </c>
      <c r="K29" s="25" t="str">
        <f>IFERROR(VLOOKUP(Tabla2[[#This Row],[CODIGO]],Tabla1[],11,0),"")</f>
        <v>COMPRA</v>
      </c>
      <c r="L29" s="67" t="s">
        <v>308</v>
      </c>
      <c r="M29" s="67" t="s">
        <v>472</v>
      </c>
      <c r="N29" s="70">
        <v>0</v>
      </c>
      <c r="O29" s="70">
        <f>Tabla2[[#This Row],[CANTIDAD]]*Tabla2[[#This Row],[PREC. UNITARIO]]</f>
        <v>0</v>
      </c>
      <c r="P29" t="s">
        <v>547</v>
      </c>
      <c r="R29" t="str">
        <f>Tabla2[[#This Row],[QUIEN RECIBE]]&amp;"-"&amp;TEXT(Tabla2[[#This Row],[FECHA]],"dd/mm/yyyy")</f>
        <v>ACUACHI LANCHIPA ERNESTO ALONSO-10/09/2025</v>
      </c>
    </row>
    <row r="30" spans="2:18" ht="20.45" hidden="1" customHeight="1" x14ac:dyDescent="0.25">
      <c r="B30" s="5">
        <v>45910</v>
      </c>
      <c r="C30" s="2" t="str">
        <f>IFERROR(_xlfn.XLOOKUP(Tabla2[[#This Row],[PRODUCTO]],Tabla1[PRODUCTO],Tabla1[CODIGO]),"")</f>
        <v>IS-22</v>
      </c>
      <c r="D30" s="30" t="s">
        <v>73</v>
      </c>
      <c r="E30" s="30" t="str">
        <f>IFERROR(VLOOKUP(Tabla2[[#This Row],[CODIGO]],Tabla1[],3,0),"")</f>
        <v>IMPLEMENTOS DE SEGURIDAD</v>
      </c>
      <c r="F30" s="27" t="str">
        <f>IFERROR(VLOOKUP(Tabla2[[#This Row],[CODIGO]],Tabla1[],5,0),"")</f>
        <v>ALMACEN TICAPAMPA</v>
      </c>
      <c r="G30" s="25" t="str">
        <f>IFERROR(VLOOKUP(Tabla2[[#This Row],[CODIGO]],Tabla1[],6,0),"")</f>
        <v>ROL</v>
      </c>
      <c r="H30" s="25">
        <f>IFERROR(VLOOKUP(Tabla2[[#This Row],[CODIGO]],Tabla1[],10,0),"")</f>
        <v>6</v>
      </c>
      <c r="I30" s="7">
        <v>6</v>
      </c>
      <c r="J30" s="29" t="s">
        <v>320</v>
      </c>
      <c r="K30" s="25" t="str">
        <f>IFERROR(VLOOKUP(Tabla2[[#This Row],[CODIGO]],Tabla1[],11,0),"")</f>
        <v>COMPRA</v>
      </c>
      <c r="L30" s="67" t="s">
        <v>308</v>
      </c>
      <c r="M30" s="67" t="s">
        <v>472</v>
      </c>
      <c r="N30" s="70">
        <v>27</v>
      </c>
      <c r="O30" s="70">
        <f>Tabla2[[#This Row],[CANTIDAD]]*Tabla2[[#This Row],[PREC. UNITARIO]]</f>
        <v>162</v>
      </c>
      <c r="R30" t="str">
        <f>Tabla2[[#This Row],[QUIEN RECIBE]]&amp;"-"&amp;TEXT(Tabla2[[#This Row],[FECHA]],"dd/mm/yyyy")</f>
        <v>ACUACHI LANCHIPA ERNESTO ALONSO-10/09/2025</v>
      </c>
    </row>
    <row r="31" spans="2:18" ht="20.45" hidden="1" customHeight="1" x14ac:dyDescent="0.25">
      <c r="B31" s="5">
        <v>45910</v>
      </c>
      <c r="C31" s="2" t="str">
        <f>IFERROR(_xlfn.XLOOKUP(Tabla2[[#This Row],[PRODUCTO]],Tabla1[PRODUCTO],Tabla1[CODIGO]),"")</f>
        <v>HM-1</v>
      </c>
      <c r="D31" s="30" t="s">
        <v>74</v>
      </c>
      <c r="E31" s="30" t="str">
        <f>IFERROR(VLOOKUP(Tabla2[[#This Row],[CODIGO]],Tabla1[],3,0),"")</f>
        <v>HERRAMIENTAS</v>
      </c>
      <c r="F31" s="27" t="str">
        <f>IFERROR(VLOOKUP(Tabla2[[#This Row],[CODIGO]],Tabla1[],5,0),"")</f>
        <v>ALMACEN TICAPAMPA</v>
      </c>
      <c r="G31" s="25" t="str">
        <f>IFERROR(VLOOKUP(Tabla2[[#This Row],[CODIGO]],Tabla1[],6,0),"")</f>
        <v>UNI</v>
      </c>
      <c r="H31" s="25">
        <f>IFERROR(VLOOKUP(Tabla2[[#This Row],[CODIGO]],Tabla1[],10,0),"")</f>
        <v>15</v>
      </c>
      <c r="I31" s="7">
        <v>15</v>
      </c>
      <c r="J31" s="29" t="s">
        <v>320</v>
      </c>
      <c r="K31" s="25" t="str">
        <f>IFERROR(VLOOKUP(Tabla2[[#This Row],[CODIGO]],Tabla1[],11,0),"")</f>
        <v>COMPRA</v>
      </c>
      <c r="L31" s="67" t="s">
        <v>308</v>
      </c>
      <c r="M31" s="67" t="s">
        <v>472</v>
      </c>
      <c r="N31" s="70">
        <v>25</v>
      </c>
      <c r="O31" s="70">
        <f>Tabla2[[#This Row],[CANTIDAD]]*Tabla2[[#This Row],[PREC. UNITARIO]]</f>
        <v>375</v>
      </c>
      <c r="R31" t="str">
        <f>Tabla2[[#This Row],[QUIEN RECIBE]]&amp;"-"&amp;TEXT(Tabla2[[#This Row],[FECHA]],"dd/mm/yyyy")</f>
        <v>ACUACHI LANCHIPA ERNESTO ALONSO-10/09/2025</v>
      </c>
    </row>
    <row r="32" spans="2:18" ht="20.45" hidden="1" customHeight="1" x14ac:dyDescent="0.25">
      <c r="B32" s="5">
        <v>45910</v>
      </c>
      <c r="C32" s="2" t="str">
        <f>IFERROR(_xlfn.XLOOKUP(Tabla2[[#This Row],[PRODUCTO]],Tabla1[PRODUCTO],Tabla1[CODIGO]),"")</f>
        <v>IS-23</v>
      </c>
      <c r="D32" s="30" t="s">
        <v>75</v>
      </c>
      <c r="E32" s="30" t="str">
        <f>IFERROR(VLOOKUP(Tabla2[[#This Row],[CODIGO]],Tabla1[],3,0),"")</f>
        <v>IMPLEMENTOS DE SEGURIDAD</v>
      </c>
      <c r="F32" s="27" t="str">
        <f>IFERROR(VLOOKUP(Tabla2[[#This Row],[CODIGO]],Tabla1[],5,0),"")</f>
        <v>ALMACEN TICAPAMPA</v>
      </c>
      <c r="G32" s="25" t="str">
        <f>IFERROR(VLOOKUP(Tabla2[[#This Row],[CODIGO]],Tabla1[],6,0),"")</f>
        <v>UNI</v>
      </c>
      <c r="H32" s="25">
        <f>IFERROR(VLOOKUP(Tabla2[[#This Row],[CODIGO]],Tabla1[],10,0),"")</f>
        <v>34</v>
      </c>
      <c r="I32" s="7">
        <v>40</v>
      </c>
      <c r="J32" s="29" t="s">
        <v>320</v>
      </c>
      <c r="K32" s="25" t="str">
        <f>IFERROR(VLOOKUP(Tabla2[[#This Row],[CODIGO]],Tabla1[],11,0),"")</f>
        <v>COMPRA</v>
      </c>
      <c r="L32" s="67" t="s">
        <v>308</v>
      </c>
      <c r="M32" s="67" t="s">
        <v>472</v>
      </c>
      <c r="N32" s="70">
        <v>4</v>
      </c>
      <c r="O32" s="70">
        <f>Tabla2[[#This Row],[CANTIDAD]]*Tabla2[[#This Row],[PREC. UNITARIO]]</f>
        <v>160</v>
      </c>
      <c r="P32" t="s">
        <v>547</v>
      </c>
      <c r="R32" t="str">
        <f>Tabla2[[#This Row],[QUIEN RECIBE]]&amp;"-"&amp;TEXT(Tabla2[[#This Row],[FECHA]],"dd/mm/yyyy")</f>
        <v>ACUACHI LANCHIPA ERNESTO ALONSO-10/09/2025</v>
      </c>
    </row>
    <row r="33" spans="2:18" ht="20.45" hidden="1" customHeight="1" x14ac:dyDescent="0.25">
      <c r="B33" s="5">
        <v>45910</v>
      </c>
      <c r="C33" s="2" t="str">
        <f>IFERROR(_xlfn.XLOOKUP(Tabla2[[#This Row],[PRODUCTO]],Tabla1[PRODUCTO],Tabla1[CODIGO]),"")</f>
        <v>IS-24</v>
      </c>
      <c r="D33" s="30" t="s">
        <v>76</v>
      </c>
      <c r="E33" s="30" t="str">
        <f>IFERROR(VLOOKUP(Tabla2[[#This Row],[CODIGO]],Tabla1[],3,0),"")</f>
        <v>IMPLEMENTOS DE SEGURIDAD</v>
      </c>
      <c r="F33" s="27" t="str">
        <f>IFERROR(VLOOKUP(Tabla2[[#This Row],[CODIGO]],Tabla1[],5,0),"")</f>
        <v>ALMACEN TICAPAMPA</v>
      </c>
      <c r="G33" s="25" t="str">
        <f>IFERROR(VLOOKUP(Tabla2[[#This Row],[CODIGO]],Tabla1[],6,0),"")</f>
        <v>UNI</v>
      </c>
      <c r="H33" s="25">
        <f>IFERROR(VLOOKUP(Tabla2[[#This Row],[CODIGO]],Tabla1[],10,0),"")</f>
        <v>15</v>
      </c>
      <c r="I33" s="7">
        <v>15</v>
      </c>
      <c r="J33" s="29" t="s">
        <v>320</v>
      </c>
      <c r="K33" s="25" t="str">
        <f>IFERROR(VLOOKUP(Tabla2[[#This Row],[CODIGO]],Tabla1[],11,0),"")</f>
        <v>COMPRA</v>
      </c>
      <c r="L33" s="67" t="s">
        <v>308</v>
      </c>
      <c r="M33" s="67" t="s">
        <v>472</v>
      </c>
      <c r="N33" s="70">
        <v>10</v>
      </c>
      <c r="O33" s="70">
        <f>Tabla2[[#This Row],[CANTIDAD]]*Tabla2[[#This Row],[PREC. UNITARIO]]</f>
        <v>150</v>
      </c>
      <c r="R33" t="str">
        <f>Tabla2[[#This Row],[QUIEN RECIBE]]&amp;"-"&amp;TEXT(Tabla2[[#This Row],[FECHA]],"dd/mm/yyyy")</f>
        <v>ACUACHI LANCHIPA ERNESTO ALONSO-10/09/2025</v>
      </c>
    </row>
    <row r="34" spans="2:18" ht="20.45" hidden="1" customHeight="1" x14ac:dyDescent="0.25">
      <c r="B34" s="5">
        <v>45910</v>
      </c>
      <c r="C34" s="2" t="str">
        <f>IFERROR(_xlfn.XLOOKUP(Tabla2[[#This Row],[PRODUCTO]],Tabla1[PRODUCTO],Tabla1[CODIGO]),"")</f>
        <v>IS-25</v>
      </c>
      <c r="D34" s="30" t="s">
        <v>77</v>
      </c>
      <c r="E34" s="30" t="str">
        <f>IFERROR(VLOOKUP(Tabla2[[#This Row],[CODIGO]],Tabla1[],3,0),"")</f>
        <v>IMPLEMENTOS DE SEGURIDAD</v>
      </c>
      <c r="F34" s="27" t="str">
        <f>IFERROR(VLOOKUP(Tabla2[[#This Row],[CODIGO]],Tabla1[],5,0),"")</f>
        <v>ALMACEN TICAPAMPA</v>
      </c>
      <c r="G34" s="25" t="str">
        <f>IFERROR(VLOOKUP(Tabla2[[#This Row],[CODIGO]],Tabla1[],6,0),"")</f>
        <v>UNI</v>
      </c>
      <c r="H34" s="25">
        <f>IFERROR(VLOOKUP(Tabla2[[#This Row],[CODIGO]],Tabla1[],10,0),"")</f>
        <v>25</v>
      </c>
      <c r="I34" s="7">
        <v>30</v>
      </c>
      <c r="J34" s="29" t="s">
        <v>320</v>
      </c>
      <c r="K34" s="25" t="str">
        <f>IFERROR(VLOOKUP(Tabla2[[#This Row],[CODIGO]],Tabla1[],11,0),"")</f>
        <v>COMPRA</v>
      </c>
      <c r="L34" s="67" t="s">
        <v>308</v>
      </c>
      <c r="M34" s="67" t="s">
        <v>472</v>
      </c>
      <c r="N34" s="70">
        <v>2</v>
      </c>
      <c r="O34" s="70">
        <f>Tabla2[[#This Row],[CANTIDAD]]*Tabla2[[#This Row],[PREC. UNITARIO]]</f>
        <v>60</v>
      </c>
      <c r="R34" t="str">
        <f>Tabla2[[#This Row],[QUIEN RECIBE]]&amp;"-"&amp;TEXT(Tabla2[[#This Row],[FECHA]],"dd/mm/yyyy")</f>
        <v>ACUACHI LANCHIPA ERNESTO ALONSO-10/09/2025</v>
      </c>
    </row>
    <row r="35" spans="2:18" ht="20.45" hidden="1" customHeight="1" x14ac:dyDescent="0.25">
      <c r="B35" s="5">
        <v>45910</v>
      </c>
      <c r="C35" s="2" t="str">
        <f>IFERROR(_xlfn.XLOOKUP(Tabla2[[#This Row],[PRODUCTO]],Tabla1[PRODUCTO],Tabla1[CODIGO]),"")</f>
        <v>IS-26</v>
      </c>
      <c r="D35" s="30" t="s">
        <v>86</v>
      </c>
      <c r="E35" s="30" t="str">
        <f>IFERROR(VLOOKUP(Tabla2[[#This Row],[CODIGO]],Tabla1[],3,0),"")</f>
        <v>IMPLEMENTOS DE SEGURIDAD</v>
      </c>
      <c r="F35" s="27" t="str">
        <f>IFERROR(VLOOKUP(Tabla2[[#This Row],[CODIGO]],Tabla1[],5,0),"")</f>
        <v>ALMACEN TICAPAMPA</v>
      </c>
      <c r="G35" s="25" t="str">
        <f>IFERROR(VLOOKUP(Tabla2[[#This Row],[CODIGO]],Tabla1[],6,0),"")</f>
        <v>UNI</v>
      </c>
      <c r="H35" s="25">
        <f>IFERROR(VLOOKUP(Tabla2[[#This Row],[CODIGO]],Tabla1[],10,0),"")</f>
        <v>16</v>
      </c>
      <c r="I35" s="7">
        <v>20</v>
      </c>
      <c r="J35" s="29" t="s">
        <v>320</v>
      </c>
      <c r="K35" s="25" t="str">
        <f>IFERROR(VLOOKUP(Tabla2[[#This Row],[CODIGO]],Tabla1[],11,0),"")</f>
        <v>COMPRA</v>
      </c>
      <c r="L35" s="67" t="s">
        <v>308</v>
      </c>
      <c r="M35" s="67" t="s">
        <v>472</v>
      </c>
      <c r="N35" s="70">
        <v>8</v>
      </c>
      <c r="O35" s="70">
        <f>Tabla2[[#This Row],[CANTIDAD]]*Tabla2[[#This Row],[PREC. UNITARIO]]</f>
        <v>160</v>
      </c>
      <c r="R35" t="str">
        <f>Tabla2[[#This Row],[QUIEN RECIBE]]&amp;"-"&amp;TEXT(Tabla2[[#This Row],[FECHA]],"dd/mm/yyyy")</f>
        <v>ACUACHI LANCHIPA ERNESTO ALONSO-10/09/2025</v>
      </c>
    </row>
    <row r="36" spans="2:18" ht="20.45" hidden="1" customHeight="1" x14ac:dyDescent="0.25">
      <c r="B36" s="5">
        <v>45910</v>
      </c>
      <c r="C36" s="2" t="str">
        <f>IFERROR(_xlfn.XLOOKUP(Tabla2[[#This Row],[PRODUCTO]],Tabla1[PRODUCTO],Tabla1[CODIGO]),"")</f>
        <v>IS-27</v>
      </c>
      <c r="D36" s="30" t="s">
        <v>78</v>
      </c>
      <c r="E36" s="30" t="str">
        <f>IFERROR(VLOOKUP(Tabla2[[#This Row],[CODIGO]],Tabla1[],3,0),"")</f>
        <v>IMPLEMENTOS DE SEGURIDAD</v>
      </c>
      <c r="F36" s="27" t="str">
        <f>IFERROR(VLOOKUP(Tabla2[[#This Row],[CODIGO]],Tabla1[],5,0),"")</f>
        <v>ALMACEN TICAPAMPA</v>
      </c>
      <c r="G36" s="25" t="str">
        <f>IFERROR(VLOOKUP(Tabla2[[#This Row],[CODIGO]],Tabla1[],6,0),"")</f>
        <v>UNI</v>
      </c>
      <c r="H36" s="25">
        <f>IFERROR(VLOOKUP(Tabla2[[#This Row],[CODIGO]],Tabla1[],10,0),"")</f>
        <v>100</v>
      </c>
      <c r="I36" s="7">
        <v>100</v>
      </c>
      <c r="J36" s="29" t="s">
        <v>320</v>
      </c>
      <c r="K36" s="25" t="str">
        <f>IFERROR(VLOOKUP(Tabla2[[#This Row],[CODIGO]],Tabla1[],11,0),"")</f>
        <v>COMPRA</v>
      </c>
      <c r="L36" s="67" t="s">
        <v>308</v>
      </c>
      <c r="M36" s="67" t="s">
        <v>472</v>
      </c>
      <c r="N36" s="70">
        <v>4</v>
      </c>
      <c r="O36" s="70">
        <f>Tabla2[[#This Row],[CANTIDAD]]*Tabla2[[#This Row],[PREC. UNITARIO]]</f>
        <v>400</v>
      </c>
      <c r="P36" t="s">
        <v>547</v>
      </c>
      <c r="R36" t="str">
        <f>Tabla2[[#This Row],[QUIEN RECIBE]]&amp;"-"&amp;TEXT(Tabla2[[#This Row],[FECHA]],"dd/mm/yyyy")</f>
        <v>ACUACHI LANCHIPA ERNESTO ALONSO-10/09/2025</v>
      </c>
    </row>
    <row r="37" spans="2:18" ht="20.45" hidden="1" customHeight="1" x14ac:dyDescent="0.25">
      <c r="B37" s="5">
        <v>45910</v>
      </c>
      <c r="C37" s="2" t="str">
        <f>IFERROR(_xlfn.XLOOKUP(Tabla2[[#This Row],[PRODUCTO]],Tabla1[PRODUCTO],Tabla1[CODIGO]),"")</f>
        <v>IS-28</v>
      </c>
      <c r="D37" s="30" t="s">
        <v>79</v>
      </c>
      <c r="E37" s="30" t="str">
        <f>IFERROR(VLOOKUP(Tabla2[[#This Row],[CODIGO]],Tabla1[],3,0),"")</f>
        <v>IMPLEMENTOS DE SEGURIDAD</v>
      </c>
      <c r="F37" s="27" t="str">
        <f>IFERROR(VLOOKUP(Tabla2[[#This Row],[CODIGO]],Tabla1[],5,0),"")</f>
        <v>ALMACEN TICAPAMPA</v>
      </c>
      <c r="G37" s="25" t="str">
        <f>IFERROR(VLOOKUP(Tabla2[[#This Row],[CODIGO]],Tabla1[],6,0),"")</f>
        <v>UNI</v>
      </c>
      <c r="H37" s="25">
        <f>IFERROR(VLOOKUP(Tabla2[[#This Row],[CODIGO]],Tabla1[],10,0),"")</f>
        <v>32</v>
      </c>
      <c r="I37" s="7">
        <v>60</v>
      </c>
      <c r="J37" s="29" t="s">
        <v>320</v>
      </c>
      <c r="K37" s="25" t="str">
        <f>IFERROR(VLOOKUP(Tabla2[[#This Row],[CODIGO]],Tabla1[],11,0),"")</f>
        <v>COMPRA</v>
      </c>
      <c r="L37" s="67" t="s">
        <v>308</v>
      </c>
      <c r="M37" s="67" t="s">
        <v>472</v>
      </c>
      <c r="N37" s="70">
        <v>4</v>
      </c>
      <c r="O37" s="70">
        <f>Tabla2[[#This Row],[CANTIDAD]]*Tabla2[[#This Row],[PREC. UNITARIO]]</f>
        <v>240</v>
      </c>
      <c r="P37" t="s">
        <v>547</v>
      </c>
      <c r="R37" t="str">
        <f>Tabla2[[#This Row],[QUIEN RECIBE]]&amp;"-"&amp;TEXT(Tabla2[[#This Row],[FECHA]],"dd/mm/yyyy")</f>
        <v>ACUACHI LANCHIPA ERNESTO ALONSO-10/09/2025</v>
      </c>
    </row>
    <row r="38" spans="2:18" ht="20.45" hidden="1" customHeight="1" x14ac:dyDescent="0.25">
      <c r="B38" s="5">
        <v>45910</v>
      </c>
      <c r="C38" s="2" t="str">
        <f>IFERROR(_xlfn.XLOOKUP(Tabla2[[#This Row],[PRODUCTO]],Tabla1[PRODUCTO],Tabla1[CODIGO]),"")</f>
        <v>IS-29</v>
      </c>
      <c r="D38" s="30" t="s">
        <v>80</v>
      </c>
      <c r="E38" s="30" t="str">
        <f>IFERROR(VLOOKUP(Tabla2[[#This Row],[CODIGO]],Tabla1[],3,0),"")</f>
        <v>IMPLEMENTOS DE SEGURIDAD</v>
      </c>
      <c r="F38" s="27" t="str">
        <f>IFERROR(VLOOKUP(Tabla2[[#This Row],[CODIGO]],Tabla1[],5,0),"")</f>
        <v>ALMACEN TICAPAMPA</v>
      </c>
      <c r="G38" s="25" t="str">
        <f>IFERROR(VLOOKUP(Tabla2[[#This Row],[CODIGO]],Tabla1[],6,0),"")</f>
        <v>ROL</v>
      </c>
      <c r="H38" s="25">
        <f>IFERROR(VLOOKUP(Tabla2[[#This Row],[CODIGO]],Tabla1[],10,0),"")</f>
        <v>6</v>
      </c>
      <c r="I38" s="7">
        <v>6</v>
      </c>
      <c r="J38" s="29" t="s">
        <v>320</v>
      </c>
      <c r="K38" s="25" t="str">
        <f>IFERROR(VLOOKUP(Tabla2[[#This Row],[CODIGO]],Tabla1[],11,0),"")</f>
        <v>COMPRA</v>
      </c>
      <c r="L38" s="67" t="s">
        <v>308</v>
      </c>
      <c r="M38" s="67" t="s">
        <v>472</v>
      </c>
      <c r="N38" s="70">
        <v>22</v>
      </c>
      <c r="O38" s="70">
        <f>Tabla2[[#This Row],[CANTIDAD]]*Tabla2[[#This Row],[PREC. UNITARIO]]</f>
        <v>132</v>
      </c>
      <c r="R38" t="str">
        <f>Tabla2[[#This Row],[QUIEN RECIBE]]&amp;"-"&amp;TEXT(Tabla2[[#This Row],[FECHA]],"dd/mm/yyyy")</f>
        <v>ACUACHI LANCHIPA ERNESTO ALONSO-10/09/2025</v>
      </c>
    </row>
    <row r="39" spans="2:18" ht="20.45" hidden="1" customHeight="1" x14ac:dyDescent="0.25">
      <c r="B39" s="5">
        <v>45910</v>
      </c>
      <c r="C39" s="2" t="str">
        <f>IFERROR(_xlfn.XLOOKUP(Tabla2[[#This Row],[PRODUCTO]],Tabla1[PRODUCTO],Tabla1[CODIGO]),"")</f>
        <v>IS-30</v>
      </c>
      <c r="D39" s="30" t="s">
        <v>81</v>
      </c>
      <c r="E39" s="30" t="str">
        <f>IFERROR(VLOOKUP(Tabla2[[#This Row],[CODIGO]],Tabla1[],3,0),"")</f>
        <v>IMPLEMENTOS DE SEGURIDAD</v>
      </c>
      <c r="F39" s="27" t="str">
        <f>IFERROR(VLOOKUP(Tabla2[[#This Row],[CODIGO]],Tabla1[],5,0),"")</f>
        <v>ALMACEN TICAPAMPA</v>
      </c>
      <c r="G39" s="25" t="str">
        <f>IFERROR(VLOOKUP(Tabla2[[#This Row],[CODIGO]],Tabla1[],6,0),"")</f>
        <v>UNI</v>
      </c>
      <c r="H39" s="25">
        <f>IFERROR(VLOOKUP(Tabla2[[#This Row],[CODIGO]],Tabla1[],10,0),"")</f>
        <v>99</v>
      </c>
      <c r="I39" s="7">
        <v>240</v>
      </c>
      <c r="J39" s="29" t="s">
        <v>320</v>
      </c>
      <c r="K39" s="25" t="str">
        <f>IFERROR(VLOOKUP(Tabla2[[#This Row],[CODIGO]],Tabla1[],11,0),"")</f>
        <v>COMPRA</v>
      </c>
      <c r="L39" s="67" t="s">
        <v>308</v>
      </c>
      <c r="M39" s="67" t="s">
        <v>472</v>
      </c>
      <c r="N39" s="70">
        <v>8</v>
      </c>
      <c r="O39" s="70">
        <f>Tabla2[[#This Row],[CANTIDAD]]*Tabla2[[#This Row],[PREC. UNITARIO]]</f>
        <v>1920</v>
      </c>
      <c r="P39" t="s">
        <v>547</v>
      </c>
      <c r="R39" t="str">
        <f>Tabla2[[#This Row],[QUIEN RECIBE]]&amp;"-"&amp;TEXT(Tabla2[[#This Row],[FECHA]],"dd/mm/yyyy")</f>
        <v>ACUACHI LANCHIPA ERNESTO ALONSO-10/09/2025</v>
      </c>
    </row>
    <row r="40" spans="2:18" ht="20.45" hidden="1" customHeight="1" x14ac:dyDescent="0.25">
      <c r="B40" s="5">
        <v>45910</v>
      </c>
      <c r="C40" s="2" t="str">
        <f>IFERROR(_xlfn.XLOOKUP(Tabla2[[#This Row],[PRODUCTO]],Tabla1[PRODUCTO],Tabla1[CODIGO]),"")</f>
        <v>IS-31</v>
      </c>
      <c r="D40" s="30" t="s">
        <v>82</v>
      </c>
      <c r="E40" s="30" t="str">
        <f>IFERROR(VLOOKUP(Tabla2[[#This Row],[CODIGO]],Tabla1[],3,0),"")</f>
        <v>IMPLEMENTOS DE SEGURIDAD</v>
      </c>
      <c r="F40" s="27" t="str">
        <f>IFERROR(VLOOKUP(Tabla2[[#This Row],[CODIGO]],Tabla1[],5,0),"")</f>
        <v>ALMACEN TICAPAMPA</v>
      </c>
      <c r="G40" s="25" t="str">
        <f>IFERROR(VLOOKUP(Tabla2[[#This Row],[CODIGO]],Tabla1[],6,0),"")</f>
        <v>UNI</v>
      </c>
      <c r="H40" s="25">
        <f>IFERROR(VLOOKUP(Tabla2[[#This Row],[CODIGO]],Tabla1[],10,0),"")</f>
        <v>0</v>
      </c>
      <c r="I40" s="7">
        <v>20</v>
      </c>
      <c r="J40" s="29" t="s">
        <v>320</v>
      </c>
      <c r="K40" s="25" t="str">
        <f>IFERROR(VLOOKUP(Tabla2[[#This Row],[CODIGO]],Tabla1[],11,0),"")</f>
        <v>COMPRA</v>
      </c>
      <c r="L40" s="67" t="s">
        <v>308</v>
      </c>
      <c r="M40" s="67" t="s">
        <v>472</v>
      </c>
      <c r="N40" s="70">
        <v>22</v>
      </c>
      <c r="O40" s="70">
        <f>Tabla2[[#This Row],[CANTIDAD]]*Tabla2[[#This Row],[PREC. UNITARIO]]</f>
        <v>440</v>
      </c>
      <c r="P40" t="s">
        <v>547</v>
      </c>
      <c r="R40" t="str">
        <f>Tabla2[[#This Row],[QUIEN RECIBE]]&amp;"-"&amp;TEXT(Tabla2[[#This Row],[FECHA]],"dd/mm/yyyy")</f>
        <v>ACUACHI LANCHIPA ERNESTO ALONSO-10/09/2025</v>
      </c>
    </row>
    <row r="41" spans="2:18" ht="20.45" hidden="1" customHeight="1" x14ac:dyDescent="0.25">
      <c r="B41" s="5">
        <v>45910</v>
      </c>
      <c r="C41" s="2" t="str">
        <f>IFERROR(_xlfn.XLOOKUP(Tabla2[[#This Row],[PRODUCTO]],Tabla1[PRODUCTO],Tabla1[CODIGO]),"")</f>
        <v>IS-32</v>
      </c>
      <c r="D41" s="30" t="s">
        <v>83</v>
      </c>
      <c r="E41" s="30" t="str">
        <f>IFERROR(VLOOKUP(Tabla2[[#This Row],[CODIGO]],Tabla1[],3,0),"")</f>
        <v>IMPLEMENTOS DE SEGURIDAD</v>
      </c>
      <c r="F41" s="27" t="str">
        <f>IFERROR(VLOOKUP(Tabla2[[#This Row],[CODIGO]],Tabla1[],5,0),"")</f>
        <v>ALMACEN TICAPAMPA</v>
      </c>
      <c r="G41" s="25" t="str">
        <f>IFERROR(VLOOKUP(Tabla2[[#This Row],[CODIGO]],Tabla1[],6,0),"")</f>
        <v>UNI</v>
      </c>
      <c r="H41" s="25">
        <f>IFERROR(VLOOKUP(Tabla2[[#This Row],[CODIGO]],Tabla1[],10,0),"")</f>
        <v>5</v>
      </c>
      <c r="I41" s="7">
        <v>30</v>
      </c>
      <c r="J41" s="29" t="s">
        <v>320</v>
      </c>
      <c r="K41" s="25" t="str">
        <f>IFERROR(VLOOKUP(Tabla2[[#This Row],[CODIGO]],Tabla1[],11,0),"")</f>
        <v>COMPRA</v>
      </c>
      <c r="L41" s="67" t="s">
        <v>308</v>
      </c>
      <c r="M41" s="67" t="s">
        <v>472</v>
      </c>
      <c r="N41" s="70">
        <v>22</v>
      </c>
      <c r="O41" s="70">
        <f>Tabla2[[#This Row],[CANTIDAD]]*Tabla2[[#This Row],[PREC. UNITARIO]]</f>
        <v>660</v>
      </c>
      <c r="P41" t="s">
        <v>547</v>
      </c>
      <c r="R41" t="str">
        <f>Tabla2[[#This Row],[QUIEN RECIBE]]&amp;"-"&amp;TEXT(Tabla2[[#This Row],[FECHA]],"dd/mm/yyyy")</f>
        <v>ACUACHI LANCHIPA ERNESTO ALONSO-10/09/2025</v>
      </c>
    </row>
    <row r="42" spans="2:18" ht="20.45" hidden="1" customHeight="1" x14ac:dyDescent="0.25">
      <c r="B42" s="5">
        <v>45910</v>
      </c>
      <c r="C42" s="2" t="str">
        <f>IFERROR(_xlfn.XLOOKUP(Tabla2[[#This Row],[PRODUCTO]],Tabla1[PRODUCTO],Tabla1[CODIGO]),"")</f>
        <v>IS-33</v>
      </c>
      <c r="D42" s="30" t="s">
        <v>84</v>
      </c>
      <c r="E42" s="30" t="str">
        <f>IFERROR(VLOOKUP(Tabla2[[#This Row],[CODIGO]],Tabla1[],3,0),"")</f>
        <v>IMPLEMENTOS DE SEGURIDAD</v>
      </c>
      <c r="F42" s="27" t="str">
        <f>IFERROR(VLOOKUP(Tabla2[[#This Row],[CODIGO]],Tabla1[],5,0),"")</f>
        <v>ALMACEN TICAPAMPA</v>
      </c>
      <c r="G42" s="25" t="str">
        <f>IFERROR(VLOOKUP(Tabla2[[#This Row],[CODIGO]],Tabla1[],6,0),"")</f>
        <v>UNI</v>
      </c>
      <c r="H42" s="25">
        <f>IFERROR(VLOOKUP(Tabla2[[#This Row],[CODIGO]],Tabla1[],10,0),"")</f>
        <v>1</v>
      </c>
      <c r="I42" s="7">
        <v>10</v>
      </c>
      <c r="J42" s="29" t="s">
        <v>320</v>
      </c>
      <c r="K42" s="25" t="str">
        <f>IFERROR(VLOOKUP(Tabla2[[#This Row],[CODIGO]],Tabla1[],11,0),"")</f>
        <v>COMPRA</v>
      </c>
      <c r="L42" s="67" t="s">
        <v>308</v>
      </c>
      <c r="M42" s="67" t="s">
        <v>472</v>
      </c>
      <c r="N42" s="70">
        <v>22</v>
      </c>
      <c r="O42" s="70">
        <f>Tabla2[[#This Row],[CANTIDAD]]*Tabla2[[#This Row],[PREC. UNITARIO]]</f>
        <v>220</v>
      </c>
      <c r="P42" t="s">
        <v>547</v>
      </c>
      <c r="R42" t="str">
        <f>Tabla2[[#This Row],[QUIEN RECIBE]]&amp;"-"&amp;TEXT(Tabla2[[#This Row],[FECHA]],"dd/mm/yyyy")</f>
        <v>ACUACHI LANCHIPA ERNESTO ALONSO-10/09/2025</v>
      </c>
    </row>
    <row r="43" spans="2:18" ht="20.45" hidden="1" customHeight="1" x14ac:dyDescent="0.25">
      <c r="B43" s="5">
        <v>45906</v>
      </c>
      <c r="C43" s="2" t="str">
        <f>IFERROR(_xlfn.XLOOKUP(Tabla2[[#This Row],[PRODUCTO]],Tabla1[PRODUCTO],Tabla1[CODIGO]),"")</f>
        <v>CAR-1</v>
      </c>
      <c r="D43" s="30" t="s">
        <v>89</v>
      </c>
      <c r="E43" s="30" t="str">
        <f>IFERROR(VLOOKUP(Tabla2[[#This Row],[CODIGO]],Tabla1[],3,0),"")</f>
        <v>CARPINTERIA</v>
      </c>
      <c r="F43" s="27" t="str">
        <f>IFERROR(VLOOKUP(Tabla2[[#This Row],[CODIGO]],Tabla1[],5,0),"")</f>
        <v>ALMACEN TICAPAMPA</v>
      </c>
      <c r="G43" s="25" t="str">
        <f>IFERROR(VLOOKUP(Tabla2[[#This Row],[CODIGO]],Tabla1[],6,0),"")</f>
        <v>UNI</v>
      </c>
      <c r="H43" s="25">
        <f>IFERROR(VLOOKUP(Tabla2[[#This Row],[CODIGO]],Tabla1[],10,0),"")</f>
        <v>32</v>
      </c>
      <c r="I43" s="7">
        <v>33</v>
      </c>
      <c r="J43" s="29" t="s">
        <v>98</v>
      </c>
      <c r="K43" s="25" t="str">
        <f>IFERROR(VLOOKUP(Tabla2[[#This Row],[CODIGO]],Tabla1[],11,0),"")</f>
        <v>COMPRA</v>
      </c>
      <c r="L43" s="67" t="s">
        <v>308</v>
      </c>
      <c r="M43" s="67" t="s">
        <v>472</v>
      </c>
      <c r="N43" s="70">
        <v>26</v>
      </c>
      <c r="O43" s="70">
        <f>Tabla2[[#This Row],[CANTIDAD]]*Tabla2[[#This Row],[PREC. UNITARIO]]</f>
        <v>858</v>
      </c>
      <c r="P43" t="s">
        <v>549</v>
      </c>
      <c r="R43" t="str">
        <f>Tabla2[[#This Row],[QUIEN RECIBE]]&amp;"-"&amp;TEXT(Tabla2[[#This Row],[FECHA]],"dd/mm/yyyy")</f>
        <v>ACUACHI LANCHIPA ERNESTO ALONSO-06/09/2025</v>
      </c>
    </row>
    <row r="44" spans="2:18" ht="20.45" hidden="1" customHeight="1" x14ac:dyDescent="0.25">
      <c r="B44" s="5">
        <v>45906</v>
      </c>
      <c r="C44" s="2" t="str">
        <f>IFERROR(_xlfn.XLOOKUP(Tabla2[[#This Row],[PRODUCTO]],Tabla1[PRODUCTO],Tabla1[CODIGO]),"")</f>
        <v>FER-1</v>
      </c>
      <c r="D44" s="30" t="s">
        <v>143</v>
      </c>
      <c r="E44" s="30" t="str">
        <f>IFERROR(VLOOKUP(Tabla2[[#This Row],[CODIGO]],Tabla1[],3,0),"")</f>
        <v>FERRETERIA</v>
      </c>
      <c r="F44" s="27" t="str">
        <f>IFERROR(VLOOKUP(Tabla2[[#This Row],[CODIGO]],Tabla1[],5,0),"")</f>
        <v>ALMACEN TICAPAMPA</v>
      </c>
      <c r="G44" s="25" t="str">
        <f>IFERROR(VLOOKUP(Tabla2[[#This Row],[CODIGO]],Tabla1[],6,0),"")</f>
        <v>UNI</v>
      </c>
      <c r="H44" s="25">
        <f>IFERROR(VLOOKUP(Tabla2[[#This Row],[CODIGO]],Tabla1[],10,0),"")</f>
        <v>63</v>
      </c>
      <c r="I44" s="7">
        <v>100</v>
      </c>
      <c r="J44" s="29" t="s">
        <v>98</v>
      </c>
      <c r="K44" s="25" t="str">
        <f>IFERROR(VLOOKUP(Tabla2[[#This Row],[CODIGO]],Tabla1[],11,0),"")</f>
        <v>COMPRA</v>
      </c>
      <c r="L44" s="67" t="s">
        <v>308</v>
      </c>
      <c r="M44" s="67" t="s">
        <v>472</v>
      </c>
      <c r="N44" s="70">
        <v>24</v>
      </c>
      <c r="O44" s="70">
        <f>Tabla2[[#This Row],[CANTIDAD]]*Tabla2[[#This Row],[PREC. UNITARIO]]</f>
        <v>2400</v>
      </c>
      <c r="P44" t="s">
        <v>549</v>
      </c>
      <c r="R44" t="str">
        <f>Tabla2[[#This Row],[QUIEN RECIBE]]&amp;"-"&amp;TEXT(Tabla2[[#This Row],[FECHA]],"dd/mm/yyyy")</f>
        <v>ACUACHI LANCHIPA ERNESTO ALONSO-06/09/2025</v>
      </c>
    </row>
    <row r="45" spans="2:18" ht="20.45" hidden="1" customHeight="1" x14ac:dyDescent="0.25">
      <c r="B45" s="5">
        <v>45906</v>
      </c>
      <c r="C45" s="2" t="str">
        <f>IFERROR(_xlfn.XLOOKUP(Tabla2[[#This Row],[PRODUCTO]],Tabla1[PRODUCTO],Tabla1[CODIGO]),"")</f>
        <v>AF-1</v>
      </c>
      <c r="D45" s="31" t="s">
        <v>92</v>
      </c>
      <c r="E45" s="31" t="str">
        <f>IFERROR(VLOOKUP(Tabla2[[#This Row],[CODIGO]],Tabla1[],3,0),"")</f>
        <v>ALAMBRES Y FIERROS</v>
      </c>
      <c r="F45" s="28" t="str">
        <f>IFERROR(VLOOKUP(Tabla2[[#This Row],[CODIGO]],Tabla1[],5,0),"")</f>
        <v>ALMACEN TICAPAMPA</v>
      </c>
      <c r="G45" s="26" t="str">
        <f>IFERROR(VLOOKUP(Tabla2[[#This Row],[CODIGO]],Tabla1[],6,0),"")</f>
        <v>ROL</v>
      </c>
      <c r="H45" s="26">
        <f>IFERROR(VLOOKUP(Tabla2[[#This Row],[CODIGO]],Tabla1[],10,0),"")</f>
        <v>4</v>
      </c>
      <c r="I45" s="7">
        <v>4</v>
      </c>
      <c r="J45" s="29" t="s">
        <v>98</v>
      </c>
      <c r="K45" s="26" t="str">
        <f>IFERROR(VLOOKUP(Tabla2[[#This Row],[CODIGO]],Tabla1[],11,0),"")</f>
        <v>COMPRA</v>
      </c>
      <c r="L45" s="67" t="s">
        <v>308</v>
      </c>
      <c r="M45" s="67" t="s">
        <v>472</v>
      </c>
      <c r="N45" s="70">
        <v>430</v>
      </c>
      <c r="O45" s="70">
        <f>Tabla2[[#This Row],[CANTIDAD]]*Tabla2[[#This Row],[PREC. UNITARIO]]</f>
        <v>1720</v>
      </c>
      <c r="P45" t="s">
        <v>549</v>
      </c>
      <c r="R45" t="str">
        <f>Tabla2[[#This Row],[QUIEN RECIBE]]&amp;"-"&amp;TEXT(Tabla2[[#This Row],[FECHA]],"dd/mm/yyyy")</f>
        <v>ACUACHI LANCHIPA ERNESTO ALONSO-06/09/2025</v>
      </c>
    </row>
    <row r="46" spans="2:18" ht="20.45" hidden="1" customHeight="1" x14ac:dyDescent="0.25">
      <c r="B46" s="5">
        <v>45906</v>
      </c>
      <c r="C46" s="2" t="str">
        <f>IFERROR(_xlfn.XLOOKUP(Tabla2[[#This Row],[PRODUCTO]],Tabla1[PRODUCTO],Tabla1[CODIGO]),"")</f>
        <v>AF-2</v>
      </c>
      <c r="D46" s="31" t="s">
        <v>93</v>
      </c>
      <c r="E46" s="31" t="str">
        <f>IFERROR(VLOOKUP(Tabla2[[#This Row],[CODIGO]],Tabla1[],3,0),"")</f>
        <v>ALAMBRES Y FIERROS</v>
      </c>
      <c r="F46" s="28" t="str">
        <f>IFERROR(VLOOKUP(Tabla2[[#This Row],[CODIGO]],Tabla1[],5,0),"")</f>
        <v>ALMACEN TICAPAMPA</v>
      </c>
      <c r="G46" s="26" t="str">
        <f>IFERROR(VLOOKUP(Tabla2[[#This Row],[CODIGO]],Tabla1[],6,0),"")</f>
        <v>ROL</v>
      </c>
      <c r="H46" s="26">
        <f>IFERROR(VLOOKUP(Tabla2[[#This Row],[CODIGO]],Tabla1[],10,0),"")</f>
        <v>6</v>
      </c>
      <c r="I46" s="7">
        <v>4</v>
      </c>
      <c r="J46" s="29" t="s">
        <v>98</v>
      </c>
      <c r="K46" s="26" t="str">
        <f>IFERROR(VLOOKUP(Tabla2[[#This Row],[CODIGO]],Tabla1[],11,0),"")</f>
        <v>COMPRA</v>
      </c>
      <c r="L46" s="67" t="s">
        <v>308</v>
      </c>
      <c r="M46" s="67" t="s">
        <v>472</v>
      </c>
      <c r="N46" s="70">
        <v>430</v>
      </c>
      <c r="O46" s="70">
        <f>Tabla2[[#This Row],[CANTIDAD]]*Tabla2[[#This Row],[PREC. UNITARIO]]</f>
        <v>1720</v>
      </c>
      <c r="P46" t="s">
        <v>549</v>
      </c>
      <c r="R46" t="str">
        <f>Tabla2[[#This Row],[QUIEN RECIBE]]&amp;"-"&amp;TEXT(Tabla2[[#This Row],[FECHA]],"dd/mm/yyyy")</f>
        <v>ACUACHI LANCHIPA ERNESTO ALONSO-06/09/2025</v>
      </c>
    </row>
    <row r="47" spans="2:18" ht="20.45" hidden="1" customHeight="1" x14ac:dyDescent="0.25">
      <c r="B47" s="5">
        <v>45906</v>
      </c>
      <c r="C47" s="2" t="str">
        <f>IFERROR(_xlfn.XLOOKUP(Tabla2[[#This Row],[PRODUCTO]],Tabla1[PRODUCTO],Tabla1[CODIGO]),"")</f>
        <v>CLA-1</v>
      </c>
      <c r="D47" s="31" t="s">
        <v>94</v>
      </c>
      <c r="E47" s="31" t="str">
        <f>IFERROR(VLOOKUP(Tabla2[[#This Row],[CODIGO]],Tabla1[],3,0),"")</f>
        <v>CLAVOS</v>
      </c>
      <c r="F47" s="28" t="str">
        <f>IFERROR(VLOOKUP(Tabla2[[#This Row],[CODIGO]],Tabla1[],5,0),"")</f>
        <v>ALMACEN TICAPAMPA</v>
      </c>
      <c r="G47" s="26" t="str">
        <f>IFERROR(VLOOKUP(Tabla2[[#This Row],[CODIGO]],Tabla1[],6,0),"")</f>
        <v>CAJ</v>
      </c>
      <c r="H47" s="26">
        <f>IFERROR(VLOOKUP(Tabla2[[#This Row],[CODIGO]],Tabla1[],10,0),"")</f>
        <v>2</v>
      </c>
      <c r="I47" s="7">
        <v>2</v>
      </c>
      <c r="J47" s="29" t="s">
        <v>98</v>
      </c>
      <c r="K47" s="26" t="str">
        <f>IFERROR(VLOOKUP(Tabla2[[#This Row],[CODIGO]],Tabla1[],11,0),"")</f>
        <v>COMPRA</v>
      </c>
      <c r="L47" s="67" t="s">
        <v>308</v>
      </c>
      <c r="M47" s="67" t="s">
        <v>472</v>
      </c>
      <c r="N47" s="70">
        <v>155</v>
      </c>
      <c r="O47" s="70">
        <f>Tabla2[[#This Row],[CANTIDAD]]*Tabla2[[#This Row],[PREC. UNITARIO]]</f>
        <v>310</v>
      </c>
      <c r="P47" t="s">
        <v>549</v>
      </c>
      <c r="R47" t="str">
        <f>Tabla2[[#This Row],[QUIEN RECIBE]]&amp;"-"&amp;TEXT(Tabla2[[#This Row],[FECHA]],"dd/mm/yyyy")</f>
        <v>ACUACHI LANCHIPA ERNESTO ALONSO-06/09/2025</v>
      </c>
    </row>
    <row r="48" spans="2:18" ht="20.45" hidden="1" customHeight="1" x14ac:dyDescent="0.25">
      <c r="B48" s="5">
        <v>45906</v>
      </c>
      <c r="C48" s="2" t="str">
        <f>IFERROR(_xlfn.XLOOKUP(Tabla2[[#This Row],[PRODUCTO]],Tabla1[PRODUCTO],Tabla1[CODIGO]),"")</f>
        <v>CLA-2</v>
      </c>
      <c r="D48" s="31" t="s">
        <v>97</v>
      </c>
      <c r="E48" s="31" t="str">
        <f>IFERROR(VLOOKUP(Tabla2[[#This Row],[CODIGO]],Tabla1[],3,0),"")</f>
        <v>CLAVOS</v>
      </c>
      <c r="F48" s="28" t="str">
        <f>IFERROR(VLOOKUP(Tabla2[[#This Row],[CODIGO]],Tabla1[],5,0),"")</f>
        <v>ALMACEN TICAPAMPA</v>
      </c>
      <c r="G48" s="26" t="str">
        <f>IFERROR(VLOOKUP(Tabla2[[#This Row],[CODIGO]],Tabla1[],6,0),"")</f>
        <v>CAJ</v>
      </c>
      <c r="H48" s="26">
        <f>IFERROR(VLOOKUP(Tabla2[[#This Row],[CODIGO]],Tabla1[],10,0),"")</f>
        <v>2</v>
      </c>
      <c r="I48" s="7">
        <v>2</v>
      </c>
      <c r="J48" s="29" t="s">
        <v>98</v>
      </c>
      <c r="K48" s="26" t="str">
        <f>IFERROR(VLOOKUP(Tabla2[[#This Row],[CODIGO]],Tabla1[],11,0),"")</f>
        <v>COMPRA</v>
      </c>
      <c r="L48" s="67" t="s">
        <v>308</v>
      </c>
      <c r="M48" s="67" t="s">
        <v>472</v>
      </c>
      <c r="N48" s="70">
        <v>155</v>
      </c>
      <c r="O48" s="70">
        <f>Tabla2[[#This Row],[CANTIDAD]]*Tabla2[[#This Row],[PREC. UNITARIO]]</f>
        <v>310</v>
      </c>
      <c r="P48" t="s">
        <v>549</v>
      </c>
      <c r="R48" t="str">
        <f>Tabla2[[#This Row],[QUIEN RECIBE]]&amp;"-"&amp;TEXT(Tabla2[[#This Row],[FECHA]],"dd/mm/yyyy")</f>
        <v>ACUACHI LANCHIPA ERNESTO ALONSO-06/09/2025</v>
      </c>
    </row>
    <row r="49" spans="2:18" ht="20.45" hidden="1" customHeight="1" x14ac:dyDescent="0.25">
      <c r="B49" s="5">
        <v>45906</v>
      </c>
      <c r="C49" s="2" t="str">
        <f>IFERROR(_xlfn.XLOOKUP(Tabla2[[#This Row],[PRODUCTO]],Tabla1[PRODUCTO],Tabla1[CODIGO]),"")</f>
        <v>CLA-3</v>
      </c>
      <c r="D49" s="31" t="s">
        <v>125</v>
      </c>
      <c r="E49" s="31" t="str">
        <f>IFERROR(VLOOKUP(Tabla2[[#This Row],[CODIGO]],Tabla1[],3,0),"")</f>
        <v>CLAVOS</v>
      </c>
      <c r="F49" s="28" t="str">
        <f>IFERROR(VLOOKUP(Tabla2[[#This Row],[CODIGO]],Tabla1[],5,0),"")</f>
        <v>ALMACEN TICAPAMPA</v>
      </c>
      <c r="G49" s="26" t="str">
        <f>IFERROR(VLOOKUP(Tabla2[[#This Row],[CODIGO]],Tabla1[],6,0),"")</f>
        <v>CAJ</v>
      </c>
      <c r="H49" s="26">
        <f>IFERROR(VLOOKUP(Tabla2[[#This Row],[CODIGO]],Tabla1[],10,0),"")</f>
        <v>5</v>
      </c>
      <c r="I49" s="7">
        <v>4</v>
      </c>
      <c r="J49" s="29" t="s">
        <v>98</v>
      </c>
      <c r="K49" s="26" t="str">
        <f>IFERROR(VLOOKUP(Tabla2[[#This Row],[CODIGO]],Tabla1[],11,0),"")</f>
        <v>COMPRA</v>
      </c>
      <c r="L49" s="67" t="s">
        <v>308</v>
      </c>
      <c r="M49" s="67" t="s">
        <v>472</v>
      </c>
      <c r="N49" s="70">
        <v>155</v>
      </c>
      <c r="O49" s="70">
        <f>Tabla2[[#This Row],[CANTIDAD]]*Tabla2[[#This Row],[PREC. UNITARIO]]</f>
        <v>620</v>
      </c>
      <c r="P49" t="s">
        <v>549</v>
      </c>
      <c r="R49" t="str">
        <f>Tabla2[[#This Row],[QUIEN RECIBE]]&amp;"-"&amp;TEXT(Tabla2[[#This Row],[FECHA]],"dd/mm/yyyy")</f>
        <v>ACUACHI LANCHIPA ERNESTO ALONSO-06/09/2025</v>
      </c>
    </row>
    <row r="50" spans="2:18" ht="20.45" hidden="1" customHeight="1" x14ac:dyDescent="0.25">
      <c r="B50" s="5">
        <v>45906</v>
      </c>
      <c r="C50" s="2" t="str">
        <f>IFERROR(_xlfn.XLOOKUP(Tabla2[[#This Row],[PRODUCTO]],Tabla1[PRODUCTO],Tabla1[CODIGO]),"")</f>
        <v>CLA-4</v>
      </c>
      <c r="D50" s="31" t="s">
        <v>126</v>
      </c>
      <c r="E50" s="31" t="str">
        <f>IFERROR(VLOOKUP(Tabla2[[#This Row],[CODIGO]],Tabla1[],3,0),"")</f>
        <v>CLAVOS</v>
      </c>
      <c r="F50" s="28" t="str">
        <f>IFERROR(VLOOKUP(Tabla2[[#This Row],[CODIGO]],Tabla1[],5,0),"")</f>
        <v>ALMACEN TICAPAMPA</v>
      </c>
      <c r="G50" s="26" t="str">
        <f>IFERROR(VLOOKUP(Tabla2[[#This Row],[CODIGO]],Tabla1[],6,0),"")</f>
        <v>CAJ</v>
      </c>
      <c r="H50" s="26">
        <f>IFERROR(VLOOKUP(Tabla2[[#This Row],[CODIGO]],Tabla1[],10,0),"")</f>
        <v>1</v>
      </c>
      <c r="I50" s="7">
        <v>1</v>
      </c>
      <c r="J50" s="29" t="s">
        <v>98</v>
      </c>
      <c r="K50" s="26" t="str">
        <f>IFERROR(VLOOKUP(Tabla2[[#This Row],[CODIGO]],Tabla1[],11,0),"")</f>
        <v>COMPRA</v>
      </c>
      <c r="L50" s="67" t="s">
        <v>308</v>
      </c>
      <c r="M50" s="67" t="s">
        <v>472</v>
      </c>
      <c r="N50" s="70">
        <v>160</v>
      </c>
      <c r="O50" s="70">
        <f>Tabla2[[#This Row],[CANTIDAD]]*Tabla2[[#This Row],[PREC. UNITARIO]]</f>
        <v>160</v>
      </c>
      <c r="P50" t="s">
        <v>549</v>
      </c>
      <c r="R50" t="str">
        <f>Tabla2[[#This Row],[QUIEN RECIBE]]&amp;"-"&amp;TEXT(Tabla2[[#This Row],[FECHA]],"dd/mm/yyyy")</f>
        <v>ACUACHI LANCHIPA ERNESTO ALONSO-06/09/2025</v>
      </c>
    </row>
    <row r="51" spans="2:18" ht="20.45" hidden="1" customHeight="1" x14ac:dyDescent="0.25">
      <c r="B51" s="5">
        <v>45906</v>
      </c>
      <c r="C51" s="2" t="str">
        <f>IFERROR(_xlfn.XLOOKUP(Tabla2[[#This Row],[PRODUCTO]],Tabla1[PRODUCTO],Tabla1[CODIGO]),"")</f>
        <v>IE-1</v>
      </c>
      <c r="D51" s="31" t="s">
        <v>127</v>
      </c>
      <c r="E51" s="31" t="str">
        <f>IFERROR(VLOOKUP(Tabla2[[#This Row],[CODIGO]],Tabla1[],3,0),"")</f>
        <v>INSTALACIONES ELECTRICAS</v>
      </c>
      <c r="F51" s="28" t="str">
        <f>IFERROR(VLOOKUP(Tabla2[[#This Row],[CODIGO]],Tabla1[],5,0),"")</f>
        <v>ALMACEN TICAPAMPA</v>
      </c>
      <c r="G51" s="26" t="str">
        <f>IFERROR(VLOOKUP(Tabla2[[#This Row],[CODIGO]],Tabla1[],6,0),"")</f>
        <v>ROL</v>
      </c>
      <c r="H51" s="26">
        <f>IFERROR(VLOOKUP(Tabla2[[#This Row],[CODIGO]],Tabla1[],10,0),"")</f>
        <v>1</v>
      </c>
      <c r="I51" s="7">
        <v>1</v>
      </c>
      <c r="J51" s="29" t="s">
        <v>98</v>
      </c>
      <c r="K51" s="26" t="str">
        <f>IFERROR(VLOOKUP(Tabla2[[#This Row],[CODIGO]],Tabla1[],11,0),"")</f>
        <v>COMPRA</v>
      </c>
      <c r="L51" s="67" t="s">
        <v>308</v>
      </c>
      <c r="M51" s="67" t="s">
        <v>472</v>
      </c>
      <c r="N51" s="70">
        <v>380</v>
      </c>
      <c r="O51" s="70">
        <f>Tabla2[[#This Row],[CANTIDAD]]*Tabla2[[#This Row],[PREC. UNITARIO]]</f>
        <v>380</v>
      </c>
      <c r="P51" t="s">
        <v>549</v>
      </c>
      <c r="R51" t="str">
        <f>Tabla2[[#This Row],[QUIEN RECIBE]]&amp;"-"&amp;TEXT(Tabla2[[#This Row],[FECHA]],"dd/mm/yyyy")</f>
        <v>ACUACHI LANCHIPA ERNESTO ALONSO-06/09/2025</v>
      </c>
    </row>
    <row r="52" spans="2:18" ht="20.45" hidden="1" customHeight="1" x14ac:dyDescent="0.25">
      <c r="B52" s="5">
        <v>45906</v>
      </c>
      <c r="C52" s="2" t="str">
        <f>IFERROR(_xlfn.XLOOKUP(Tabla2[[#This Row],[PRODUCTO]],Tabla1[PRODUCTO],Tabla1[CODIGO]),"")</f>
        <v>IE-2</v>
      </c>
      <c r="D52" s="31" t="s">
        <v>128</v>
      </c>
      <c r="E52" s="31" t="str">
        <f>IFERROR(VLOOKUP(Tabla2[[#This Row],[CODIGO]],Tabla1[],3,0),"")</f>
        <v>INSTALACIONES ELECTRICAS</v>
      </c>
      <c r="F52" s="28" t="str">
        <f>IFERROR(VLOOKUP(Tabla2[[#This Row],[CODIGO]],Tabla1[],5,0),"")</f>
        <v>ALMACEN TICAPAMPA</v>
      </c>
      <c r="G52" s="26" t="str">
        <f>IFERROR(VLOOKUP(Tabla2[[#This Row],[CODIGO]],Tabla1[],6,0),"")</f>
        <v>UNI</v>
      </c>
      <c r="H52" s="26">
        <f>IFERROR(VLOOKUP(Tabla2[[#This Row],[CODIGO]],Tabla1[],10,0),"")</f>
        <v>13</v>
      </c>
      <c r="I52" s="7">
        <v>13</v>
      </c>
      <c r="J52" s="29" t="s">
        <v>98</v>
      </c>
      <c r="K52" s="26" t="str">
        <f>IFERROR(VLOOKUP(Tabla2[[#This Row],[CODIGO]],Tabla1[],11,0),"")</f>
        <v>COMPRA</v>
      </c>
      <c r="L52" s="67" t="s">
        <v>308</v>
      </c>
      <c r="M52" s="67" t="s">
        <v>472</v>
      </c>
      <c r="N52" s="70">
        <v>5</v>
      </c>
      <c r="O52" s="70">
        <f>Tabla2[[#This Row],[CANTIDAD]]*Tabla2[[#This Row],[PREC. UNITARIO]]</f>
        <v>65</v>
      </c>
      <c r="P52" t="s">
        <v>549</v>
      </c>
      <c r="R52" t="str">
        <f>Tabla2[[#This Row],[QUIEN RECIBE]]&amp;"-"&amp;TEXT(Tabla2[[#This Row],[FECHA]],"dd/mm/yyyy")</f>
        <v>ACUACHI LANCHIPA ERNESTO ALONSO-06/09/2025</v>
      </c>
    </row>
    <row r="53" spans="2:18" ht="20.45" hidden="1" customHeight="1" x14ac:dyDescent="0.25">
      <c r="B53" s="5">
        <v>45906</v>
      </c>
      <c r="C53" s="2" t="str">
        <f>IFERROR(_xlfn.XLOOKUP(Tabla2[[#This Row],[PRODUCTO]],Tabla1[PRODUCTO],Tabla1[CODIGO]),"")</f>
        <v>IE-3</v>
      </c>
      <c r="D53" s="31" t="s">
        <v>378</v>
      </c>
      <c r="E53" s="31" t="str">
        <f>IFERROR(VLOOKUP(Tabla2[[#This Row],[CODIGO]],Tabla1[],3,0),"")</f>
        <v>INSTALACIONES ELECTRICAS</v>
      </c>
      <c r="F53" s="28" t="str">
        <f>IFERROR(VLOOKUP(Tabla2[[#This Row],[CODIGO]],Tabla1[],5,0),"")</f>
        <v>ALMACEN TICAPAMPA</v>
      </c>
      <c r="G53" s="26" t="str">
        <f>IFERROR(VLOOKUP(Tabla2[[#This Row],[CODIGO]],Tabla1[],6,0),"")</f>
        <v>UNI</v>
      </c>
      <c r="H53" s="26">
        <f>IFERROR(VLOOKUP(Tabla2[[#This Row],[CODIGO]],Tabla1[],10,0),"")</f>
        <v>55</v>
      </c>
      <c r="I53" s="7">
        <v>28</v>
      </c>
      <c r="J53" s="29" t="s">
        <v>98</v>
      </c>
      <c r="K53" s="26" t="s">
        <v>44</v>
      </c>
      <c r="L53" s="67" t="s">
        <v>308</v>
      </c>
      <c r="M53" s="67" t="s">
        <v>472</v>
      </c>
      <c r="N53" s="70">
        <v>10</v>
      </c>
      <c r="O53" s="70">
        <f>Tabla2[[#This Row],[CANTIDAD]]*Tabla2[[#This Row],[PREC. UNITARIO]]</f>
        <v>280</v>
      </c>
      <c r="P53" t="s">
        <v>549</v>
      </c>
      <c r="R53" t="str">
        <f>Tabla2[[#This Row],[QUIEN RECIBE]]&amp;"-"&amp;TEXT(Tabla2[[#This Row],[FECHA]],"dd/mm/yyyy")</f>
        <v>ACUACHI LANCHIPA ERNESTO ALONSO-06/09/2025</v>
      </c>
    </row>
    <row r="54" spans="2:18" ht="20.45" hidden="1" customHeight="1" x14ac:dyDescent="0.25">
      <c r="B54" s="5">
        <v>45906</v>
      </c>
      <c r="C54" s="2" t="str">
        <f>IFERROR(_xlfn.XLOOKUP(Tabla2[[#This Row],[PRODUCTO]],Tabla1[PRODUCTO],Tabla1[CODIGO]),"")</f>
        <v>IE-4</v>
      </c>
      <c r="D54" s="31" t="s">
        <v>129</v>
      </c>
      <c r="E54" s="31" t="str">
        <f>IFERROR(VLOOKUP(Tabla2[[#This Row],[CODIGO]],Tabla1[],3,0),"")</f>
        <v>INSTALACIONES ELECTRICAS</v>
      </c>
      <c r="F54" s="28" t="str">
        <f>IFERROR(VLOOKUP(Tabla2[[#This Row],[CODIGO]],Tabla1[],5,0),"")</f>
        <v>ALMACEN TICAPAMPA</v>
      </c>
      <c r="G54" s="26" t="str">
        <f>IFERROR(VLOOKUP(Tabla2[[#This Row],[CODIGO]],Tabla1[],6,0),"")</f>
        <v>UNI</v>
      </c>
      <c r="H54" s="26">
        <f>IFERROR(VLOOKUP(Tabla2[[#This Row],[CODIGO]],Tabla1[],10,0),"")</f>
        <v>10</v>
      </c>
      <c r="I54" s="7">
        <v>10</v>
      </c>
      <c r="J54" s="29" t="s">
        <v>98</v>
      </c>
      <c r="K54" s="26" t="str">
        <f>IFERROR(VLOOKUP(Tabla2[[#This Row],[CODIGO]],Tabla1[],11,0),"")</f>
        <v>COMPRA</v>
      </c>
      <c r="L54" s="67" t="s">
        <v>308</v>
      </c>
      <c r="M54" s="67" t="s">
        <v>472</v>
      </c>
      <c r="N54" s="70">
        <v>8.5</v>
      </c>
      <c r="O54" s="70">
        <f>Tabla2[[#This Row],[CANTIDAD]]*Tabla2[[#This Row],[PREC. UNITARIO]]</f>
        <v>85</v>
      </c>
      <c r="P54" t="s">
        <v>549</v>
      </c>
      <c r="R54" t="str">
        <f>Tabla2[[#This Row],[QUIEN RECIBE]]&amp;"-"&amp;TEXT(Tabla2[[#This Row],[FECHA]],"dd/mm/yyyy")</f>
        <v>ACUACHI LANCHIPA ERNESTO ALONSO-06/09/2025</v>
      </c>
    </row>
    <row r="55" spans="2:18" ht="20.45" hidden="1" customHeight="1" x14ac:dyDescent="0.25">
      <c r="B55" s="5">
        <v>45906</v>
      </c>
      <c r="C55" s="2" t="str">
        <f>IFERROR(_xlfn.XLOOKUP(Tabla2[[#This Row],[PRODUCTO]],Tabla1[PRODUCTO],Tabla1[CODIGO]),"")</f>
        <v>IE-5</v>
      </c>
      <c r="D55" s="31" t="s">
        <v>130</v>
      </c>
      <c r="E55" s="31" t="str">
        <f>IFERROR(VLOOKUP(Tabla2[[#This Row],[CODIGO]],Tabla1[],3,0),"")</f>
        <v>INSTALACIONES ELECTRICAS</v>
      </c>
      <c r="F55" s="28" t="str">
        <f>IFERROR(VLOOKUP(Tabla2[[#This Row],[CODIGO]],Tabla1[],5,0),"")</f>
        <v>ALMACEN TICAPAMPA</v>
      </c>
      <c r="G55" s="26" t="str">
        <f>IFERROR(VLOOKUP(Tabla2[[#This Row],[CODIGO]],Tabla1[],6,0),"")</f>
        <v>UNI</v>
      </c>
      <c r="H55" s="26">
        <f>IFERROR(VLOOKUP(Tabla2[[#This Row],[CODIGO]],Tabla1[],10,0),"")</f>
        <v>11</v>
      </c>
      <c r="I55" s="7">
        <v>11</v>
      </c>
      <c r="J55" s="29" t="s">
        <v>98</v>
      </c>
      <c r="K55" s="26" t="str">
        <f>IFERROR(VLOOKUP(Tabla2[[#This Row],[CODIGO]],Tabla1[],11,0),"")</f>
        <v>COMPRA</v>
      </c>
      <c r="L55" s="67" t="s">
        <v>308</v>
      </c>
      <c r="M55" s="67" t="s">
        <v>472</v>
      </c>
      <c r="N55" s="70">
        <v>6.5</v>
      </c>
      <c r="O55" s="70">
        <f>Tabla2[[#This Row],[CANTIDAD]]*Tabla2[[#This Row],[PREC. UNITARIO]]</f>
        <v>71.5</v>
      </c>
      <c r="P55" t="s">
        <v>549</v>
      </c>
      <c r="R55" t="str">
        <f>Tabla2[[#This Row],[QUIEN RECIBE]]&amp;"-"&amp;TEXT(Tabla2[[#This Row],[FECHA]],"dd/mm/yyyy")</f>
        <v>ACUACHI LANCHIPA ERNESTO ALONSO-06/09/2025</v>
      </c>
    </row>
    <row r="56" spans="2:18" ht="20.45" hidden="1" customHeight="1" x14ac:dyDescent="0.25">
      <c r="B56" s="5">
        <v>45906</v>
      </c>
      <c r="C56" s="2" t="str">
        <f>IFERROR(_xlfn.XLOOKUP(Tabla2[[#This Row],[PRODUCTO]],Tabla1[PRODUCTO],Tabla1[CODIGO]),"")</f>
        <v>IE-6</v>
      </c>
      <c r="D56" s="31" t="s">
        <v>131</v>
      </c>
      <c r="E56" s="31" t="str">
        <f>IFERROR(VLOOKUP(Tabla2[[#This Row],[CODIGO]],Tabla1[],3,0),"")</f>
        <v>INSTALACIONES ELECTRICAS</v>
      </c>
      <c r="F56" s="28" t="str">
        <f>IFERROR(VLOOKUP(Tabla2[[#This Row],[CODIGO]],Tabla1[],5,0),"")</f>
        <v>ALMACEN TICAPAMPA</v>
      </c>
      <c r="G56" s="26" t="str">
        <f>IFERROR(VLOOKUP(Tabla2[[#This Row],[CODIGO]],Tabla1[],6,0),"")</f>
        <v>ROL</v>
      </c>
      <c r="H56" s="26">
        <f>IFERROR(VLOOKUP(Tabla2[[#This Row],[CODIGO]],Tabla1[],10,0),"")</f>
        <v>2</v>
      </c>
      <c r="I56" s="7">
        <v>2</v>
      </c>
      <c r="J56" s="29" t="s">
        <v>98</v>
      </c>
      <c r="K56" s="26" t="str">
        <f>IFERROR(VLOOKUP(Tabla2[[#This Row],[CODIGO]],Tabla1[],11,0),"")</f>
        <v>COMPRA</v>
      </c>
      <c r="L56" s="67" t="s">
        <v>308</v>
      </c>
      <c r="M56" s="67" t="s">
        <v>472</v>
      </c>
      <c r="N56" s="70">
        <v>200</v>
      </c>
      <c r="O56" s="70">
        <f>Tabla2[[#This Row],[CANTIDAD]]*Tabla2[[#This Row],[PREC. UNITARIO]]</f>
        <v>400</v>
      </c>
      <c r="P56" t="s">
        <v>549</v>
      </c>
      <c r="R56" t="str">
        <f>Tabla2[[#This Row],[QUIEN RECIBE]]&amp;"-"&amp;TEXT(Tabla2[[#This Row],[FECHA]],"dd/mm/yyyy")</f>
        <v>ACUACHI LANCHIPA ERNESTO ALONSO-06/09/2025</v>
      </c>
    </row>
    <row r="57" spans="2:18" ht="20.45" hidden="1" customHeight="1" x14ac:dyDescent="0.25">
      <c r="B57" s="5">
        <v>45906</v>
      </c>
      <c r="C57" s="2" t="str">
        <f>IFERROR(_xlfn.XLOOKUP(Tabla2[[#This Row],[PRODUCTO]],Tabla1[PRODUCTO],Tabla1[CODIGO]),"")</f>
        <v>ISA-1</v>
      </c>
      <c r="D57" s="31" t="s">
        <v>132</v>
      </c>
      <c r="E57" s="31" t="str">
        <f>IFERROR(VLOOKUP(Tabla2[[#This Row],[CODIGO]],Tabla1[],3,0),"")</f>
        <v>INSTALACIONES SANITARIAS</v>
      </c>
      <c r="F57" s="28" t="str">
        <f>IFERROR(VLOOKUP(Tabla2[[#This Row],[CODIGO]],Tabla1[],5,0),"")</f>
        <v>ALMACEN TICAPAMPA</v>
      </c>
      <c r="G57" s="26" t="str">
        <f>IFERROR(VLOOKUP(Tabla2[[#This Row],[CODIGO]],Tabla1[],6,0),"")</f>
        <v>UNI</v>
      </c>
      <c r="H57" s="26">
        <f>IFERROR(VLOOKUP(Tabla2[[#This Row],[CODIGO]],Tabla1[],10,0),"")</f>
        <v>7</v>
      </c>
      <c r="I57" s="7">
        <v>7</v>
      </c>
      <c r="J57" s="29" t="s">
        <v>98</v>
      </c>
      <c r="K57" s="26" t="str">
        <f>IFERROR(VLOOKUP(Tabla2[[#This Row],[CODIGO]],Tabla1[],11,0),"")</f>
        <v>COMPRA</v>
      </c>
      <c r="L57" s="67" t="s">
        <v>308</v>
      </c>
      <c r="M57" s="67" t="s">
        <v>472</v>
      </c>
      <c r="N57" s="70">
        <v>15</v>
      </c>
      <c r="O57" s="70">
        <f>Tabla2[[#This Row],[CANTIDAD]]*Tabla2[[#This Row],[PREC. UNITARIO]]</f>
        <v>105</v>
      </c>
      <c r="P57" t="s">
        <v>549</v>
      </c>
      <c r="R57" t="str">
        <f>Tabla2[[#This Row],[QUIEN RECIBE]]&amp;"-"&amp;TEXT(Tabla2[[#This Row],[FECHA]],"dd/mm/yyyy")</f>
        <v>ACUACHI LANCHIPA ERNESTO ALONSO-06/09/2025</v>
      </c>
    </row>
    <row r="58" spans="2:18" ht="20.45" hidden="1" customHeight="1" x14ac:dyDescent="0.25">
      <c r="B58" s="5">
        <v>45906</v>
      </c>
      <c r="C58" s="2" t="str">
        <f>IFERROR(_xlfn.XLOOKUP(Tabla2[[#This Row],[PRODUCTO]],Tabla1[PRODUCTO],Tabla1[CODIGO]),"")</f>
        <v>ISA-2</v>
      </c>
      <c r="D58" s="31" t="s">
        <v>135</v>
      </c>
      <c r="E58" s="31" t="str">
        <f>IFERROR(VLOOKUP(Tabla2[[#This Row],[CODIGO]],Tabla1[],3,0),"")</f>
        <v>INSTALACIONES SANITARIAS</v>
      </c>
      <c r="F58" s="28" t="str">
        <f>IFERROR(VLOOKUP(Tabla2[[#This Row],[CODIGO]],Tabla1[],5,0),"")</f>
        <v>ALMACEN TICAPAMPA</v>
      </c>
      <c r="G58" s="26" t="str">
        <f>IFERROR(VLOOKUP(Tabla2[[#This Row],[CODIGO]],Tabla1[],6,0),"")</f>
        <v>UNI</v>
      </c>
      <c r="H58" s="26">
        <f>IFERROR(VLOOKUP(Tabla2[[#This Row],[CODIGO]],Tabla1[],10,0),"")</f>
        <v>10</v>
      </c>
      <c r="I58" s="7">
        <v>10</v>
      </c>
      <c r="J58" s="29" t="s">
        <v>98</v>
      </c>
      <c r="K58" s="26" t="str">
        <f>IFERROR(VLOOKUP(Tabla2[[#This Row],[CODIGO]],Tabla1[],11,0),"")</f>
        <v>COMPRA</v>
      </c>
      <c r="L58" s="67" t="s">
        <v>308</v>
      </c>
      <c r="M58" s="67" t="s">
        <v>472</v>
      </c>
      <c r="N58" s="70">
        <v>12.5</v>
      </c>
      <c r="O58" s="70">
        <f>Tabla2[[#This Row],[CANTIDAD]]*Tabla2[[#This Row],[PREC. UNITARIO]]</f>
        <v>125</v>
      </c>
      <c r="P58" t="s">
        <v>549</v>
      </c>
      <c r="R58" t="str">
        <f>Tabla2[[#This Row],[QUIEN RECIBE]]&amp;"-"&amp;TEXT(Tabla2[[#This Row],[FECHA]],"dd/mm/yyyy")</f>
        <v>ACUACHI LANCHIPA ERNESTO ALONSO-06/09/2025</v>
      </c>
    </row>
    <row r="59" spans="2:18" ht="20.45" hidden="1" customHeight="1" x14ac:dyDescent="0.25">
      <c r="B59" s="5">
        <v>45906</v>
      </c>
      <c r="C59" s="2" t="str">
        <f>IFERROR(_xlfn.XLOOKUP(Tabla2[[#This Row],[PRODUCTO]],Tabla1[PRODUCTO],Tabla1[CODIGO]),"")</f>
        <v>ISA-3</v>
      </c>
      <c r="D59" s="31" t="s">
        <v>136</v>
      </c>
      <c r="E59" s="31" t="str">
        <f>IFERROR(VLOOKUP(Tabla2[[#This Row],[CODIGO]],Tabla1[],3,0),"")</f>
        <v>INSTALACIONES SANITARIAS</v>
      </c>
      <c r="F59" s="28" t="str">
        <f>IFERROR(VLOOKUP(Tabla2[[#This Row],[CODIGO]],Tabla1[],5,0),"")</f>
        <v>ALMACEN TICAPAMPA</v>
      </c>
      <c r="G59" s="26" t="str">
        <f>IFERROR(VLOOKUP(Tabla2[[#This Row],[CODIGO]],Tabla1[],6,0),"")</f>
        <v>UNI</v>
      </c>
      <c r="H59" s="26">
        <f>IFERROR(VLOOKUP(Tabla2[[#This Row],[CODIGO]],Tabla1[],10,0),"")</f>
        <v>30</v>
      </c>
      <c r="I59" s="7">
        <v>30</v>
      </c>
      <c r="J59" s="29" t="s">
        <v>98</v>
      </c>
      <c r="K59" s="26" t="str">
        <f>IFERROR(VLOOKUP(Tabla2[[#This Row],[CODIGO]],Tabla1[],11,0),"")</f>
        <v>COMPRA</v>
      </c>
      <c r="L59" s="67" t="s">
        <v>308</v>
      </c>
      <c r="M59" s="67" t="s">
        <v>472</v>
      </c>
      <c r="N59" s="70">
        <v>2</v>
      </c>
      <c r="O59" s="70">
        <f>Tabla2[[#This Row],[CANTIDAD]]*Tabla2[[#This Row],[PREC. UNITARIO]]</f>
        <v>60</v>
      </c>
      <c r="P59" t="s">
        <v>549</v>
      </c>
      <c r="R59" t="str">
        <f>Tabla2[[#This Row],[QUIEN RECIBE]]&amp;"-"&amp;TEXT(Tabla2[[#This Row],[FECHA]],"dd/mm/yyyy")</f>
        <v>ACUACHI LANCHIPA ERNESTO ALONSO-06/09/2025</v>
      </c>
    </row>
    <row r="60" spans="2:18" ht="20.45" hidden="1" customHeight="1" x14ac:dyDescent="0.25">
      <c r="B60" s="5">
        <v>45906</v>
      </c>
      <c r="C60" s="2" t="str">
        <f>IFERROR(_xlfn.XLOOKUP(Tabla2[[#This Row],[PRODUCTO]],Tabla1[PRODUCTO],Tabla1[CODIGO]),"")</f>
        <v>ISA-4</v>
      </c>
      <c r="D60" s="31" t="s">
        <v>137</v>
      </c>
      <c r="E60" s="31" t="str">
        <f>IFERROR(VLOOKUP(Tabla2[[#This Row],[CODIGO]],Tabla1[],3,0),"")</f>
        <v>INSTALACIONES SANITARIAS</v>
      </c>
      <c r="F60" s="28" t="str">
        <f>IFERROR(VLOOKUP(Tabla2[[#This Row],[CODIGO]],Tabla1[],5,0),"")</f>
        <v>ALMACEN TICAPAMPA</v>
      </c>
      <c r="G60" s="26" t="str">
        <f>IFERROR(VLOOKUP(Tabla2[[#This Row],[CODIGO]],Tabla1[],6,0),"")</f>
        <v>UNI</v>
      </c>
      <c r="H60" s="26">
        <f>IFERROR(VLOOKUP(Tabla2[[#This Row],[CODIGO]],Tabla1[],10,0),"")</f>
        <v>30</v>
      </c>
      <c r="I60" s="7">
        <v>30</v>
      </c>
      <c r="J60" s="29" t="s">
        <v>98</v>
      </c>
      <c r="K60" s="26" t="str">
        <f>IFERROR(VLOOKUP(Tabla2[[#This Row],[CODIGO]],Tabla1[],11,0),"")</f>
        <v>COMPRA</v>
      </c>
      <c r="L60" s="67" t="s">
        <v>308</v>
      </c>
      <c r="M60" s="67" t="s">
        <v>472</v>
      </c>
      <c r="N60" s="70">
        <v>3</v>
      </c>
      <c r="O60" s="70">
        <f>Tabla2[[#This Row],[CANTIDAD]]*Tabla2[[#This Row],[PREC. UNITARIO]]</f>
        <v>90</v>
      </c>
      <c r="P60" t="s">
        <v>549</v>
      </c>
      <c r="R60" t="str">
        <f>Tabla2[[#This Row],[QUIEN RECIBE]]&amp;"-"&amp;TEXT(Tabla2[[#This Row],[FECHA]],"dd/mm/yyyy")</f>
        <v>ACUACHI LANCHIPA ERNESTO ALONSO-06/09/2025</v>
      </c>
    </row>
    <row r="61" spans="2:18" ht="20.45" hidden="1" customHeight="1" x14ac:dyDescent="0.25">
      <c r="B61" s="5">
        <v>45906</v>
      </c>
      <c r="C61" s="2" t="str">
        <f>IFERROR(_xlfn.XLOOKUP(Tabla2[[#This Row],[PRODUCTO]],Tabla1[PRODUCTO],Tabla1[CODIGO]),"")</f>
        <v>ISA-5</v>
      </c>
      <c r="D61" s="31" t="s">
        <v>138</v>
      </c>
      <c r="E61" s="31" t="str">
        <f>IFERROR(VLOOKUP(Tabla2[[#This Row],[CODIGO]],Tabla1[],3,0),"")</f>
        <v>INSTALACIONES SANITARIAS</v>
      </c>
      <c r="F61" s="28" t="str">
        <f>IFERROR(VLOOKUP(Tabla2[[#This Row],[CODIGO]],Tabla1[],5,0),"")</f>
        <v>ALMACEN TICAPAMPA</v>
      </c>
      <c r="G61" s="26" t="str">
        <f>IFERROR(VLOOKUP(Tabla2[[#This Row],[CODIGO]],Tabla1[],6,0),"")</f>
        <v>UNI</v>
      </c>
      <c r="H61" s="26">
        <f>IFERROR(VLOOKUP(Tabla2[[#This Row],[CODIGO]],Tabla1[],10,0),"")</f>
        <v>2</v>
      </c>
      <c r="I61" s="7">
        <v>2</v>
      </c>
      <c r="J61" s="29" t="s">
        <v>98</v>
      </c>
      <c r="K61" s="26" t="str">
        <f>IFERROR(VLOOKUP(Tabla2[[#This Row],[CODIGO]],Tabla1[],11,0),"")</f>
        <v>COMPRA</v>
      </c>
      <c r="L61" s="67" t="s">
        <v>308</v>
      </c>
      <c r="M61" s="67" t="s">
        <v>472</v>
      </c>
      <c r="N61" s="70">
        <v>10</v>
      </c>
      <c r="O61" s="70">
        <f>Tabla2[[#This Row],[CANTIDAD]]*Tabla2[[#This Row],[PREC. UNITARIO]]</f>
        <v>20</v>
      </c>
      <c r="P61" t="s">
        <v>549</v>
      </c>
      <c r="R61" t="str">
        <f>Tabla2[[#This Row],[QUIEN RECIBE]]&amp;"-"&amp;TEXT(Tabla2[[#This Row],[FECHA]],"dd/mm/yyyy")</f>
        <v>ACUACHI LANCHIPA ERNESTO ALONSO-06/09/2025</v>
      </c>
    </row>
    <row r="62" spans="2:18" ht="20.45" hidden="1" customHeight="1" x14ac:dyDescent="0.25">
      <c r="B62" s="5">
        <v>45906</v>
      </c>
      <c r="C62" s="2" t="str">
        <f>IFERROR(_xlfn.XLOOKUP(Tabla2[[#This Row],[PRODUCTO]],Tabla1[PRODUCTO],Tabla1[CODIGO]),"")</f>
        <v>ISA-6</v>
      </c>
      <c r="D62" s="31" t="s">
        <v>139</v>
      </c>
      <c r="E62" s="31" t="str">
        <f>IFERROR(VLOOKUP(Tabla2[[#This Row],[CODIGO]],Tabla1[],3,0),"")</f>
        <v>INSTALACIONES SANITARIAS</v>
      </c>
      <c r="F62" s="28" t="str">
        <f>IFERROR(VLOOKUP(Tabla2[[#This Row],[CODIGO]],Tabla1[],5,0),"")</f>
        <v>ALMACEN TICAPAMPA</v>
      </c>
      <c r="G62" s="26" t="str">
        <f>IFERROR(VLOOKUP(Tabla2[[#This Row],[CODIGO]],Tabla1[],6,0),"")</f>
        <v>UNI</v>
      </c>
      <c r="H62" s="26">
        <f>IFERROR(VLOOKUP(Tabla2[[#This Row],[CODIGO]],Tabla1[],10,0),"")</f>
        <v>97</v>
      </c>
      <c r="I62" s="7">
        <v>100</v>
      </c>
      <c r="J62" s="29" t="s">
        <v>98</v>
      </c>
      <c r="K62" s="26" t="str">
        <f>IFERROR(VLOOKUP(Tabla2[[#This Row],[CODIGO]],Tabla1[],11,0),"")</f>
        <v>COMPRA</v>
      </c>
      <c r="L62" s="67" t="s">
        <v>308</v>
      </c>
      <c r="M62" s="67" t="s">
        <v>472</v>
      </c>
      <c r="N62" s="70">
        <v>2</v>
      </c>
      <c r="O62" s="70">
        <f>Tabla2[[#This Row],[CANTIDAD]]*Tabla2[[#This Row],[PREC. UNITARIO]]</f>
        <v>200</v>
      </c>
      <c r="P62" t="s">
        <v>549</v>
      </c>
      <c r="R62" t="str">
        <f>Tabla2[[#This Row],[QUIEN RECIBE]]&amp;"-"&amp;TEXT(Tabla2[[#This Row],[FECHA]],"dd/mm/yyyy")</f>
        <v>ACUACHI LANCHIPA ERNESTO ALONSO-06/09/2025</v>
      </c>
    </row>
    <row r="63" spans="2:18" ht="20.45" hidden="1" customHeight="1" x14ac:dyDescent="0.25">
      <c r="B63" s="5">
        <v>45906</v>
      </c>
      <c r="C63" s="2" t="str">
        <f>IFERROR(_xlfn.XLOOKUP(Tabla2[[#This Row],[PRODUCTO]],Tabla1[PRODUCTO],Tabla1[CODIGO]),"")</f>
        <v>IE-7</v>
      </c>
      <c r="D63" s="31" t="s">
        <v>140</v>
      </c>
      <c r="E63" s="31" t="str">
        <f>IFERROR(VLOOKUP(Tabla2[[#This Row],[CODIGO]],Tabla1[],3,0),"")</f>
        <v>INSTALACIONES ELECTRICAS</v>
      </c>
      <c r="F63" s="28" t="str">
        <f>IFERROR(VLOOKUP(Tabla2[[#This Row],[CODIGO]],Tabla1[],5,0),"")</f>
        <v>ALMACEN TICAPAMPA</v>
      </c>
      <c r="G63" s="26" t="str">
        <f>IFERROR(VLOOKUP(Tabla2[[#This Row],[CODIGO]],Tabla1[],6,0),"")</f>
        <v>UNI</v>
      </c>
      <c r="H63" s="26">
        <f>IFERROR(VLOOKUP(Tabla2[[#This Row],[CODIGO]],Tabla1[],10,0),"")</f>
        <v>15</v>
      </c>
      <c r="I63" s="7">
        <v>15</v>
      </c>
      <c r="J63" s="29" t="s">
        <v>98</v>
      </c>
      <c r="K63" s="26" t="str">
        <f>IFERROR(VLOOKUP(Tabla2[[#This Row],[CODIGO]],Tabla1[],11,0),"")</f>
        <v>COMPRA</v>
      </c>
      <c r="L63" s="67" t="s">
        <v>308</v>
      </c>
      <c r="M63" s="67" t="s">
        <v>472</v>
      </c>
      <c r="N63" s="70">
        <v>2.5</v>
      </c>
      <c r="O63" s="70">
        <f>Tabla2[[#This Row],[CANTIDAD]]*Tabla2[[#This Row],[PREC. UNITARIO]]</f>
        <v>37.5</v>
      </c>
      <c r="P63" t="s">
        <v>549</v>
      </c>
      <c r="R63" t="str">
        <f>Tabla2[[#This Row],[QUIEN RECIBE]]&amp;"-"&amp;TEXT(Tabla2[[#This Row],[FECHA]],"dd/mm/yyyy")</f>
        <v>ACUACHI LANCHIPA ERNESTO ALONSO-06/09/2025</v>
      </c>
    </row>
    <row r="64" spans="2:18" ht="20.45" hidden="1" customHeight="1" x14ac:dyDescent="0.25">
      <c r="B64" s="5">
        <v>45906</v>
      </c>
      <c r="C64" s="2" t="str">
        <f>IFERROR(_xlfn.XLOOKUP(Tabla2[[#This Row],[PRODUCTO]],Tabla1[PRODUCTO],Tabla1[CODIGO]),"")</f>
        <v>IE-8</v>
      </c>
      <c r="D64" s="31" t="s">
        <v>141</v>
      </c>
      <c r="E64" s="31" t="str">
        <f>IFERROR(VLOOKUP(Tabla2[[#This Row],[CODIGO]],Tabla1[],3,0),"")</f>
        <v>INSTALACIONES ELECTRICAS</v>
      </c>
      <c r="F64" s="28" t="str">
        <f>IFERROR(VLOOKUP(Tabla2[[#This Row],[CODIGO]],Tabla1[],5,0),"")</f>
        <v>ALMACEN TICAPAMPA</v>
      </c>
      <c r="G64" s="26" t="str">
        <f>IFERROR(VLOOKUP(Tabla2[[#This Row],[CODIGO]],Tabla1[],6,0),"")</f>
        <v>UNI</v>
      </c>
      <c r="H64" s="26">
        <f>IFERROR(VLOOKUP(Tabla2[[#This Row],[CODIGO]],Tabla1[],10,0),"")</f>
        <v>25</v>
      </c>
      <c r="I64" s="7">
        <v>25</v>
      </c>
      <c r="J64" s="29" t="s">
        <v>98</v>
      </c>
      <c r="K64" s="26" t="str">
        <f>IFERROR(VLOOKUP(Tabla2[[#This Row],[CODIGO]],Tabla1[],11,0),"")</f>
        <v>COMPRA</v>
      </c>
      <c r="L64" s="67" t="s">
        <v>308</v>
      </c>
      <c r="M64" s="67" t="s">
        <v>472</v>
      </c>
      <c r="N64" s="70">
        <v>6.5</v>
      </c>
      <c r="O64" s="70">
        <f>Tabla2[[#This Row],[CANTIDAD]]*Tabla2[[#This Row],[PREC. UNITARIO]]</f>
        <v>162.5</v>
      </c>
      <c r="P64" t="s">
        <v>549</v>
      </c>
      <c r="R64" t="str">
        <f>Tabla2[[#This Row],[QUIEN RECIBE]]&amp;"-"&amp;TEXT(Tabla2[[#This Row],[FECHA]],"dd/mm/yyyy")</f>
        <v>ACUACHI LANCHIPA ERNESTO ALONSO-06/09/2025</v>
      </c>
    </row>
    <row r="65" spans="2:18" ht="20.45" hidden="1" customHeight="1" x14ac:dyDescent="0.25">
      <c r="B65" s="5">
        <v>45906</v>
      </c>
      <c r="C65" s="2" t="str">
        <f>IFERROR(_xlfn.XLOOKUP(Tabla2[[#This Row],[PRODUCTO]],Tabla1[PRODUCTO],Tabla1[CODIGO]),"")</f>
        <v>ISA-7</v>
      </c>
      <c r="D65" s="31" t="s">
        <v>142</v>
      </c>
      <c r="E65" s="31" t="str">
        <f>IFERROR(VLOOKUP(Tabla2[[#This Row],[CODIGO]],Tabla1[],3,0),"")</f>
        <v>INSTALACIONES SANITARIAS</v>
      </c>
      <c r="F65" s="28" t="str">
        <f>IFERROR(VLOOKUP(Tabla2[[#This Row],[CODIGO]],Tabla1[],5,0),"")</f>
        <v>ALMACEN TICAPAMPA</v>
      </c>
      <c r="G65" s="26" t="str">
        <f>IFERROR(VLOOKUP(Tabla2[[#This Row],[CODIGO]],Tabla1[],6,0),"")</f>
        <v>UNI</v>
      </c>
      <c r="H65" s="26">
        <f>IFERROR(VLOOKUP(Tabla2[[#This Row],[CODIGO]],Tabla1[],10,0),"")</f>
        <v>10</v>
      </c>
      <c r="I65" s="7">
        <v>10</v>
      </c>
      <c r="J65" s="29" t="s">
        <v>98</v>
      </c>
      <c r="K65" s="26" t="str">
        <f>IFERROR(VLOOKUP(Tabla2[[#This Row],[CODIGO]],Tabla1[],11,0),"")</f>
        <v>COMPRA</v>
      </c>
      <c r="L65" s="67" t="s">
        <v>308</v>
      </c>
      <c r="M65" s="67" t="s">
        <v>472</v>
      </c>
      <c r="N65" s="70">
        <v>4</v>
      </c>
      <c r="O65" s="70">
        <f>Tabla2[[#This Row],[CANTIDAD]]*Tabla2[[#This Row],[PREC. UNITARIO]]</f>
        <v>40</v>
      </c>
      <c r="P65" t="s">
        <v>549</v>
      </c>
      <c r="R65" t="str">
        <f>Tabla2[[#This Row],[QUIEN RECIBE]]&amp;"-"&amp;TEXT(Tabla2[[#This Row],[FECHA]],"dd/mm/yyyy")</f>
        <v>ACUACHI LANCHIPA ERNESTO ALONSO-06/09/2025</v>
      </c>
    </row>
    <row r="66" spans="2:18" ht="20.45" hidden="1" customHeight="1" x14ac:dyDescent="0.25">
      <c r="B66" s="5">
        <v>45906</v>
      </c>
      <c r="C66" s="2" t="str">
        <f>IFERROR(_xlfn.XLOOKUP(Tabla2[[#This Row],[PRODUCTO]],Tabla1[PRODUCTO],Tabla1[CODIGO]),"")</f>
        <v>UTC-1</v>
      </c>
      <c r="D66" s="31" t="s">
        <v>146</v>
      </c>
      <c r="E66" s="31" t="str">
        <f>IFERROR(VLOOKUP(Tabla2[[#This Row],[CODIGO]],Tabla1[],3,0),"")</f>
        <v>UTILES DE CAMA</v>
      </c>
      <c r="F66" s="28" t="str">
        <f>IFERROR(VLOOKUP(Tabla2[[#This Row],[CODIGO]],Tabla1[],5,0),"")</f>
        <v>ALMACEN TICAPAMPA</v>
      </c>
      <c r="G66" s="26" t="str">
        <f>IFERROR(VLOOKUP(Tabla2[[#This Row],[CODIGO]],Tabla1[],6,0),"")</f>
        <v>UNI</v>
      </c>
      <c r="H66" s="26">
        <f>IFERROR(VLOOKUP(Tabla2[[#This Row],[CODIGO]],Tabla1[],10,0),"")</f>
        <v>4</v>
      </c>
      <c r="I66" s="7">
        <v>4</v>
      </c>
      <c r="J66" s="29" t="s">
        <v>98</v>
      </c>
      <c r="K66" s="26" t="str">
        <f>IFERROR(VLOOKUP(Tabla2[[#This Row],[CODIGO]],Tabla1[],11,0),"")</f>
        <v>COMPRA</v>
      </c>
      <c r="L66" s="67" t="s">
        <v>308</v>
      </c>
      <c r="M66" s="67" t="s">
        <v>472</v>
      </c>
      <c r="N66" s="70">
        <v>275</v>
      </c>
      <c r="O66" s="70">
        <f>Tabla2[[#This Row],[CANTIDAD]]*Tabla2[[#This Row],[PREC. UNITARIO]]</f>
        <v>1100</v>
      </c>
      <c r="R66" t="str">
        <f>Tabla2[[#This Row],[QUIEN RECIBE]]&amp;"-"&amp;TEXT(Tabla2[[#This Row],[FECHA]],"dd/mm/yyyy")</f>
        <v>ACUACHI LANCHIPA ERNESTO ALONSO-06/09/2025</v>
      </c>
    </row>
    <row r="67" spans="2:18" ht="20.45" hidden="1" customHeight="1" x14ac:dyDescent="0.25">
      <c r="B67" s="5">
        <v>45906</v>
      </c>
      <c r="C67" s="2" t="str">
        <f>IFERROR(_xlfn.XLOOKUP(Tabla2[[#This Row],[PRODUCTO]],Tabla1[PRODUCTO],Tabla1[CODIGO]),"")</f>
        <v>UTC-2</v>
      </c>
      <c r="D67" s="31" t="s">
        <v>147</v>
      </c>
      <c r="E67" s="31" t="str">
        <f>IFERROR(VLOOKUP(Tabla2[[#This Row],[CODIGO]],Tabla1[],3,0),"")</f>
        <v>UTILES DE CAMA</v>
      </c>
      <c r="F67" s="28" t="str">
        <f>IFERROR(VLOOKUP(Tabla2[[#This Row],[CODIGO]],Tabla1[],5,0),"")</f>
        <v>ALMACEN TICAPAMPA</v>
      </c>
      <c r="G67" s="26" t="str">
        <f>IFERROR(VLOOKUP(Tabla2[[#This Row],[CODIGO]],Tabla1[],6,0),"")</f>
        <v>UNI</v>
      </c>
      <c r="H67" s="26">
        <f>IFERROR(VLOOKUP(Tabla2[[#This Row],[CODIGO]],Tabla1[],10,0),"")</f>
        <v>4</v>
      </c>
      <c r="I67" s="7">
        <v>4</v>
      </c>
      <c r="J67" s="29" t="s">
        <v>98</v>
      </c>
      <c r="K67" s="26" t="str">
        <f>IFERROR(VLOOKUP(Tabla2[[#This Row],[CODIGO]],Tabla1[],11,0),"")</f>
        <v>COMPRA</v>
      </c>
      <c r="L67" s="67" t="s">
        <v>308</v>
      </c>
      <c r="M67" s="67" t="s">
        <v>472</v>
      </c>
      <c r="N67" s="70">
        <v>150</v>
      </c>
      <c r="O67" s="70">
        <f>Tabla2[[#This Row],[CANTIDAD]]*Tabla2[[#This Row],[PREC. UNITARIO]]</f>
        <v>600</v>
      </c>
      <c r="R67" t="str">
        <f>Tabla2[[#This Row],[QUIEN RECIBE]]&amp;"-"&amp;TEXT(Tabla2[[#This Row],[FECHA]],"dd/mm/yyyy")</f>
        <v>ACUACHI LANCHIPA ERNESTO ALONSO-06/09/2025</v>
      </c>
    </row>
    <row r="68" spans="2:18" ht="20.45" hidden="1" customHeight="1" x14ac:dyDescent="0.25">
      <c r="B68" s="5">
        <v>45906</v>
      </c>
      <c r="C68" s="2" t="str">
        <f>IFERROR(_xlfn.XLOOKUP(Tabla2[[#This Row],[PRODUCTO]],Tabla1[PRODUCTO],Tabla1[CODIGO]),"")</f>
        <v>OTR-1</v>
      </c>
      <c r="D68" s="31" t="s">
        <v>150</v>
      </c>
      <c r="E68" s="31" t="str">
        <f>IFERROR(VLOOKUP(Tabla2[[#This Row],[CODIGO]],Tabla1[],3,0),"")</f>
        <v>OTROS</v>
      </c>
      <c r="F68" s="28" t="str">
        <f>IFERROR(VLOOKUP(Tabla2[[#This Row],[CODIGO]],Tabla1[],5,0),"")</f>
        <v>ALMACEN TICAPAMPA</v>
      </c>
      <c r="G68" s="26" t="str">
        <f>IFERROR(VLOOKUP(Tabla2[[#This Row],[CODIGO]],Tabla1[],6,0),"")</f>
        <v>MT</v>
      </c>
      <c r="H68" s="26">
        <f>IFERROR(VLOOKUP(Tabla2[[#This Row],[CODIGO]],Tabla1[],10,0),"")</f>
        <v>100</v>
      </c>
      <c r="I68" s="7">
        <v>100</v>
      </c>
      <c r="J68" s="29" t="s">
        <v>98</v>
      </c>
      <c r="K68" s="26" t="str">
        <f>IFERROR(VLOOKUP(Tabla2[[#This Row],[CODIGO]],Tabla1[],11,0),"")</f>
        <v>COMPRA</v>
      </c>
      <c r="L68" s="67" t="s">
        <v>308</v>
      </c>
      <c r="M68" s="67" t="s">
        <v>472</v>
      </c>
      <c r="N68" s="70">
        <v>3.1</v>
      </c>
      <c r="O68" s="70">
        <f>Tabla2[[#This Row],[CANTIDAD]]*Tabla2[[#This Row],[PREC. UNITARIO]]</f>
        <v>310</v>
      </c>
      <c r="P68" t="s">
        <v>550</v>
      </c>
      <c r="R68" t="str">
        <f>Tabla2[[#This Row],[QUIEN RECIBE]]&amp;"-"&amp;TEXT(Tabla2[[#This Row],[FECHA]],"dd/mm/yyyy")</f>
        <v>ACUACHI LANCHIPA ERNESTO ALONSO-06/09/2025</v>
      </c>
    </row>
    <row r="69" spans="2:18" ht="20.45" hidden="1" customHeight="1" x14ac:dyDescent="0.25">
      <c r="B69" s="5">
        <v>45906</v>
      </c>
      <c r="C69" s="2" t="str">
        <f>IFERROR(_xlfn.XLOOKUP(Tabla2[[#This Row],[PRODUCTO]],Tabla1[PRODUCTO],Tabla1[CODIGO]),"")</f>
        <v>OTR-2</v>
      </c>
      <c r="D69" s="31" t="s">
        <v>151</v>
      </c>
      <c r="E69" s="31" t="str">
        <f>IFERROR(VLOOKUP(Tabla2[[#This Row],[CODIGO]],Tabla1[],3,0),"")</f>
        <v>OTROS</v>
      </c>
      <c r="F69" s="28" t="str">
        <f>IFERROR(VLOOKUP(Tabla2[[#This Row],[CODIGO]],Tabla1[],5,0),"")</f>
        <v>ALMACEN TICAPAMPA</v>
      </c>
      <c r="G69" s="26" t="str">
        <f>IFERROR(VLOOKUP(Tabla2[[#This Row],[CODIGO]],Tabla1[],6,0),"")</f>
        <v>MT</v>
      </c>
      <c r="H69" s="26">
        <f>IFERROR(VLOOKUP(Tabla2[[#This Row],[CODIGO]],Tabla1[],10,0),"")</f>
        <v>100</v>
      </c>
      <c r="I69" s="7">
        <v>100</v>
      </c>
      <c r="J69" s="29" t="s">
        <v>98</v>
      </c>
      <c r="K69" s="26" t="str">
        <f>IFERROR(VLOOKUP(Tabla2[[#This Row],[CODIGO]],Tabla1[],11,0),"")</f>
        <v>COMPRA</v>
      </c>
      <c r="L69" s="67" t="s">
        <v>308</v>
      </c>
      <c r="M69" s="67" t="s">
        <v>472</v>
      </c>
      <c r="N69" s="70">
        <v>4.7</v>
      </c>
      <c r="O69" s="70">
        <f>Tabla2[[#This Row],[CANTIDAD]]*Tabla2[[#This Row],[PREC. UNITARIO]]</f>
        <v>470</v>
      </c>
      <c r="P69" t="s">
        <v>550</v>
      </c>
      <c r="R69" t="str">
        <f>Tabla2[[#This Row],[QUIEN RECIBE]]&amp;"-"&amp;TEXT(Tabla2[[#This Row],[FECHA]],"dd/mm/yyyy")</f>
        <v>ACUACHI LANCHIPA ERNESTO ALONSO-06/09/2025</v>
      </c>
    </row>
    <row r="70" spans="2:18" ht="20.45" hidden="1" customHeight="1" x14ac:dyDescent="0.25">
      <c r="B70" s="5">
        <v>45906</v>
      </c>
      <c r="C70" s="2" t="str">
        <f>IFERROR(_xlfn.XLOOKUP(Tabla2[[#This Row],[PRODUCTO]],Tabla1[PRODUCTO],Tabla1[CODIGO]),"")</f>
        <v>OTR-3</v>
      </c>
      <c r="D70" s="31" t="s">
        <v>152</v>
      </c>
      <c r="E70" s="31" t="str">
        <f>IFERROR(VLOOKUP(Tabla2[[#This Row],[CODIGO]],Tabla1[],3,0),"")</f>
        <v>OTROS</v>
      </c>
      <c r="F70" s="28" t="str">
        <f>IFERROR(VLOOKUP(Tabla2[[#This Row],[CODIGO]],Tabla1[],5,0),"")</f>
        <v>ALMACEN TICAPAMPA</v>
      </c>
      <c r="G70" s="26" t="str">
        <f>IFERROR(VLOOKUP(Tabla2[[#This Row],[CODIGO]],Tabla1[],6,0),"")</f>
        <v>MT</v>
      </c>
      <c r="H70" s="26">
        <f>IFERROR(VLOOKUP(Tabla2[[#This Row],[CODIGO]],Tabla1[],10,0),"")</f>
        <v>200</v>
      </c>
      <c r="I70" s="7">
        <v>200</v>
      </c>
      <c r="J70" s="29" t="s">
        <v>98</v>
      </c>
      <c r="K70" s="26" t="str">
        <f>IFERROR(VLOOKUP(Tabla2[[#This Row],[CODIGO]],Tabla1[],11,0),"")</f>
        <v>COMPRA</v>
      </c>
      <c r="L70" s="67" t="s">
        <v>308</v>
      </c>
      <c r="M70" s="67" t="s">
        <v>472</v>
      </c>
      <c r="N70" s="70">
        <v>1.7</v>
      </c>
      <c r="O70" s="70">
        <f>Tabla2[[#This Row],[CANTIDAD]]*Tabla2[[#This Row],[PREC. UNITARIO]]</f>
        <v>340</v>
      </c>
      <c r="P70" t="s">
        <v>550</v>
      </c>
      <c r="R70" t="str">
        <f>Tabla2[[#This Row],[QUIEN RECIBE]]&amp;"-"&amp;TEXT(Tabla2[[#This Row],[FECHA]],"dd/mm/yyyy")</f>
        <v>ACUACHI LANCHIPA ERNESTO ALONSO-06/09/2025</v>
      </c>
    </row>
    <row r="71" spans="2:18" ht="20.45" hidden="1" customHeight="1" x14ac:dyDescent="0.25">
      <c r="B71" s="5">
        <v>45915</v>
      </c>
      <c r="C71" s="2" t="str">
        <f>IFERROR(_xlfn.XLOOKUP(Tabla2[[#This Row],[PRODUCTO]],Tabla1[PRODUCTO],Tabla1[CODIGO]),"")</f>
        <v>UE-1</v>
      </c>
      <c r="D71" s="31" t="s">
        <v>155</v>
      </c>
      <c r="E71" s="31" t="str">
        <f>IFERROR(VLOOKUP(Tabla2[[#This Row],[CODIGO]],Tabla1[],3,0),"")</f>
        <v>UTILES DE ESCRITORIO</v>
      </c>
      <c r="F71" s="28" t="str">
        <f>IFERROR(VLOOKUP(Tabla2[[#This Row],[CODIGO]],Tabla1[],5,0),"")</f>
        <v>ALMACEN TICAPAMPA</v>
      </c>
      <c r="G71" s="26" t="str">
        <f>IFERROR(VLOOKUP(Tabla2[[#This Row],[CODIGO]],Tabla1[],6,0),"")</f>
        <v>UNI</v>
      </c>
      <c r="H71" s="26">
        <f>IFERROR(VLOOKUP(Tabla2[[#This Row],[CODIGO]],Tabla1[],10,0),"")</f>
        <v>2</v>
      </c>
      <c r="I71" s="7">
        <v>2</v>
      </c>
      <c r="J71" s="29" t="s">
        <v>320</v>
      </c>
      <c r="K71" s="26" t="str">
        <f>IFERROR(VLOOKUP(Tabla2[[#This Row],[CODIGO]],Tabla1[],11,0),"")</f>
        <v>COMPRA</v>
      </c>
      <c r="L71" s="67" t="s">
        <v>308</v>
      </c>
      <c r="M71" s="67" t="s">
        <v>472</v>
      </c>
      <c r="N71" s="70">
        <v>28</v>
      </c>
      <c r="O71" s="70">
        <f>Tabla2[[#This Row],[CANTIDAD]]*Tabla2[[#This Row],[PREC. UNITARIO]]</f>
        <v>56</v>
      </c>
      <c r="R71" t="str">
        <f>Tabla2[[#This Row],[QUIEN RECIBE]]&amp;"-"&amp;TEXT(Tabla2[[#This Row],[FECHA]],"dd/mm/yyyy")</f>
        <v>ACUACHI LANCHIPA ERNESTO ALONSO-15/09/2025</v>
      </c>
    </row>
    <row r="72" spans="2:18" ht="20.45" hidden="1" customHeight="1" x14ac:dyDescent="0.25">
      <c r="B72" s="5">
        <v>45915</v>
      </c>
      <c r="C72" s="2" t="str">
        <f>IFERROR(_xlfn.XLOOKUP(Tabla2[[#This Row],[PRODUCTO]],Tabla1[PRODUCTO],Tabla1[CODIGO]),"")</f>
        <v>UE-2</v>
      </c>
      <c r="D72" s="31" t="s">
        <v>156</v>
      </c>
      <c r="E72" s="31" t="str">
        <f>IFERROR(VLOOKUP(Tabla2[[#This Row],[CODIGO]],Tabla1[],3,0),"")</f>
        <v>UTILES DE ESCRITORIO</v>
      </c>
      <c r="F72" s="28" t="str">
        <f>IFERROR(VLOOKUP(Tabla2[[#This Row],[CODIGO]],Tabla1[],5,0),"")</f>
        <v>ALMACEN TICAPAMPA</v>
      </c>
      <c r="G72" s="26" t="str">
        <f>IFERROR(VLOOKUP(Tabla2[[#This Row],[CODIGO]],Tabla1[],6,0),"")</f>
        <v>UNI</v>
      </c>
      <c r="H72" s="26">
        <f>IFERROR(VLOOKUP(Tabla2[[#This Row],[CODIGO]],Tabla1[],10,0),"")</f>
        <v>1</v>
      </c>
      <c r="I72" s="7">
        <v>1</v>
      </c>
      <c r="J72" s="29" t="s">
        <v>320</v>
      </c>
      <c r="K72" s="26" t="str">
        <f>IFERROR(VLOOKUP(Tabla2[[#This Row],[CODIGO]],Tabla1[],11,0),"")</f>
        <v>COMPRA</v>
      </c>
      <c r="L72" s="67" t="s">
        <v>308</v>
      </c>
      <c r="M72" s="67" t="s">
        <v>472</v>
      </c>
      <c r="N72" s="70">
        <v>28</v>
      </c>
      <c r="O72" s="70">
        <f>Tabla2[[#This Row],[CANTIDAD]]*Tabla2[[#This Row],[PREC. UNITARIO]]</f>
        <v>28</v>
      </c>
      <c r="R72" t="str">
        <f>Tabla2[[#This Row],[QUIEN RECIBE]]&amp;"-"&amp;TEXT(Tabla2[[#This Row],[FECHA]],"dd/mm/yyyy")</f>
        <v>ACUACHI LANCHIPA ERNESTO ALONSO-15/09/2025</v>
      </c>
    </row>
    <row r="73" spans="2:18" ht="20.45" hidden="1" customHeight="1" x14ac:dyDescent="0.25">
      <c r="B73" s="5">
        <v>45915</v>
      </c>
      <c r="C73" s="2" t="str">
        <f>IFERROR(_xlfn.XLOOKUP(Tabla2[[#This Row],[PRODUCTO]],Tabla1[PRODUCTO],Tabla1[CODIGO]),"")</f>
        <v>UE-3</v>
      </c>
      <c r="D73" s="31" t="s">
        <v>157</v>
      </c>
      <c r="E73" s="31" t="str">
        <f>IFERROR(VLOOKUP(Tabla2[[#This Row],[CODIGO]],Tabla1[],3,0),"")</f>
        <v>UTILES DE ESCRITORIO</v>
      </c>
      <c r="F73" s="28" t="str">
        <f>IFERROR(VLOOKUP(Tabla2[[#This Row],[CODIGO]],Tabla1[],5,0),"")</f>
        <v>ALMACEN TICAPAMPA</v>
      </c>
      <c r="G73" s="26" t="str">
        <f>IFERROR(VLOOKUP(Tabla2[[#This Row],[CODIGO]],Tabla1[],6,0),"")</f>
        <v>UNI</v>
      </c>
      <c r="H73" s="26">
        <f>IFERROR(VLOOKUP(Tabla2[[#This Row],[CODIGO]],Tabla1[],10,0),"")</f>
        <v>2</v>
      </c>
      <c r="I73" s="7">
        <v>2</v>
      </c>
      <c r="J73" s="29" t="s">
        <v>320</v>
      </c>
      <c r="K73" s="26" t="str">
        <f>IFERROR(VLOOKUP(Tabla2[[#This Row],[CODIGO]],Tabla1[],11,0),"")</f>
        <v>COMPRA</v>
      </c>
      <c r="L73" s="67" t="s">
        <v>308</v>
      </c>
      <c r="M73" s="67" t="s">
        <v>472</v>
      </c>
      <c r="N73" s="70">
        <v>28</v>
      </c>
      <c r="O73" s="70">
        <f>Tabla2[[#This Row],[CANTIDAD]]*Tabla2[[#This Row],[PREC. UNITARIO]]</f>
        <v>56</v>
      </c>
      <c r="R73" t="str">
        <f>Tabla2[[#This Row],[QUIEN RECIBE]]&amp;"-"&amp;TEXT(Tabla2[[#This Row],[FECHA]],"dd/mm/yyyy")</f>
        <v>ACUACHI LANCHIPA ERNESTO ALONSO-15/09/2025</v>
      </c>
    </row>
    <row r="74" spans="2:18" ht="20.45" hidden="1" customHeight="1" x14ac:dyDescent="0.25">
      <c r="B74" s="5">
        <v>45915</v>
      </c>
      <c r="C74" s="2" t="str">
        <f>IFERROR(_xlfn.XLOOKUP(Tabla2[[#This Row],[PRODUCTO]],Tabla1[PRODUCTO],Tabla1[CODIGO]),"")</f>
        <v>UE-4</v>
      </c>
      <c r="D74" s="31" t="s">
        <v>158</v>
      </c>
      <c r="E74" s="31" t="str">
        <f>IFERROR(VLOOKUP(Tabla2[[#This Row],[CODIGO]],Tabla1[],3,0),"")</f>
        <v>UTILES DE ESCRITORIO</v>
      </c>
      <c r="F74" s="28" t="str">
        <f>IFERROR(VLOOKUP(Tabla2[[#This Row],[CODIGO]],Tabla1[],5,0),"")</f>
        <v>ALMACEN TICAPAMPA</v>
      </c>
      <c r="G74" s="26" t="str">
        <f>IFERROR(VLOOKUP(Tabla2[[#This Row],[CODIGO]],Tabla1[],6,0),"")</f>
        <v>UNI</v>
      </c>
      <c r="H74" s="26">
        <f>IFERROR(VLOOKUP(Tabla2[[#This Row],[CODIGO]],Tabla1[],10,0),"")</f>
        <v>1</v>
      </c>
      <c r="I74" s="7">
        <v>1</v>
      </c>
      <c r="J74" s="29" t="s">
        <v>320</v>
      </c>
      <c r="K74" s="26" t="str">
        <f>IFERROR(VLOOKUP(Tabla2[[#This Row],[CODIGO]],Tabla1[],11,0),"")</f>
        <v>COMPRA</v>
      </c>
      <c r="L74" s="67" t="s">
        <v>308</v>
      </c>
      <c r="M74" s="67" t="s">
        <v>472</v>
      </c>
      <c r="N74" s="70">
        <v>28</v>
      </c>
      <c r="O74" s="70">
        <f>Tabla2[[#This Row],[CANTIDAD]]*Tabla2[[#This Row],[PREC. UNITARIO]]</f>
        <v>28</v>
      </c>
      <c r="R74" t="str">
        <f>Tabla2[[#This Row],[QUIEN RECIBE]]&amp;"-"&amp;TEXT(Tabla2[[#This Row],[FECHA]],"dd/mm/yyyy")</f>
        <v>ACUACHI LANCHIPA ERNESTO ALONSO-15/09/2025</v>
      </c>
    </row>
    <row r="75" spans="2:18" ht="20.45" hidden="1" customHeight="1" x14ac:dyDescent="0.25">
      <c r="B75" s="5">
        <v>45915</v>
      </c>
      <c r="C75" s="2" t="str">
        <f>IFERROR(_xlfn.XLOOKUP(Tabla2[[#This Row],[PRODUCTO]],Tabla1[PRODUCTO],Tabla1[CODIGO]),"")</f>
        <v>UE-5</v>
      </c>
      <c r="D75" s="31" t="s">
        <v>159</v>
      </c>
      <c r="E75" s="31" t="str">
        <f>IFERROR(VLOOKUP(Tabla2[[#This Row],[CODIGO]],Tabla1[],3,0),"")</f>
        <v>UTILES DE ESCRITORIO</v>
      </c>
      <c r="F75" s="28" t="str">
        <f>IFERROR(VLOOKUP(Tabla2[[#This Row],[CODIGO]],Tabla1[],5,0),"")</f>
        <v>ALMACEN TICAPAMPA</v>
      </c>
      <c r="G75" s="26" t="str">
        <f>IFERROR(VLOOKUP(Tabla2[[#This Row],[CODIGO]],Tabla1[],6,0),"")</f>
        <v>UNI</v>
      </c>
      <c r="H75" s="26">
        <f>IFERROR(VLOOKUP(Tabla2[[#This Row],[CODIGO]],Tabla1[],10,0),"")</f>
        <v>1</v>
      </c>
      <c r="I75" s="7">
        <v>1</v>
      </c>
      <c r="J75" s="29" t="s">
        <v>320</v>
      </c>
      <c r="K75" s="26" t="str">
        <f>IFERROR(VLOOKUP(Tabla2[[#This Row],[CODIGO]],Tabla1[],11,0),"")</f>
        <v>COMPRA</v>
      </c>
      <c r="L75" s="67" t="s">
        <v>308</v>
      </c>
      <c r="M75" s="67" t="s">
        <v>472</v>
      </c>
      <c r="N75" s="70">
        <v>28</v>
      </c>
      <c r="O75" s="70">
        <f>Tabla2[[#This Row],[CANTIDAD]]*Tabla2[[#This Row],[PREC. UNITARIO]]</f>
        <v>28</v>
      </c>
      <c r="R75" t="str">
        <f>Tabla2[[#This Row],[QUIEN RECIBE]]&amp;"-"&amp;TEXT(Tabla2[[#This Row],[FECHA]],"dd/mm/yyyy")</f>
        <v>ACUACHI LANCHIPA ERNESTO ALONSO-15/09/2025</v>
      </c>
    </row>
    <row r="76" spans="2:18" ht="20.45" hidden="1" customHeight="1" x14ac:dyDescent="0.25">
      <c r="B76" s="5">
        <v>45915</v>
      </c>
      <c r="C76" s="2" t="str">
        <f>IFERROR(_xlfn.XLOOKUP(Tabla2[[#This Row],[PRODUCTO]],Tabla1[PRODUCTO],Tabla1[CODIGO]),"")</f>
        <v>UE-6</v>
      </c>
      <c r="D76" s="31" t="s">
        <v>160</v>
      </c>
      <c r="E76" s="31" t="str">
        <f>IFERROR(VLOOKUP(Tabla2[[#This Row],[CODIGO]],Tabla1[],3,0),"")</f>
        <v>UTILES DE ESCRITORIO</v>
      </c>
      <c r="F76" s="28" t="str">
        <f>IFERROR(VLOOKUP(Tabla2[[#This Row],[CODIGO]],Tabla1[],5,0),"")</f>
        <v>ALMACEN TICAPAMPA</v>
      </c>
      <c r="G76" s="26" t="str">
        <f>IFERROR(VLOOKUP(Tabla2[[#This Row],[CODIGO]],Tabla1[],6,0),"")</f>
        <v>UNI</v>
      </c>
      <c r="H76" s="26">
        <f>IFERROR(VLOOKUP(Tabla2[[#This Row],[CODIGO]],Tabla1[],10,0),"")</f>
        <v>1</v>
      </c>
      <c r="I76" s="7">
        <v>1</v>
      </c>
      <c r="J76" s="29" t="s">
        <v>320</v>
      </c>
      <c r="K76" s="26" t="str">
        <f>IFERROR(VLOOKUP(Tabla2[[#This Row],[CODIGO]],Tabla1[],11,0),"")</f>
        <v>COMPRA</v>
      </c>
      <c r="L76" s="67" t="s">
        <v>308</v>
      </c>
      <c r="M76" s="67" t="s">
        <v>472</v>
      </c>
      <c r="N76" s="70">
        <v>28</v>
      </c>
      <c r="O76" s="70">
        <f>Tabla2[[#This Row],[CANTIDAD]]*Tabla2[[#This Row],[PREC. UNITARIO]]</f>
        <v>28</v>
      </c>
      <c r="R76" t="str">
        <f>Tabla2[[#This Row],[QUIEN RECIBE]]&amp;"-"&amp;TEXT(Tabla2[[#This Row],[FECHA]],"dd/mm/yyyy")</f>
        <v>ACUACHI LANCHIPA ERNESTO ALONSO-15/09/2025</v>
      </c>
    </row>
    <row r="77" spans="2:18" ht="20.45" hidden="1" customHeight="1" x14ac:dyDescent="0.25">
      <c r="B77" s="5">
        <v>45915</v>
      </c>
      <c r="C77" s="2" t="str">
        <f>IFERROR(_xlfn.XLOOKUP(Tabla2[[#This Row],[PRODUCTO]],Tabla1[PRODUCTO],Tabla1[CODIGO]),"")</f>
        <v>UE-7</v>
      </c>
      <c r="D77" s="31" t="s">
        <v>161</v>
      </c>
      <c r="E77" s="31" t="str">
        <f>IFERROR(VLOOKUP(Tabla2[[#This Row],[CODIGO]],Tabla1[],3,0),"")</f>
        <v>UTILES DE ESCRITORIO</v>
      </c>
      <c r="F77" s="28" t="str">
        <f>IFERROR(VLOOKUP(Tabla2[[#This Row],[CODIGO]],Tabla1[],5,0),"")</f>
        <v>ALMACEN TICAPAMPA</v>
      </c>
      <c r="G77" s="26" t="str">
        <f>IFERROR(VLOOKUP(Tabla2[[#This Row],[CODIGO]],Tabla1[],6,0),"")</f>
        <v>UNI</v>
      </c>
      <c r="H77" s="26">
        <f>IFERROR(VLOOKUP(Tabla2[[#This Row],[CODIGO]],Tabla1[],10,0),"")</f>
        <v>1</v>
      </c>
      <c r="I77" s="7">
        <v>1</v>
      </c>
      <c r="J77" s="29" t="s">
        <v>320</v>
      </c>
      <c r="K77" s="26" t="str">
        <f>IFERROR(VLOOKUP(Tabla2[[#This Row],[CODIGO]],Tabla1[],11,0),"")</f>
        <v>COMPRA</v>
      </c>
      <c r="L77" s="67" t="s">
        <v>308</v>
      </c>
      <c r="M77" s="67" t="s">
        <v>472</v>
      </c>
      <c r="N77" s="70">
        <v>28</v>
      </c>
      <c r="O77" s="70">
        <f>Tabla2[[#This Row],[CANTIDAD]]*Tabla2[[#This Row],[PREC. UNITARIO]]</f>
        <v>28</v>
      </c>
      <c r="R77" t="str">
        <f>Tabla2[[#This Row],[QUIEN RECIBE]]&amp;"-"&amp;TEXT(Tabla2[[#This Row],[FECHA]],"dd/mm/yyyy")</f>
        <v>ACUACHI LANCHIPA ERNESTO ALONSO-15/09/2025</v>
      </c>
    </row>
    <row r="78" spans="2:18" ht="20.45" hidden="1" customHeight="1" x14ac:dyDescent="0.25">
      <c r="B78" s="5">
        <v>45915</v>
      </c>
      <c r="C78" s="2" t="str">
        <f>IFERROR(_xlfn.XLOOKUP(Tabla2[[#This Row],[PRODUCTO]],Tabla1[PRODUCTO],Tabla1[CODIGO]),"")</f>
        <v>UE-8</v>
      </c>
      <c r="D78" s="31" t="s">
        <v>162</v>
      </c>
      <c r="E78" s="31" t="str">
        <f>IFERROR(VLOOKUP(Tabla2[[#This Row],[CODIGO]],Tabla1[],3,0),"")</f>
        <v>UTILES DE ESCRITORIO</v>
      </c>
      <c r="F78" s="28" t="str">
        <f>IFERROR(VLOOKUP(Tabla2[[#This Row],[CODIGO]],Tabla1[],5,0),"")</f>
        <v>ALMACEN TICAPAMPA</v>
      </c>
      <c r="G78" s="26" t="str">
        <f>IFERROR(VLOOKUP(Tabla2[[#This Row],[CODIGO]],Tabla1[],6,0),"")</f>
        <v>UNI</v>
      </c>
      <c r="H78" s="26">
        <f>IFERROR(VLOOKUP(Tabla2[[#This Row],[CODIGO]],Tabla1[],10,0),"")</f>
        <v>1</v>
      </c>
      <c r="I78" s="7">
        <v>1</v>
      </c>
      <c r="J78" s="29" t="s">
        <v>320</v>
      </c>
      <c r="K78" s="26" t="str">
        <f>IFERROR(VLOOKUP(Tabla2[[#This Row],[CODIGO]],Tabla1[],11,0),"")</f>
        <v>COMPRA</v>
      </c>
      <c r="L78" s="67" t="s">
        <v>308</v>
      </c>
      <c r="M78" s="67" t="s">
        <v>472</v>
      </c>
      <c r="N78" s="70">
        <v>28</v>
      </c>
      <c r="O78" s="70">
        <f>Tabla2[[#This Row],[CANTIDAD]]*Tabla2[[#This Row],[PREC. UNITARIO]]</f>
        <v>28</v>
      </c>
      <c r="R78" t="str">
        <f>Tabla2[[#This Row],[QUIEN RECIBE]]&amp;"-"&amp;TEXT(Tabla2[[#This Row],[FECHA]],"dd/mm/yyyy")</f>
        <v>ACUACHI LANCHIPA ERNESTO ALONSO-15/09/2025</v>
      </c>
    </row>
    <row r="79" spans="2:18" ht="20.45" hidden="1" customHeight="1" x14ac:dyDescent="0.25">
      <c r="B79" s="5">
        <v>45915</v>
      </c>
      <c r="C79" s="2" t="str">
        <f>IFERROR(_xlfn.XLOOKUP(Tabla2[[#This Row],[PRODUCTO]],Tabla1[PRODUCTO],Tabla1[CODIGO]),"")</f>
        <v>UE-9</v>
      </c>
      <c r="D79" s="31" t="s">
        <v>163</v>
      </c>
      <c r="E79" s="31" t="str">
        <f>IFERROR(VLOOKUP(Tabla2[[#This Row],[CODIGO]],Tabla1[],3,0),"")</f>
        <v>UTILES DE ESCRITORIO</v>
      </c>
      <c r="F79" s="28" t="str">
        <f>IFERROR(VLOOKUP(Tabla2[[#This Row],[CODIGO]],Tabla1[],5,0),"")</f>
        <v>ALMACEN TICAPAMPA</v>
      </c>
      <c r="G79" s="26" t="str">
        <f>IFERROR(VLOOKUP(Tabla2[[#This Row],[CODIGO]],Tabla1[],6,0),"")</f>
        <v>UNI</v>
      </c>
      <c r="H79" s="26">
        <f>IFERROR(VLOOKUP(Tabla2[[#This Row],[CODIGO]],Tabla1[],10,0),"")</f>
        <v>1</v>
      </c>
      <c r="I79" s="7">
        <v>1</v>
      </c>
      <c r="J79" s="29" t="s">
        <v>320</v>
      </c>
      <c r="K79" s="26" t="str">
        <f>IFERROR(VLOOKUP(Tabla2[[#This Row],[CODIGO]],Tabla1[],11,0),"")</f>
        <v>COMPRA</v>
      </c>
      <c r="L79" s="67" t="s">
        <v>308</v>
      </c>
      <c r="M79" s="67" t="s">
        <v>472</v>
      </c>
      <c r="N79" s="70">
        <v>53</v>
      </c>
      <c r="O79" s="70">
        <f>Tabla2[[#This Row],[CANTIDAD]]*Tabla2[[#This Row],[PREC. UNITARIO]]</f>
        <v>53</v>
      </c>
      <c r="R79" t="str">
        <f>Tabla2[[#This Row],[QUIEN RECIBE]]&amp;"-"&amp;TEXT(Tabla2[[#This Row],[FECHA]],"dd/mm/yyyy")</f>
        <v>ACUACHI LANCHIPA ERNESTO ALONSO-15/09/2025</v>
      </c>
    </row>
    <row r="80" spans="2:18" ht="20.45" hidden="1" customHeight="1" x14ac:dyDescent="0.25">
      <c r="B80" s="5">
        <v>45915</v>
      </c>
      <c r="C80" s="2" t="str">
        <f>IFERROR(_xlfn.XLOOKUP(Tabla2[[#This Row],[PRODUCTO]],Tabla1[PRODUCTO],Tabla1[CODIGO]),"")</f>
        <v>UE-10</v>
      </c>
      <c r="D80" s="31" t="s">
        <v>164</v>
      </c>
      <c r="E80" s="31" t="str">
        <f>IFERROR(VLOOKUP(Tabla2[[#This Row],[CODIGO]],Tabla1[],3,0),"")</f>
        <v>UTILES DE ESCRITORIO</v>
      </c>
      <c r="F80" s="28" t="str">
        <f>IFERROR(VLOOKUP(Tabla2[[#This Row],[CODIGO]],Tabla1[],5,0),"")</f>
        <v>ALMACEN TICAPAMPA</v>
      </c>
      <c r="G80" s="26" t="str">
        <f>IFERROR(VLOOKUP(Tabla2[[#This Row],[CODIGO]],Tabla1[],6,0),"")</f>
        <v>UNI</v>
      </c>
      <c r="H80" s="26">
        <f>IFERROR(VLOOKUP(Tabla2[[#This Row],[CODIGO]],Tabla1[],10,0),"")</f>
        <v>1</v>
      </c>
      <c r="I80" s="7">
        <v>1</v>
      </c>
      <c r="J80" s="29" t="s">
        <v>320</v>
      </c>
      <c r="K80" s="26" t="str">
        <f>IFERROR(VLOOKUP(Tabla2[[#This Row],[CODIGO]],Tabla1[],11,0),"")</f>
        <v>COMPRA</v>
      </c>
      <c r="L80" s="67" t="s">
        <v>308</v>
      </c>
      <c r="M80" s="67" t="s">
        <v>472</v>
      </c>
      <c r="N80" s="70">
        <v>28</v>
      </c>
      <c r="O80" s="70">
        <f>Tabla2[[#This Row],[CANTIDAD]]*Tabla2[[#This Row],[PREC. UNITARIO]]</f>
        <v>28</v>
      </c>
      <c r="R80" t="str">
        <f>Tabla2[[#This Row],[QUIEN RECIBE]]&amp;"-"&amp;TEXT(Tabla2[[#This Row],[FECHA]],"dd/mm/yyyy")</f>
        <v>ACUACHI LANCHIPA ERNESTO ALONSO-15/09/2025</v>
      </c>
    </row>
    <row r="81" spans="2:18" ht="20.45" hidden="1" customHeight="1" x14ac:dyDescent="0.25">
      <c r="B81" s="5">
        <v>45915</v>
      </c>
      <c r="C81" s="2" t="str">
        <f>IFERROR(_xlfn.XLOOKUP(Tabla2[[#This Row],[PRODUCTO]],Tabla1[PRODUCTO],Tabla1[CODIGO]),"")</f>
        <v>UE-11</v>
      </c>
      <c r="D81" s="31" t="s">
        <v>165</v>
      </c>
      <c r="E81" s="31" t="str">
        <f>IFERROR(VLOOKUP(Tabla2[[#This Row],[CODIGO]],Tabla1[],3,0),"")</f>
        <v>UTILES DE ESCRITORIO</v>
      </c>
      <c r="F81" s="28" t="str">
        <f>IFERROR(VLOOKUP(Tabla2[[#This Row],[CODIGO]],Tabla1[],5,0),"")</f>
        <v>ALMACEN TICAPAMPA</v>
      </c>
      <c r="G81" s="26" t="str">
        <f>IFERROR(VLOOKUP(Tabla2[[#This Row],[CODIGO]],Tabla1[],6,0),"")</f>
        <v>UNI</v>
      </c>
      <c r="H81" s="26">
        <f>IFERROR(VLOOKUP(Tabla2[[#This Row],[CODIGO]],Tabla1[],10,0),"")</f>
        <v>1</v>
      </c>
      <c r="I81" s="7">
        <v>1</v>
      </c>
      <c r="J81" s="29" t="s">
        <v>320</v>
      </c>
      <c r="K81" s="26" t="str">
        <f>IFERROR(VLOOKUP(Tabla2[[#This Row],[CODIGO]],Tabla1[],11,0),"")</f>
        <v>COMPRA</v>
      </c>
      <c r="L81" s="67" t="s">
        <v>308</v>
      </c>
      <c r="M81" s="67" t="s">
        <v>472</v>
      </c>
      <c r="N81" s="70">
        <v>0</v>
      </c>
      <c r="O81" s="70">
        <f>Tabla2[[#This Row],[CANTIDAD]]*Tabla2[[#This Row],[PREC. UNITARIO]]</f>
        <v>0</v>
      </c>
      <c r="R81" t="str">
        <f>Tabla2[[#This Row],[QUIEN RECIBE]]&amp;"-"&amp;TEXT(Tabla2[[#This Row],[FECHA]],"dd/mm/yyyy")</f>
        <v>ACUACHI LANCHIPA ERNESTO ALONSO-15/09/2025</v>
      </c>
    </row>
    <row r="82" spans="2:18" ht="20.45" hidden="1" customHeight="1" x14ac:dyDescent="0.25">
      <c r="B82" s="5">
        <v>45915</v>
      </c>
      <c r="C82" s="2" t="str">
        <f>IFERROR(_xlfn.XLOOKUP(Tabla2[[#This Row],[PRODUCTO]],Tabla1[PRODUCTO],Tabla1[CODIGO]),"")</f>
        <v>UE-12</v>
      </c>
      <c r="D82" s="31" t="s">
        <v>166</v>
      </c>
      <c r="E82" s="31" t="str">
        <f>IFERROR(VLOOKUP(Tabla2[[#This Row],[CODIGO]],Tabla1[],3,0),"")</f>
        <v>UTILES DE ESCRITORIO</v>
      </c>
      <c r="F82" s="28" t="str">
        <f>IFERROR(VLOOKUP(Tabla2[[#This Row],[CODIGO]],Tabla1[],5,0),"")</f>
        <v>ALMACEN TICAPAMPA</v>
      </c>
      <c r="G82" s="26" t="str">
        <f>IFERROR(VLOOKUP(Tabla2[[#This Row],[CODIGO]],Tabla1[],6,0),"")</f>
        <v>UNI</v>
      </c>
      <c r="H82" s="26">
        <f>IFERROR(VLOOKUP(Tabla2[[#This Row],[CODIGO]],Tabla1[],10,0),"")</f>
        <v>2</v>
      </c>
      <c r="I82" s="7">
        <v>2</v>
      </c>
      <c r="J82" s="29" t="s">
        <v>320</v>
      </c>
      <c r="K82" s="26" t="str">
        <f>IFERROR(VLOOKUP(Tabla2[[#This Row],[CODIGO]],Tabla1[],11,0),"")</f>
        <v>COMPRA</v>
      </c>
      <c r="L82" s="67" t="s">
        <v>308</v>
      </c>
      <c r="M82" s="67" t="s">
        <v>472</v>
      </c>
      <c r="N82" s="70">
        <v>0</v>
      </c>
      <c r="O82" s="70">
        <f>Tabla2[[#This Row],[CANTIDAD]]*Tabla2[[#This Row],[PREC. UNITARIO]]</f>
        <v>0</v>
      </c>
      <c r="R82" t="str">
        <f>Tabla2[[#This Row],[QUIEN RECIBE]]&amp;"-"&amp;TEXT(Tabla2[[#This Row],[FECHA]],"dd/mm/yyyy")</f>
        <v>ACUACHI LANCHIPA ERNESTO ALONSO-15/09/2025</v>
      </c>
    </row>
    <row r="83" spans="2:18" ht="20.45" hidden="1" customHeight="1" x14ac:dyDescent="0.25">
      <c r="B83" s="5">
        <v>45915</v>
      </c>
      <c r="C83" s="2" t="str">
        <f>IFERROR(_xlfn.XLOOKUP(Tabla2[[#This Row],[PRODUCTO]],Tabla1[PRODUCTO],Tabla1[CODIGO]),"")</f>
        <v>UE-13</v>
      </c>
      <c r="D83" s="31" t="s">
        <v>167</v>
      </c>
      <c r="E83" s="31" t="str">
        <f>IFERROR(VLOOKUP(Tabla2[[#This Row],[CODIGO]],Tabla1[],3,0),"")</f>
        <v>UTILES DE ESCRITORIO</v>
      </c>
      <c r="F83" s="28" t="str">
        <f>IFERROR(VLOOKUP(Tabla2[[#This Row],[CODIGO]],Tabla1[],5,0),"")</f>
        <v>ALMACEN TICAPAMPA</v>
      </c>
      <c r="G83" s="26" t="str">
        <f>IFERROR(VLOOKUP(Tabla2[[#This Row],[CODIGO]],Tabla1[],6,0),"")</f>
        <v>UNI</v>
      </c>
      <c r="H83" s="26">
        <f>IFERROR(VLOOKUP(Tabla2[[#This Row],[CODIGO]],Tabla1[],10,0),"")</f>
        <v>95</v>
      </c>
      <c r="I83" s="7">
        <v>100</v>
      </c>
      <c r="J83" s="29" t="s">
        <v>320</v>
      </c>
      <c r="K83" s="26" t="str">
        <f>IFERROR(VLOOKUP(Tabla2[[#This Row],[CODIGO]],Tabla1[],11,0),"")</f>
        <v>COMPRA</v>
      </c>
      <c r="L83" s="67" t="s">
        <v>308</v>
      </c>
      <c r="M83" s="67" t="s">
        <v>472</v>
      </c>
      <c r="N83" s="70"/>
      <c r="O83" s="70">
        <f>Tabla2[[#This Row],[CANTIDAD]]*Tabla2[[#This Row],[PREC. UNITARIO]]</f>
        <v>0</v>
      </c>
      <c r="R83" t="str">
        <f>Tabla2[[#This Row],[QUIEN RECIBE]]&amp;"-"&amp;TEXT(Tabla2[[#This Row],[FECHA]],"dd/mm/yyyy")</f>
        <v>ACUACHI LANCHIPA ERNESTO ALONSO-15/09/2025</v>
      </c>
    </row>
    <row r="84" spans="2:18" ht="20.45" hidden="1" customHeight="1" x14ac:dyDescent="0.25">
      <c r="B84" s="5">
        <v>45915</v>
      </c>
      <c r="C84" s="2" t="str">
        <f>IFERROR(_xlfn.XLOOKUP(Tabla2[[#This Row],[PRODUCTO]],Tabla1[PRODUCTO],Tabla1[CODIGO]),"")</f>
        <v>UE-14</v>
      </c>
      <c r="D84" s="31" t="s">
        <v>168</v>
      </c>
      <c r="E84" s="31" t="str">
        <f>IFERROR(VLOOKUP(Tabla2[[#This Row],[CODIGO]],Tabla1[],3,0),"")</f>
        <v>UTILES DE ESCRITORIO</v>
      </c>
      <c r="F84" s="28" t="str">
        <f>IFERROR(VLOOKUP(Tabla2[[#This Row],[CODIGO]],Tabla1[],5,0),"")</f>
        <v>ALMACEN TICAPAMPA</v>
      </c>
      <c r="G84" s="26" t="str">
        <f>IFERROR(VLOOKUP(Tabla2[[#This Row],[CODIGO]],Tabla1[],6,0),"")</f>
        <v>UNI</v>
      </c>
      <c r="H84" s="26">
        <f>IFERROR(VLOOKUP(Tabla2[[#This Row],[CODIGO]],Tabla1[],10,0),"")</f>
        <v>50</v>
      </c>
      <c r="I84" s="7">
        <v>50</v>
      </c>
      <c r="J84" s="29" t="s">
        <v>320</v>
      </c>
      <c r="K84" s="26" t="str">
        <f>IFERROR(VLOOKUP(Tabla2[[#This Row],[CODIGO]],Tabla1[],11,0),"")</f>
        <v>COMPRA</v>
      </c>
      <c r="L84" s="67" t="s">
        <v>308</v>
      </c>
      <c r="M84" s="67" t="s">
        <v>472</v>
      </c>
      <c r="N84" s="70"/>
      <c r="O84" s="70">
        <f>Tabla2[[#This Row],[CANTIDAD]]*Tabla2[[#This Row],[PREC. UNITARIO]]</f>
        <v>0</v>
      </c>
      <c r="R84" t="str">
        <f>Tabla2[[#This Row],[QUIEN RECIBE]]&amp;"-"&amp;TEXT(Tabla2[[#This Row],[FECHA]],"dd/mm/yyyy")</f>
        <v>ACUACHI LANCHIPA ERNESTO ALONSO-15/09/2025</v>
      </c>
    </row>
    <row r="85" spans="2:18" ht="20.45" hidden="1" customHeight="1" x14ac:dyDescent="0.25">
      <c r="B85" s="5">
        <v>45915</v>
      </c>
      <c r="C85" s="2" t="str">
        <f>IFERROR(_xlfn.XLOOKUP(Tabla2[[#This Row],[PRODUCTO]],Tabla1[PRODUCTO],Tabla1[CODIGO]),"")</f>
        <v>UE-15</v>
      </c>
      <c r="D85" s="31" t="s">
        <v>169</v>
      </c>
      <c r="E85" s="31" t="str">
        <f>IFERROR(VLOOKUP(Tabla2[[#This Row],[CODIGO]],Tabla1[],3,0),"")</f>
        <v>UTILES DE ESCRITORIO</v>
      </c>
      <c r="F85" s="28" t="str">
        <f>IFERROR(VLOOKUP(Tabla2[[#This Row],[CODIGO]],Tabla1[],5,0),"")</f>
        <v>ALMACEN TICAPAMPA</v>
      </c>
      <c r="G85" s="26" t="str">
        <f>IFERROR(VLOOKUP(Tabla2[[#This Row],[CODIGO]],Tabla1[],6,0),"")</f>
        <v>UNI</v>
      </c>
      <c r="H85" s="26">
        <f>IFERROR(VLOOKUP(Tabla2[[#This Row],[CODIGO]],Tabla1[],10,0),"")</f>
        <v>25</v>
      </c>
      <c r="I85" s="7">
        <v>50</v>
      </c>
      <c r="J85" s="29" t="s">
        <v>320</v>
      </c>
      <c r="K85" s="26" t="str">
        <f>IFERROR(VLOOKUP(Tabla2[[#This Row],[CODIGO]],Tabla1[],11,0),"")</f>
        <v>COMPRA</v>
      </c>
      <c r="L85" s="67" t="s">
        <v>308</v>
      </c>
      <c r="M85" s="67" t="s">
        <v>472</v>
      </c>
      <c r="N85" s="70"/>
      <c r="O85" s="70">
        <f>Tabla2[[#This Row],[CANTIDAD]]*Tabla2[[#This Row],[PREC. UNITARIO]]</f>
        <v>0</v>
      </c>
      <c r="R85" t="str">
        <f>Tabla2[[#This Row],[QUIEN RECIBE]]&amp;"-"&amp;TEXT(Tabla2[[#This Row],[FECHA]],"dd/mm/yyyy")</f>
        <v>ACUACHI LANCHIPA ERNESTO ALONSO-15/09/2025</v>
      </c>
    </row>
    <row r="86" spans="2:18" ht="20.45" hidden="1" customHeight="1" x14ac:dyDescent="0.25">
      <c r="B86" s="5">
        <v>45915</v>
      </c>
      <c r="C86" s="2" t="str">
        <f>IFERROR(_xlfn.XLOOKUP(Tabla2[[#This Row],[PRODUCTO]],Tabla1[PRODUCTO],Tabla1[CODIGO]),"")</f>
        <v>UE-16</v>
      </c>
      <c r="D86" s="31" t="s">
        <v>172</v>
      </c>
      <c r="E86" s="31" t="str">
        <f>IFERROR(VLOOKUP(Tabla2[[#This Row],[CODIGO]],Tabla1[],3,0),"")</f>
        <v>UTILES DE ESCRITORIO</v>
      </c>
      <c r="F86" s="28" t="str">
        <f>IFERROR(VLOOKUP(Tabla2[[#This Row],[CODIGO]],Tabla1[],5,0),"")</f>
        <v>ALMACEN TICAPAMPA</v>
      </c>
      <c r="G86" s="26" t="str">
        <f>IFERROR(VLOOKUP(Tabla2[[#This Row],[CODIGO]],Tabla1[],6,0),"")</f>
        <v>UNI</v>
      </c>
      <c r="H86" s="26">
        <f>IFERROR(VLOOKUP(Tabla2[[#This Row],[CODIGO]],Tabla1[],10,0),"")</f>
        <v>50</v>
      </c>
      <c r="I86" s="7">
        <v>50</v>
      </c>
      <c r="J86" s="29" t="s">
        <v>320</v>
      </c>
      <c r="K86" s="26" t="str">
        <f>IFERROR(VLOOKUP(Tabla2[[#This Row],[CODIGO]],Tabla1[],11,0),"")</f>
        <v>COMPRA</v>
      </c>
      <c r="L86" s="67" t="s">
        <v>308</v>
      </c>
      <c r="M86" s="67" t="s">
        <v>472</v>
      </c>
      <c r="N86" s="70"/>
      <c r="O86" s="70">
        <f>Tabla2[[#This Row],[CANTIDAD]]*Tabla2[[#This Row],[PREC. UNITARIO]]</f>
        <v>0</v>
      </c>
      <c r="R86" t="str">
        <f>Tabla2[[#This Row],[QUIEN RECIBE]]&amp;"-"&amp;TEXT(Tabla2[[#This Row],[FECHA]],"dd/mm/yyyy")</f>
        <v>ACUACHI LANCHIPA ERNESTO ALONSO-15/09/2025</v>
      </c>
    </row>
    <row r="87" spans="2:18" ht="20.45" hidden="1" customHeight="1" x14ac:dyDescent="0.25">
      <c r="B87" s="5">
        <v>45915</v>
      </c>
      <c r="C87" s="2" t="str">
        <f>IFERROR(_xlfn.XLOOKUP(Tabla2[[#This Row],[PRODUCTO]],Tabla1[PRODUCTO],Tabla1[CODIGO]),"")</f>
        <v>UE-17</v>
      </c>
      <c r="D87" s="31" t="s">
        <v>171</v>
      </c>
      <c r="E87" s="31" t="str">
        <f>IFERROR(VLOOKUP(Tabla2[[#This Row],[CODIGO]],Tabla1[],3,0),"")</f>
        <v>UTILES DE ESCRITORIO</v>
      </c>
      <c r="F87" s="28" t="str">
        <f>IFERROR(VLOOKUP(Tabla2[[#This Row],[CODIGO]],Tabla1[],5,0),"")</f>
        <v>ALMACEN TICAPAMPA</v>
      </c>
      <c r="G87" s="26" t="str">
        <f>IFERROR(VLOOKUP(Tabla2[[#This Row],[CODIGO]],Tabla1[],6,0),"")</f>
        <v>UNI</v>
      </c>
      <c r="H87" s="26">
        <f>IFERROR(VLOOKUP(Tabla2[[#This Row],[CODIGO]],Tabla1[],10,0),"")</f>
        <v>50</v>
      </c>
      <c r="I87" s="7">
        <v>50</v>
      </c>
      <c r="J87" s="29" t="s">
        <v>320</v>
      </c>
      <c r="K87" s="26" t="str">
        <f>IFERROR(VLOOKUP(Tabla2[[#This Row],[CODIGO]],Tabla1[],11,0),"")</f>
        <v>COMPRA</v>
      </c>
      <c r="L87" s="67" t="s">
        <v>308</v>
      </c>
      <c r="M87" s="67" t="s">
        <v>472</v>
      </c>
      <c r="N87" s="70"/>
      <c r="O87" s="70">
        <f>Tabla2[[#This Row],[CANTIDAD]]*Tabla2[[#This Row],[PREC. UNITARIO]]</f>
        <v>0</v>
      </c>
      <c r="R87" t="str">
        <f>Tabla2[[#This Row],[QUIEN RECIBE]]&amp;"-"&amp;TEXT(Tabla2[[#This Row],[FECHA]],"dd/mm/yyyy")</f>
        <v>ACUACHI LANCHIPA ERNESTO ALONSO-15/09/2025</v>
      </c>
    </row>
    <row r="88" spans="2:18" ht="20.45" hidden="1" customHeight="1" x14ac:dyDescent="0.25">
      <c r="B88" s="5">
        <v>45915</v>
      </c>
      <c r="C88" s="2" t="str">
        <f>IFERROR(_xlfn.XLOOKUP(Tabla2[[#This Row],[PRODUCTO]],Tabla1[PRODUCTO],Tabla1[CODIGO]),"")</f>
        <v>UE-18</v>
      </c>
      <c r="D88" s="31" t="s">
        <v>170</v>
      </c>
      <c r="E88" s="31" t="str">
        <f>IFERROR(VLOOKUP(Tabla2[[#This Row],[CODIGO]],Tabla1[],3,0),"")</f>
        <v>UTILES DE ESCRITORIO</v>
      </c>
      <c r="F88" s="28" t="str">
        <f>IFERROR(VLOOKUP(Tabla2[[#This Row],[CODIGO]],Tabla1[],5,0),"")</f>
        <v>ALMACEN TICAPAMPA</v>
      </c>
      <c r="G88" s="26" t="str">
        <f>IFERROR(VLOOKUP(Tabla2[[#This Row],[CODIGO]],Tabla1[],6,0),"")</f>
        <v>UNI</v>
      </c>
      <c r="H88" s="26">
        <f>IFERROR(VLOOKUP(Tabla2[[#This Row],[CODIGO]],Tabla1[],10,0),"")</f>
        <v>50</v>
      </c>
      <c r="I88" s="7">
        <v>50</v>
      </c>
      <c r="J88" s="29" t="s">
        <v>320</v>
      </c>
      <c r="K88" s="26" t="str">
        <f>IFERROR(VLOOKUP(Tabla2[[#This Row],[CODIGO]],Tabla1[],11,0),"")</f>
        <v>COMPRA</v>
      </c>
      <c r="L88" s="67" t="s">
        <v>308</v>
      </c>
      <c r="M88" s="67" t="s">
        <v>472</v>
      </c>
      <c r="N88" s="70"/>
      <c r="O88" s="70">
        <f>Tabla2[[#This Row],[CANTIDAD]]*Tabla2[[#This Row],[PREC. UNITARIO]]</f>
        <v>0</v>
      </c>
      <c r="R88" t="str">
        <f>Tabla2[[#This Row],[QUIEN RECIBE]]&amp;"-"&amp;TEXT(Tabla2[[#This Row],[FECHA]],"dd/mm/yyyy")</f>
        <v>ACUACHI LANCHIPA ERNESTO ALONSO-15/09/2025</v>
      </c>
    </row>
    <row r="89" spans="2:18" ht="20.45" hidden="1" customHeight="1" x14ac:dyDescent="0.25">
      <c r="B89" s="5">
        <v>45915</v>
      </c>
      <c r="C89" s="2" t="str">
        <f>IFERROR(_xlfn.XLOOKUP(Tabla2[[#This Row],[PRODUCTO]],Tabla1[PRODUCTO],Tabla1[CODIGO]),"")</f>
        <v>UE-19</v>
      </c>
      <c r="D89" s="31" t="s">
        <v>173</v>
      </c>
      <c r="E89" s="31" t="str">
        <f>IFERROR(VLOOKUP(Tabla2[[#This Row],[CODIGO]],Tabla1[],3,0),"")</f>
        <v>UTILES DE ESCRITORIO</v>
      </c>
      <c r="F89" s="28" t="str">
        <f>IFERROR(VLOOKUP(Tabla2[[#This Row],[CODIGO]],Tabla1[],5,0),"")</f>
        <v>ALMACEN TICAPAMPA</v>
      </c>
      <c r="G89" s="26" t="str">
        <f>IFERROR(VLOOKUP(Tabla2[[#This Row],[CODIGO]],Tabla1[],6,0),"")</f>
        <v>UNI</v>
      </c>
      <c r="H89" s="26">
        <f>IFERROR(VLOOKUP(Tabla2[[#This Row],[CODIGO]],Tabla1[],10,0),"")</f>
        <v>2</v>
      </c>
      <c r="I89" s="7">
        <v>2</v>
      </c>
      <c r="J89" s="29" t="s">
        <v>320</v>
      </c>
      <c r="K89" s="26" t="str">
        <f>IFERROR(VLOOKUP(Tabla2[[#This Row],[CODIGO]],Tabla1[],11,0),"")</f>
        <v>COMPRA</v>
      </c>
      <c r="L89" s="67" t="s">
        <v>308</v>
      </c>
      <c r="M89" s="67" t="s">
        <v>472</v>
      </c>
      <c r="N89" s="70"/>
      <c r="O89" s="70">
        <f>Tabla2[[#This Row],[CANTIDAD]]*Tabla2[[#This Row],[PREC. UNITARIO]]</f>
        <v>0</v>
      </c>
      <c r="R89" t="str">
        <f>Tabla2[[#This Row],[QUIEN RECIBE]]&amp;"-"&amp;TEXT(Tabla2[[#This Row],[FECHA]],"dd/mm/yyyy")</f>
        <v>ACUACHI LANCHIPA ERNESTO ALONSO-15/09/2025</v>
      </c>
    </row>
    <row r="90" spans="2:18" ht="20.45" hidden="1" customHeight="1" x14ac:dyDescent="0.25">
      <c r="B90" s="5">
        <v>45915</v>
      </c>
      <c r="C90" s="2" t="str">
        <f>IFERROR(_xlfn.XLOOKUP(Tabla2[[#This Row],[PRODUCTO]],Tabla1[PRODUCTO],Tabla1[CODIGO]),"")</f>
        <v>UE-20</v>
      </c>
      <c r="D90" s="31" t="s">
        <v>174</v>
      </c>
      <c r="E90" s="31" t="str">
        <f>IFERROR(VLOOKUP(Tabla2[[#This Row],[CODIGO]],Tabla1[],3,0),"")</f>
        <v>UTILES DE ESCRITORIO</v>
      </c>
      <c r="F90" s="28" t="str">
        <f>IFERROR(VLOOKUP(Tabla2[[#This Row],[CODIGO]],Tabla1[],5,0),"")</f>
        <v>ALMACEN TICAPAMPA</v>
      </c>
      <c r="G90" s="26" t="str">
        <f>IFERROR(VLOOKUP(Tabla2[[#This Row],[CODIGO]],Tabla1[],6,0),"")</f>
        <v>UNI</v>
      </c>
      <c r="H90" s="26">
        <f>IFERROR(VLOOKUP(Tabla2[[#This Row],[CODIGO]],Tabla1[],10,0),"")</f>
        <v>8</v>
      </c>
      <c r="I90" s="7">
        <v>10</v>
      </c>
      <c r="J90" s="29" t="s">
        <v>320</v>
      </c>
      <c r="K90" s="26" t="str">
        <f>IFERROR(VLOOKUP(Tabla2[[#This Row],[CODIGO]],Tabla1[],11,0),"")</f>
        <v>COMPRA</v>
      </c>
      <c r="L90" s="67" t="s">
        <v>308</v>
      </c>
      <c r="M90" s="67" t="s">
        <v>472</v>
      </c>
      <c r="N90" s="70"/>
      <c r="O90" s="70">
        <f>Tabla2[[#This Row],[CANTIDAD]]*Tabla2[[#This Row],[PREC. UNITARIO]]</f>
        <v>0</v>
      </c>
      <c r="R90" t="str">
        <f>Tabla2[[#This Row],[QUIEN RECIBE]]&amp;"-"&amp;TEXT(Tabla2[[#This Row],[FECHA]],"dd/mm/yyyy")</f>
        <v>ACUACHI LANCHIPA ERNESTO ALONSO-15/09/2025</v>
      </c>
    </row>
    <row r="91" spans="2:18" ht="20.45" hidden="1" customHeight="1" x14ac:dyDescent="0.25">
      <c r="B91" s="5">
        <v>45915</v>
      </c>
      <c r="C91" s="2" t="str">
        <f>IFERROR(_xlfn.XLOOKUP(Tabla2[[#This Row],[PRODUCTO]],Tabla1[PRODUCTO],Tabla1[CODIGO]),"")</f>
        <v>UE-21</v>
      </c>
      <c r="D91" s="31" t="s">
        <v>175</v>
      </c>
      <c r="E91" s="31" t="str">
        <f>IFERROR(VLOOKUP(Tabla2[[#This Row],[CODIGO]],Tabla1[],3,0),"")</f>
        <v>UTILES DE ESCRITORIO</v>
      </c>
      <c r="F91" s="28" t="str">
        <f>IFERROR(VLOOKUP(Tabla2[[#This Row],[CODIGO]],Tabla1[],5,0),"")</f>
        <v>ALMACEN TICAPAMPA</v>
      </c>
      <c r="G91" s="26" t="str">
        <f>IFERROR(VLOOKUP(Tabla2[[#This Row],[CODIGO]],Tabla1[],6,0),"")</f>
        <v>UNI</v>
      </c>
      <c r="H91" s="26">
        <f>IFERROR(VLOOKUP(Tabla2[[#This Row],[CODIGO]],Tabla1[],10,0),"")</f>
        <v>2</v>
      </c>
      <c r="I91" s="7">
        <v>2</v>
      </c>
      <c r="J91" s="29" t="s">
        <v>320</v>
      </c>
      <c r="K91" s="26" t="str">
        <f>IFERROR(VLOOKUP(Tabla2[[#This Row],[CODIGO]],Tabla1[],11,0),"")</f>
        <v>COMPRA</v>
      </c>
      <c r="L91" s="67" t="s">
        <v>308</v>
      </c>
      <c r="M91" s="67" t="s">
        <v>472</v>
      </c>
      <c r="N91" s="70"/>
      <c r="O91" s="70">
        <f>Tabla2[[#This Row],[CANTIDAD]]*Tabla2[[#This Row],[PREC. UNITARIO]]</f>
        <v>0</v>
      </c>
      <c r="R91" t="str">
        <f>Tabla2[[#This Row],[QUIEN RECIBE]]&amp;"-"&amp;TEXT(Tabla2[[#This Row],[FECHA]],"dd/mm/yyyy")</f>
        <v>ACUACHI LANCHIPA ERNESTO ALONSO-15/09/2025</v>
      </c>
    </row>
    <row r="92" spans="2:18" ht="20.45" hidden="1" customHeight="1" x14ac:dyDescent="0.25">
      <c r="B92" s="5">
        <v>45915</v>
      </c>
      <c r="C92" s="2" t="str">
        <f>IFERROR(_xlfn.XLOOKUP(Tabla2[[#This Row],[PRODUCTO]],Tabla1[PRODUCTO],Tabla1[CODIGO]),"")</f>
        <v>UE-22</v>
      </c>
      <c r="D92" s="31" t="s">
        <v>176</v>
      </c>
      <c r="E92" s="31" t="str">
        <f>IFERROR(VLOOKUP(Tabla2[[#This Row],[CODIGO]],Tabla1[],3,0),"")</f>
        <v>UTILES DE ESCRITORIO</v>
      </c>
      <c r="F92" s="28" t="str">
        <f>IFERROR(VLOOKUP(Tabla2[[#This Row],[CODIGO]],Tabla1[],5,0),"")</f>
        <v>ALMACEN TICAPAMPA</v>
      </c>
      <c r="G92" s="26" t="str">
        <f>IFERROR(VLOOKUP(Tabla2[[#This Row],[CODIGO]],Tabla1[],6,0),"")</f>
        <v>UNI</v>
      </c>
      <c r="H92" s="26">
        <f>IFERROR(VLOOKUP(Tabla2[[#This Row],[CODIGO]],Tabla1[],10,0),"")</f>
        <v>0</v>
      </c>
      <c r="I92" s="7">
        <v>20</v>
      </c>
      <c r="J92" s="29" t="s">
        <v>320</v>
      </c>
      <c r="K92" s="26" t="str">
        <f>IFERROR(VLOOKUP(Tabla2[[#This Row],[CODIGO]],Tabla1[],11,0),"")</f>
        <v>COMPRA</v>
      </c>
      <c r="L92" s="67" t="s">
        <v>308</v>
      </c>
      <c r="M92" s="67" t="s">
        <v>472</v>
      </c>
      <c r="N92" s="70"/>
      <c r="O92" s="70">
        <f>Tabla2[[#This Row],[CANTIDAD]]*Tabla2[[#This Row],[PREC. UNITARIO]]</f>
        <v>0</v>
      </c>
      <c r="R92" t="str">
        <f>Tabla2[[#This Row],[QUIEN RECIBE]]&amp;"-"&amp;TEXT(Tabla2[[#This Row],[FECHA]],"dd/mm/yyyy")</f>
        <v>ACUACHI LANCHIPA ERNESTO ALONSO-15/09/2025</v>
      </c>
    </row>
    <row r="93" spans="2:18" ht="20.45" hidden="1" customHeight="1" x14ac:dyDescent="0.25">
      <c r="B93" s="5">
        <v>45915</v>
      </c>
      <c r="C93" s="2" t="str">
        <f>IFERROR(_xlfn.XLOOKUP(Tabla2[[#This Row],[PRODUCTO]],Tabla1[PRODUCTO],Tabla1[CODIGO]),"")</f>
        <v>UE-23</v>
      </c>
      <c r="D93" s="31" t="s">
        <v>177</v>
      </c>
      <c r="E93" s="31" t="str">
        <f>IFERROR(VLOOKUP(Tabla2[[#This Row],[CODIGO]],Tabla1[],3,0),"")</f>
        <v>UTILES DE ESCRITORIO</v>
      </c>
      <c r="F93" s="28" t="str">
        <f>IFERROR(VLOOKUP(Tabla2[[#This Row],[CODIGO]],Tabla1[],5,0),"")</f>
        <v>ALMACEN TICAPAMPA</v>
      </c>
      <c r="G93" s="26" t="str">
        <f>IFERROR(VLOOKUP(Tabla2[[#This Row],[CODIGO]],Tabla1[],6,0),"")</f>
        <v>UNI</v>
      </c>
      <c r="H93" s="26">
        <f>IFERROR(VLOOKUP(Tabla2[[#This Row],[CODIGO]],Tabla1[],10,0),"")</f>
        <v>100</v>
      </c>
      <c r="I93" s="7">
        <v>100</v>
      </c>
      <c r="J93" s="29" t="s">
        <v>320</v>
      </c>
      <c r="K93" s="26" t="str">
        <f>IFERROR(VLOOKUP(Tabla2[[#This Row],[CODIGO]],Tabla1[],11,0),"")</f>
        <v>COMPRA</v>
      </c>
      <c r="L93" s="67" t="s">
        <v>308</v>
      </c>
      <c r="M93" s="67" t="s">
        <v>472</v>
      </c>
      <c r="N93" s="70"/>
      <c r="O93" s="70">
        <f>Tabla2[[#This Row],[CANTIDAD]]*Tabla2[[#This Row],[PREC. UNITARIO]]</f>
        <v>0</v>
      </c>
      <c r="R93" t="str">
        <f>Tabla2[[#This Row],[QUIEN RECIBE]]&amp;"-"&amp;TEXT(Tabla2[[#This Row],[FECHA]],"dd/mm/yyyy")</f>
        <v>ACUACHI LANCHIPA ERNESTO ALONSO-15/09/2025</v>
      </c>
    </row>
    <row r="94" spans="2:18" ht="20.45" hidden="1" customHeight="1" x14ac:dyDescent="0.25">
      <c r="B94" s="5">
        <v>45915</v>
      </c>
      <c r="C94" s="2" t="str">
        <f>IFERROR(_xlfn.XLOOKUP(Tabla2[[#This Row],[PRODUCTO]],Tabla1[PRODUCTO],Tabla1[CODIGO]),"")</f>
        <v>UE-24</v>
      </c>
      <c r="D94" s="31" t="s">
        <v>178</v>
      </c>
      <c r="E94" s="31" t="str">
        <f>IFERROR(VLOOKUP(Tabla2[[#This Row],[CODIGO]],Tabla1[],3,0),"")</f>
        <v>UTILES DE ESCRITORIO</v>
      </c>
      <c r="F94" s="28" t="str">
        <f>IFERROR(VLOOKUP(Tabla2[[#This Row],[CODIGO]],Tabla1[],5,0),"")</f>
        <v>ALMACEN TICAPAMPA</v>
      </c>
      <c r="G94" s="26" t="str">
        <f>IFERROR(VLOOKUP(Tabla2[[#This Row],[CODIGO]],Tabla1[],6,0),"")</f>
        <v>UNI</v>
      </c>
      <c r="H94" s="26">
        <f>IFERROR(VLOOKUP(Tabla2[[#This Row],[CODIGO]],Tabla1[],10,0),"")</f>
        <v>47</v>
      </c>
      <c r="I94" s="7">
        <v>50</v>
      </c>
      <c r="J94" s="29" t="s">
        <v>320</v>
      </c>
      <c r="K94" s="26" t="str">
        <f>IFERROR(VLOOKUP(Tabla2[[#This Row],[CODIGO]],Tabla1[],11,0),"")</f>
        <v>COMPRA</v>
      </c>
      <c r="L94" s="67" t="s">
        <v>308</v>
      </c>
      <c r="M94" s="67" t="s">
        <v>472</v>
      </c>
      <c r="N94" s="70"/>
      <c r="O94" s="70">
        <f>Tabla2[[#This Row],[CANTIDAD]]*Tabla2[[#This Row],[PREC. UNITARIO]]</f>
        <v>0</v>
      </c>
      <c r="R94" t="str">
        <f>Tabla2[[#This Row],[QUIEN RECIBE]]&amp;"-"&amp;TEXT(Tabla2[[#This Row],[FECHA]],"dd/mm/yyyy")</f>
        <v>ACUACHI LANCHIPA ERNESTO ALONSO-15/09/2025</v>
      </c>
    </row>
    <row r="95" spans="2:18" ht="20.45" hidden="1" customHeight="1" x14ac:dyDescent="0.25">
      <c r="B95" s="5">
        <v>45915</v>
      </c>
      <c r="C95" s="2" t="str">
        <f>IFERROR(_xlfn.XLOOKUP(Tabla2[[#This Row],[PRODUCTO]],Tabla1[PRODUCTO],Tabla1[CODIGO]),"")</f>
        <v>UE-25</v>
      </c>
      <c r="D95" s="31" t="s">
        <v>179</v>
      </c>
      <c r="E95" s="31" t="str">
        <f>IFERROR(VLOOKUP(Tabla2[[#This Row],[CODIGO]],Tabla1[],3,0),"")</f>
        <v>UTILES DE ESCRITORIO</v>
      </c>
      <c r="F95" s="28" t="str">
        <f>IFERROR(VLOOKUP(Tabla2[[#This Row],[CODIGO]],Tabla1[],5,0),"")</f>
        <v>ALMACEN TICAPAMPA</v>
      </c>
      <c r="G95" s="26" t="str">
        <f>IFERROR(VLOOKUP(Tabla2[[#This Row],[CODIGO]],Tabla1[],6,0),"")</f>
        <v>UNI</v>
      </c>
      <c r="H95" s="26">
        <f>IFERROR(VLOOKUP(Tabla2[[#This Row],[CODIGO]],Tabla1[],10,0),"")</f>
        <v>1</v>
      </c>
      <c r="I95" s="7">
        <v>1</v>
      </c>
      <c r="J95" s="29" t="s">
        <v>320</v>
      </c>
      <c r="K95" s="26" t="str">
        <f>IFERROR(VLOOKUP(Tabla2[[#This Row],[CODIGO]],Tabla1[],11,0),"")</f>
        <v>COMPRA</v>
      </c>
      <c r="L95" s="67" t="s">
        <v>308</v>
      </c>
      <c r="M95" s="67" t="s">
        <v>472</v>
      </c>
      <c r="N95" s="70"/>
      <c r="O95" s="70">
        <f>Tabla2[[#This Row],[CANTIDAD]]*Tabla2[[#This Row],[PREC. UNITARIO]]</f>
        <v>0</v>
      </c>
      <c r="R95" t="str">
        <f>Tabla2[[#This Row],[QUIEN RECIBE]]&amp;"-"&amp;TEXT(Tabla2[[#This Row],[FECHA]],"dd/mm/yyyy")</f>
        <v>ACUACHI LANCHIPA ERNESTO ALONSO-15/09/2025</v>
      </c>
    </row>
    <row r="96" spans="2:18" ht="20.45" hidden="1" customHeight="1" x14ac:dyDescent="0.25">
      <c r="B96" s="5">
        <v>45915</v>
      </c>
      <c r="C96" s="2" t="str">
        <f>IFERROR(_xlfn.XLOOKUP(Tabla2[[#This Row],[PRODUCTO]],Tabla1[PRODUCTO],Tabla1[CODIGO]),"")</f>
        <v>UE-26</v>
      </c>
      <c r="D96" s="31" t="s">
        <v>180</v>
      </c>
      <c r="E96" s="31" t="str">
        <f>IFERROR(VLOOKUP(Tabla2[[#This Row],[CODIGO]],Tabla1[],3,0),"")</f>
        <v>UTILES DE ESCRITORIO</v>
      </c>
      <c r="F96" s="28" t="str">
        <f>IFERROR(VLOOKUP(Tabla2[[#This Row],[CODIGO]],Tabla1[],5,0),"")</f>
        <v>ALMACEN TICAPAMPA</v>
      </c>
      <c r="G96" s="26" t="str">
        <f>IFERROR(VLOOKUP(Tabla2[[#This Row],[CODIGO]],Tabla1[],6,0),"")</f>
        <v>UNI</v>
      </c>
      <c r="H96" s="26">
        <f>IFERROR(VLOOKUP(Tabla2[[#This Row],[CODIGO]],Tabla1[],10,0),"")</f>
        <v>1</v>
      </c>
      <c r="I96" s="7">
        <v>1</v>
      </c>
      <c r="J96" s="29" t="s">
        <v>320</v>
      </c>
      <c r="K96" s="26" t="str">
        <f>IFERROR(VLOOKUP(Tabla2[[#This Row],[CODIGO]],Tabla1[],11,0),"")</f>
        <v>COMPRA</v>
      </c>
      <c r="L96" s="67" t="s">
        <v>308</v>
      </c>
      <c r="M96" s="67" t="s">
        <v>472</v>
      </c>
      <c r="N96" s="70"/>
      <c r="O96" s="70">
        <f>Tabla2[[#This Row],[CANTIDAD]]*Tabla2[[#This Row],[PREC. UNITARIO]]</f>
        <v>0</v>
      </c>
      <c r="R96" t="str">
        <f>Tabla2[[#This Row],[QUIEN RECIBE]]&amp;"-"&amp;TEXT(Tabla2[[#This Row],[FECHA]],"dd/mm/yyyy")</f>
        <v>ACUACHI LANCHIPA ERNESTO ALONSO-15/09/2025</v>
      </c>
    </row>
    <row r="97" spans="2:18" ht="20.45" hidden="1" customHeight="1" x14ac:dyDescent="0.25">
      <c r="B97" s="5">
        <v>45915</v>
      </c>
      <c r="C97" s="2" t="str">
        <f>IFERROR(_xlfn.XLOOKUP(Tabla2[[#This Row],[PRODUCTO]],Tabla1[PRODUCTO],Tabla1[CODIGO]),"")</f>
        <v>UE-27</v>
      </c>
      <c r="D97" s="31" t="s">
        <v>181</v>
      </c>
      <c r="E97" s="31" t="str">
        <f>IFERROR(VLOOKUP(Tabla2[[#This Row],[CODIGO]],Tabla1[],3,0),"")</f>
        <v>UTILES DE ESCRITORIO</v>
      </c>
      <c r="F97" s="28" t="str">
        <f>IFERROR(VLOOKUP(Tabla2[[#This Row],[CODIGO]],Tabla1[],5,0),"")</f>
        <v>ALMACEN TICAPAMPA</v>
      </c>
      <c r="G97" s="26" t="str">
        <f>IFERROR(VLOOKUP(Tabla2[[#This Row],[CODIGO]],Tabla1[],6,0),"")</f>
        <v>UNI</v>
      </c>
      <c r="H97" s="26">
        <f>IFERROR(VLOOKUP(Tabla2[[#This Row],[CODIGO]],Tabla1[],10,0),"")</f>
        <v>3</v>
      </c>
      <c r="I97" s="7">
        <v>4</v>
      </c>
      <c r="J97" s="29" t="s">
        <v>320</v>
      </c>
      <c r="K97" s="26" t="str">
        <f>IFERROR(VLOOKUP(Tabla2[[#This Row],[CODIGO]],Tabla1[],11,0),"")</f>
        <v>COMPRA</v>
      </c>
      <c r="L97" s="67" t="s">
        <v>308</v>
      </c>
      <c r="M97" s="67" t="s">
        <v>472</v>
      </c>
      <c r="N97" s="70"/>
      <c r="O97" s="70">
        <f>Tabla2[[#This Row],[CANTIDAD]]*Tabla2[[#This Row],[PREC. UNITARIO]]</f>
        <v>0</v>
      </c>
      <c r="R97" t="str">
        <f>Tabla2[[#This Row],[QUIEN RECIBE]]&amp;"-"&amp;TEXT(Tabla2[[#This Row],[FECHA]],"dd/mm/yyyy")</f>
        <v>ACUACHI LANCHIPA ERNESTO ALONSO-15/09/2025</v>
      </c>
    </row>
    <row r="98" spans="2:18" ht="20.45" hidden="1" customHeight="1" x14ac:dyDescent="0.25">
      <c r="B98" s="5">
        <v>45915</v>
      </c>
      <c r="C98" s="2" t="str">
        <f>IFERROR(_xlfn.XLOOKUP(Tabla2[[#This Row],[PRODUCTO]],Tabla1[PRODUCTO],Tabla1[CODIGO]),"")</f>
        <v>UE-28</v>
      </c>
      <c r="D98" s="31" t="s">
        <v>182</v>
      </c>
      <c r="E98" s="31" t="str">
        <f>IFERROR(VLOOKUP(Tabla2[[#This Row],[CODIGO]],Tabla1[],3,0),"")</f>
        <v>UTILES DE ESCRITORIO</v>
      </c>
      <c r="F98" s="28" t="str">
        <f>IFERROR(VLOOKUP(Tabla2[[#This Row],[CODIGO]],Tabla1[],5,0),"")</f>
        <v>ALMACEN TICAPAMPA</v>
      </c>
      <c r="G98" s="26" t="str">
        <f>IFERROR(VLOOKUP(Tabla2[[#This Row],[CODIGO]],Tabla1[],6,0),"")</f>
        <v>UNI</v>
      </c>
      <c r="H98" s="26">
        <f>IFERROR(VLOOKUP(Tabla2[[#This Row],[CODIGO]],Tabla1[],10,0),"")</f>
        <v>24</v>
      </c>
      <c r="I98" s="7">
        <v>24</v>
      </c>
      <c r="J98" s="29" t="s">
        <v>320</v>
      </c>
      <c r="K98" s="26" t="str">
        <f>IFERROR(VLOOKUP(Tabla2[[#This Row],[CODIGO]],Tabla1[],11,0),"")</f>
        <v>COMPRA</v>
      </c>
      <c r="L98" s="67" t="s">
        <v>308</v>
      </c>
      <c r="M98" s="67" t="s">
        <v>472</v>
      </c>
      <c r="N98" s="70"/>
      <c r="O98" s="70">
        <f>Tabla2[[#This Row],[CANTIDAD]]*Tabla2[[#This Row],[PREC. UNITARIO]]</f>
        <v>0</v>
      </c>
      <c r="R98" t="str">
        <f>Tabla2[[#This Row],[QUIEN RECIBE]]&amp;"-"&amp;TEXT(Tabla2[[#This Row],[FECHA]],"dd/mm/yyyy")</f>
        <v>ACUACHI LANCHIPA ERNESTO ALONSO-15/09/2025</v>
      </c>
    </row>
    <row r="99" spans="2:18" ht="20.45" hidden="1" customHeight="1" x14ac:dyDescent="0.25">
      <c r="B99" s="5">
        <v>45915</v>
      </c>
      <c r="C99" s="2" t="str">
        <f>IFERROR(_xlfn.XLOOKUP(Tabla2[[#This Row],[PRODUCTO]],Tabla1[PRODUCTO],Tabla1[CODIGO]),"")</f>
        <v>UE-29</v>
      </c>
      <c r="D99" s="31" t="s">
        <v>183</v>
      </c>
      <c r="E99" s="31" t="str">
        <f>IFERROR(VLOOKUP(Tabla2[[#This Row],[CODIGO]],Tabla1[],3,0),"")</f>
        <v>UTILES DE ESCRITORIO</v>
      </c>
      <c r="F99" s="28" t="str">
        <f>IFERROR(VLOOKUP(Tabla2[[#This Row],[CODIGO]],Tabla1[],5,0),"")</f>
        <v>ALMACEN TICAPAMPA</v>
      </c>
      <c r="G99" s="26" t="str">
        <f>IFERROR(VLOOKUP(Tabla2[[#This Row],[CODIGO]],Tabla1[],6,0),"")</f>
        <v>UNI</v>
      </c>
      <c r="H99" s="26">
        <f>IFERROR(VLOOKUP(Tabla2[[#This Row],[CODIGO]],Tabla1[],10,0),"")</f>
        <v>8</v>
      </c>
      <c r="I99" s="7">
        <v>8</v>
      </c>
      <c r="J99" s="29" t="s">
        <v>320</v>
      </c>
      <c r="K99" s="26" t="str">
        <f>IFERROR(VLOOKUP(Tabla2[[#This Row],[CODIGO]],Tabla1[],11,0),"")</f>
        <v>COMPRA</v>
      </c>
      <c r="L99" s="67" t="s">
        <v>308</v>
      </c>
      <c r="M99" s="67" t="s">
        <v>472</v>
      </c>
      <c r="N99" s="70"/>
      <c r="O99" s="70">
        <f>Tabla2[[#This Row],[CANTIDAD]]*Tabla2[[#This Row],[PREC. UNITARIO]]</f>
        <v>0</v>
      </c>
      <c r="R99" t="str">
        <f>Tabla2[[#This Row],[QUIEN RECIBE]]&amp;"-"&amp;TEXT(Tabla2[[#This Row],[FECHA]],"dd/mm/yyyy")</f>
        <v>ACUACHI LANCHIPA ERNESTO ALONSO-15/09/2025</v>
      </c>
    </row>
    <row r="100" spans="2:18" ht="20.45" hidden="1" customHeight="1" x14ac:dyDescent="0.25">
      <c r="B100" s="5">
        <v>45915</v>
      </c>
      <c r="C100" s="2" t="str">
        <f>IFERROR(_xlfn.XLOOKUP(Tabla2[[#This Row],[PRODUCTO]],Tabla1[PRODUCTO],Tabla1[CODIGO]),"")</f>
        <v>UE-30</v>
      </c>
      <c r="D100" s="31" t="s">
        <v>184</v>
      </c>
      <c r="E100" s="31" t="str">
        <f>IFERROR(VLOOKUP(Tabla2[[#This Row],[CODIGO]],Tabla1[],3,0),"")</f>
        <v>UTILES DE ESCRITORIO</v>
      </c>
      <c r="F100" s="28" t="str">
        <f>IFERROR(VLOOKUP(Tabla2[[#This Row],[CODIGO]],Tabla1[],5,0),"")</f>
        <v>ALMACEN TICAPAMPA</v>
      </c>
      <c r="G100" s="26" t="str">
        <f>IFERROR(VLOOKUP(Tabla2[[#This Row],[CODIGO]],Tabla1[],6,0),"")</f>
        <v>UNI</v>
      </c>
      <c r="H100" s="26">
        <f>IFERROR(VLOOKUP(Tabla2[[#This Row],[CODIGO]],Tabla1[],10,0),"")</f>
        <v>12</v>
      </c>
      <c r="I100" s="7">
        <v>12</v>
      </c>
      <c r="J100" s="29" t="s">
        <v>320</v>
      </c>
      <c r="K100" s="26" t="str">
        <f>IFERROR(VLOOKUP(Tabla2[[#This Row],[CODIGO]],Tabla1[],11,0),"")</f>
        <v>COMPRA</v>
      </c>
      <c r="L100" s="67" t="s">
        <v>308</v>
      </c>
      <c r="M100" s="67" t="s">
        <v>472</v>
      </c>
      <c r="N100" s="70"/>
      <c r="O100" s="70">
        <f>Tabla2[[#This Row],[CANTIDAD]]*Tabla2[[#This Row],[PREC. UNITARIO]]</f>
        <v>0</v>
      </c>
      <c r="R100" t="str">
        <f>Tabla2[[#This Row],[QUIEN RECIBE]]&amp;"-"&amp;TEXT(Tabla2[[#This Row],[FECHA]],"dd/mm/yyyy")</f>
        <v>ACUACHI LANCHIPA ERNESTO ALONSO-15/09/2025</v>
      </c>
    </row>
    <row r="101" spans="2:18" ht="20.45" hidden="1" customHeight="1" x14ac:dyDescent="0.25">
      <c r="B101" s="5">
        <v>45915</v>
      </c>
      <c r="C101" s="2" t="str">
        <f>IFERROR(_xlfn.XLOOKUP(Tabla2[[#This Row],[PRODUCTO]],Tabla1[PRODUCTO],Tabla1[CODIGO]),"")</f>
        <v>UE-31</v>
      </c>
      <c r="D101" s="31" t="s">
        <v>185</v>
      </c>
      <c r="E101" s="31" t="str">
        <f>IFERROR(VLOOKUP(Tabla2[[#This Row],[CODIGO]],Tabla1[],3,0),"")</f>
        <v>UTILES DE ESCRITORIO</v>
      </c>
      <c r="F101" s="28" t="str">
        <f>IFERROR(VLOOKUP(Tabla2[[#This Row],[CODIGO]],Tabla1[],5,0),"")</f>
        <v>ALMACEN TICAPAMPA</v>
      </c>
      <c r="G101" s="26" t="str">
        <f>IFERROR(VLOOKUP(Tabla2[[#This Row],[CODIGO]],Tabla1[],6,0),"")</f>
        <v>UNI</v>
      </c>
      <c r="H101" s="26">
        <f>IFERROR(VLOOKUP(Tabla2[[#This Row],[CODIGO]],Tabla1[],10,0),"")</f>
        <v>50</v>
      </c>
      <c r="I101" s="7">
        <v>150</v>
      </c>
      <c r="J101" s="29" t="s">
        <v>320</v>
      </c>
      <c r="K101" s="26" t="str">
        <f>IFERROR(VLOOKUP(Tabla2[[#This Row],[CODIGO]],Tabla1[],11,0),"")</f>
        <v>COMPRA</v>
      </c>
      <c r="L101" s="67" t="s">
        <v>308</v>
      </c>
      <c r="M101" s="67" t="s">
        <v>472</v>
      </c>
      <c r="N101" s="70"/>
      <c r="O101" s="70">
        <f>Tabla2[[#This Row],[CANTIDAD]]*Tabla2[[#This Row],[PREC. UNITARIO]]</f>
        <v>0</v>
      </c>
      <c r="R101" t="str">
        <f>Tabla2[[#This Row],[QUIEN RECIBE]]&amp;"-"&amp;TEXT(Tabla2[[#This Row],[FECHA]],"dd/mm/yyyy")</f>
        <v>ACUACHI LANCHIPA ERNESTO ALONSO-15/09/2025</v>
      </c>
    </row>
    <row r="102" spans="2:18" ht="20.45" hidden="1" customHeight="1" x14ac:dyDescent="0.25">
      <c r="B102" s="5">
        <v>45915</v>
      </c>
      <c r="C102" s="2" t="str">
        <f>IFERROR(_xlfn.XLOOKUP(Tabla2[[#This Row],[PRODUCTO]],Tabla1[PRODUCTO],Tabla1[CODIGO]),"")</f>
        <v>UE-32</v>
      </c>
      <c r="D102" s="31" t="s">
        <v>186</v>
      </c>
      <c r="E102" s="31" t="str">
        <f>IFERROR(VLOOKUP(Tabla2[[#This Row],[CODIGO]],Tabla1[],3,0),"")</f>
        <v>UTILES DE ESCRITORIO</v>
      </c>
      <c r="F102" s="28" t="str">
        <f>IFERROR(VLOOKUP(Tabla2[[#This Row],[CODIGO]],Tabla1[],5,0),"")</f>
        <v>ALMACEN TICAPAMPA</v>
      </c>
      <c r="G102" s="26" t="str">
        <f>IFERROR(VLOOKUP(Tabla2[[#This Row],[CODIGO]],Tabla1[],6,0),"")</f>
        <v>UNI</v>
      </c>
      <c r="H102" s="26">
        <f>IFERROR(VLOOKUP(Tabla2[[#This Row],[CODIGO]],Tabla1[],10,0),"")</f>
        <v>0</v>
      </c>
      <c r="I102" s="7">
        <v>3</v>
      </c>
      <c r="J102" s="29" t="s">
        <v>320</v>
      </c>
      <c r="K102" s="26" t="str">
        <f>IFERROR(VLOOKUP(Tabla2[[#This Row],[CODIGO]],Tabla1[],11,0),"")</f>
        <v>COMPRA</v>
      </c>
      <c r="L102" s="67" t="s">
        <v>308</v>
      </c>
      <c r="M102" s="67" t="s">
        <v>472</v>
      </c>
      <c r="N102" s="70"/>
      <c r="O102" s="70">
        <f>Tabla2[[#This Row],[CANTIDAD]]*Tabla2[[#This Row],[PREC. UNITARIO]]</f>
        <v>0</v>
      </c>
      <c r="R102" t="str">
        <f>Tabla2[[#This Row],[QUIEN RECIBE]]&amp;"-"&amp;TEXT(Tabla2[[#This Row],[FECHA]],"dd/mm/yyyy")</f>
        <v>ACUACHI LANCHIPA ERNESTO ALONSO-15/09/2025</v>
      </c>
    </row>
    <row r="103" spans="2:18" ht="20.45" hidden="1" customHeight="1" x14ac:dyDescent="0.25">
      <c r="B103" s="5">
        <v>45915</v>
      </c>
      <c r="C103" s="2" t="str">
        <f>IFERROR(_xlfn.XLOOKUP(Tabla2[[#This Row],[PRODUCTO]],Tabla1[PRODUCTO],Tabla1[CODIGO]),"")</f>
        <v>UE-33</v>
      </c>
      <c r="D103" s="31" t="s">
        <v>187</v>
      </c>
      <c r="E103" s="31" t="str">
        <f>IFERROR(VLOOKUP(Tabla2[[#This Row],[CODIGO]],Tabla1[],3,0),"")</f>
        <v>UTILES DE ESCRITORIO</v>
      </c>
      <c r="F103" s="28" t="str">
        <f>IFERROR(VLOOKUP(Tabla2[[#This Row],[CODIGO]],Tabla1[],5,0),"")</f>
        <v>ALMACEN TICAPAMPA</v>
      </c>
      <c r="G103" s="26" t="str">
        <f>IFERROR(VLOOKUP(Tabla2[[#This Row],[CODIGO]],Tabla1[],6,0),"")</f>
        <v>UNI</v>
      </c>
      <c r="H103" s="26">
        <f>IFERROR(VLOOKUP(Tabla2[[#This Row],[CODIGO]],Tabla1[],10,0),"")</f>
        <v>0</v>
      </c>
      <c r="I103" s="7">
        <v>1</v>
      </c>
      <c r="J103" s="29" t="s">
        <v>320</v>
      </c>
      <c r="K103" s="26" t="str">
        <f>IFERROR(VLOOKUP(Tabla2[[#This Row],[CODIGO]],Tabla1[],11,0),"")</f>
        <v>COMPRA</v>
      </c>
      <c r="L103" s="67" t="s">
        <v>308</v>
      </c>
      <c r="M103" s="67" t="s">
        <v>472</v>
      </c>
      <c r="N103" s="70"/>
      <c r="O103" s="70">
        <f>Tabla2[[#This Row],[CANTIDAD]]*Tabla2[[#This Row],[PREC. UNITARIO]]</f>
        <v>0</v>
      </c>
      <c r="R103" t="str">
        <f>Tabla2[[#This Row],[QUIEN RECIBE]]&amp;"-"&amp;TEXT(Tabla2[[#This Row],[FECHA]],"dd/mm/yyyy")</f>
        <v>ACUACHI LANCHIPA ERNESTO ALONSO-15/09/2025</v>
      </c>
    </row>
    <row r="104" spans="2:18" ht="20.45" hidden="1" customHeight="1" x14ac:dyDescent="0.25">
      <c r="B104" s="5">
        <v>45915</v>
      </c>
      <c r="C104" s="2" t="str">
        <f>IFERROR(_xlfn.XLOOKUP(Tabla2[[#This Row],[PRODUCTO]],Tabla1[PRODUCTO],Tabla1[CODIGO]),"")</f>
        <v>UE-34</v>
      </c>
      <c r="D104" s="31" t="s">
        <v>188</v>
      </c>
      <c r="E104" s="31" t="str">
        <f>IFERROR(VLOOKUP(Tabla2[[#This Row],[CODIGO]],Tabla1[],3,0),"")</f>
        <v>UTILES DE ESCRITORIO</v>
      </c>
      <c r="F104" s="28" t="str">
        <f>IFERROR(VLOOKUP(Tabla2[[#This Row],[CODIGO]],Tabla1[],5,0),"")</f>
        <v>ALMACEN TICAPAMPA</v>
      </c>
      <c r="G104" s="26" t="str">
        <f>IFERROR(VLOOKUP(Tabla2[[#This Row],[CODIGO]],Tabla1[],6,0),"")</f>
        <v>UNI</v>
      </c>
      <c r="H104" s="26">
        <f>IFERROR(VLOOKUP(Tabla2[[#This Row],[CODIGO]],Tabla1[],10,0),"")</f>
        <v>1</v>
      </c>
      <c r="I104" s="7">
        <v>1</v>
      </c>
      <c r="J104" s="29" t="s">
        <v>320</v>
      </c>
      <c r="K104" s="26" t="str">
        <f>IFERROR(VLOOKUP(Tabla2[[#This Row],[CODIGO]],Tabla1[],11,0),"")</f>
        <v>COMPRA</v>
      </c>
      <c r="L104" s="67" t="s">
        <v>308</v>
      </c>
      <c r="M104" s="67" t="s">
        <v>472</v>
      </c>
      <c r="N104" s="70"/>
      <c r="O104" s="70">
        <f>Tabla2[[#This Row],[CANTIDAD]]*Tabla2[[#This Row],[PREC. UNITARIO]]</f>
        <v>0</v>
      </c>
      <c r="R104" t="str">
        <f>Tabla2[[#This Row],[QUIEN RECIBE]]&amp;"-"&amp;TEXT(Tabla2[[#This Row],[FECHA]],"dd/mm/yyyy")</f>
        <v>ACUACHI LANCHIPA ERNESTO ALONSO-15/09/2025</v>
      </c>
    </row>
    <row r="105" spans="2:18" ht="20.45" hidden="1" customHeight="1" x14ac:dyDescent="0.25">
      <c r="B105" s="5">
        <v>45915</v>
      </c>
      <c r="C105" s="2" t="str">
        <f>IFERROR(_xlfn.XLOOKUP(Tabla2[[#This Row],[PRODUCTO]],Tabla1[PRODUCTO],Tabla1[CODIGO]),"")</f>
        <v>UE-35</v>
      </c>
      <c r="D105" s="31" t="s">
        <v>189</v>
      </c>
      <c r="E105" s="31" t="str">
        <f>IFERROR(VLOOKUP(Tabla2[[#This Row],[CODIGO]],Tabla1[],3,0),"")</f>
        <v>UTILES DE ESCRITORIO</v>
      </c>
      <c r="F105" s="28" t="str">
        <f>IFERROR(VLOOKUP(Tabla2[[#This Row],[CODIGO]],Tabla1[],5,0),"")</f>
        <v>ALMACEN TICAPAMPA</v>
      </c>
      <c r="G105" s="26" t="str">
        <f>IFERROR(VLOOKUP(Tabla2[[#This Row],[CODIGO]],Tabla1[],6,0),"")</f>
        <v>UNI</v>
      </c>
      <c r="H105" s="26">
        <f>IFERROR(VLOOKUP(Tabla2[[#This Row],[CODIGO]],Tabla1[],10,0),"")</f>
        <v>2</v>
      </c>
      <c r="I105" s="7">
        <v>2</v>
      </c>
      <c r="J105" s="29" t="s">
        <v>320</v>
      </c>
      <c r="K105" s="26" t="str">
        <f>IFERROR(VLOOKUP(Tabla2[[#This Row],[CODIGO]],Tabla1[],11,0),"")</f>
        <v>COMPRA</v>
      </c>
      <c r="L105" s="67" t="s">
        <v>308</v>
      </c>
      <c r="M105" s="67" t="s">
        <v>472</v>
      </c>
      <c r="N105" s="70"/>
      <c r="O105" s="70">
        <f>Tabla2[[#This Row],[CANTIDAD]]*Tabla2[[#This Row],[PREC. UNITARIO]]</f>
        <v>0</v>
      </c>
      <c r="R105" t="str">
        <f>Tabla2[[#This Row],[QUIEN RECIBE]]&amp;"-"&amp;TEXT(Tabla2[[#This Row],[FECHA]],"dd/mm/yyyy")</f>
        <v>ACUACHI LANCHIPA ERNESTO ALONSO-15/09/2025</v>
      </c>
    </row>
    <row r="106" spans="2:18" ht="20.45" hidden="1" customHeight="1" x14ac:dyDescent="0.25">
      <c r="B106" s="5">
        <v>45915</v>
      </c>
      <c r="C106" s="2" t="str">
        <f>IFERROR(_xlfn.XLOOKUP(Tabla2[[#This Row],[PRODUCTO]],Tabla1[PRODUCTO],Tabla1[CODIGO]),"")</f>
        <v>UE-36</v>
      </c>
      <c r="D106" s="31" t="s">
        <v>190</v>
      </c>
      <c r="E106" s="31" t="str">
        <f>IFERROR(VLOOKUP(Tabla2[[#This Row],[CODIGO]],Tabla1[],3,0),"")</f>
        <v>UTILES DE ESCRITORIO</v>
      </c>
      <c r="F106" s="28" t="str">
        <f>IFERROR(VLOOKUP(Tabla2[[#This Row],[CODIGO]],Tabla1[],5,0),"")</f>
        <v>ALMACEN TICAPAMPA</v>
      </c>
      <c r="G106" s="26" t="str">
        <f>IFERROR(VLOOKUP(Tabla2[[#This Row],[CODIGO]],Tabla1[],6,0),"")</f>
        <v>UNI</v>
      </c>
      <c r="H106" s="26">
        <f>IFERROR(VLOOKUP(Tabla2[[#This Row],[CODIGO]],Tabla1[],10,0),"")</f>
        <v>2</v>
      </c>
      <c r="I106" s="7">
        <v>2</v>
      </c>
      <c r="J106" s="29" t="s">
        <v>320</v>
      </c>
      <c r="K106" s="26" t="str">
        <f>IFERROR(VLOOKUP(Tabla2[[#This Row],[CODIGO]],Tabla1[],11,0),"")</f>
        <v>COMPRA</v>
      </c>
      <c r="L106" s="67" t="s">
        <v>308</v>
      </c>
      <c r="M106" s="67" t="s">
        <v>472</v>
      </c>
      <c r="N106" s="70"/>
      <c r="O106" s="70">
        <f>Tabla2[[#This Row],[CANTIDAD]]*Tabla2[[#This Row],[PREC. UNITARIO]]</f>
        <v>0</v>
      </c>
      <c r="R106" t="str">
        <f>Tabla2[[#This Row],[QUIEN RECIBE]]&amp;"-"&amp;TEXT(Tabla2[[#This Row],[FECHA]],"dd/mm/yyyy")</f>
        <v>ACUACHI LANCHIPA ERNESTO ALONSO-15/09/2025</v>
      </c>
    </row>
    <row r="107" spans="2:18" ht="20.45" hidden="1" customHeight="1" x14ac:dyDescent="0.25">
      <c r="B107" s="5">
        <v>45915</v>
      </c>
      <c r="C107" s="2" t="str">
        <f>IFERROR(_xlfn.XLOOKUP(Tabla2[[#This Row],[PRODUCTO]],Tabla1[PRODUCTO],Tabla1[CODIGO]),"")</f>
        <v>UE-37</v>
      </c>
      <c r="D107" s="31" t="s">
        <v>191</v>
      </c>
      <c r="E107" s="31" t="str">
        <f>IFERROR(VLOOKUP(Tabla2[[#This Row],[CODIGO]],Tabla1[],3,0),"")</f>
        <v>UTILES DE ESCRITORIO</v>
      </c>
      <c r="F107" s="28" t="str">
        <f>IFERROR(VLOOKUP(Tabla2[[#This Row],[CODIGO]],Tabla1[],5,0),"")</f>
        <v>ALMACEN TICAPAMPA</v>
      </c>
      <c r="G107" s="26" t="str">
        <f>IFERROR(VLOOKUP(Tabla2[[#This Row],[CODIGO]],Tabla1[],6,0),"")</f>
        <v>UNI</v>
      </c>
      <c r="H107" s="26">
        <f>IFERROR(VLOOKUP(Tabla2[[#This Row],[CODIGO]],Tabla1[],10,0),"")</f>
        <v>1</v>
      </c>
      <c r="I107" s="7">
        <v>1</v>
      </c>
      <c r="J107" s="29" t="s">
        <v>320</v>
      </c>
      <c r="K107" s="26" t="str">
        <f>IFERROR(VLOOKUP(Tabla2[[#This Row],[CODIGO]],Tabla1[],11,0),"")</f>
        <v>COMPRA</v>
      </c>
      <c r="L107" s="67" t="s">
        <v>308</v>
      </c>
      <c r="M107" s="67" t="s">
        <v>472</v>
      </c>
      <c r="N107" s="70"/>
      <c r="O107" s="70">
        <f>Tabla2[[#This Row],[CANTIDAD]]*Tabla2[[#This Row],[PREC. UNITARIO]]</f>
        <v>0</v>
      </c>
      <c r="R107" t="str">
        <f>Tabla2[[#This Row],[QUIEN RECIBE]]&amp;"-"&amp;TEXT(Tabla2[[#This Row],[FECHA]],"dd/mm/yyyy")</f>
        <v>ACUACHI LANCHIPA ERNESTO ALONSO-15/09/2025</v>
      </c>
    </row>
    <row r="108" spans="2:18" ht="20.45" hidden="1" customHeight="1" x14ac:dyDescent="0.25">
      <c r="B108" s="5">
        <v>45915</v>
      </c>
      <c r="C108" s="2" t="str">
        <f>IFERROR(_xlfn.XLOOKUP(Tabla2[[#This Row],[PRODUCTO]],Tabla1[PRODUCTO],Tabla1[CODIGO]),"")</f>
        <v>UE-38</v>
      </c>
      <c r="D108" s="31" t="s">
        <v>192</v>
      </c>
      <c r="E108" s="31" t="str">
        <f>IFERROR(VLOOKUP(Tabla2[[#This Row],[CODIGO]],Tabla1[],3,0),"")</f>
        <v>UTILES DE ESCRITORIO</v>
      </c>
      <c r="F108" s="28" t="str">
        <f>IFERROR(VLOOKUP(Tabla2[[#This Row],[CODIGO]],Tabla1[],5,0),"")</f>
        <v>ALMACEN TICAPAMPA</v>
      </c>
      <c r="G108" s="26" t="str">
        <f>IFERROR(VLOOKUP(Tabla2[[#This Row],[CODIGO]],Tabla1[],6,0),"")</f>
        <v>UNI</v>
      </c>
      <c r="H108" s="26">
        <f>IFERROR(VLOOKUP(Tabla2[[#This Row],[CODIGO]],Tabla1[],10,0),"")</f>
        <v>0</v>
      </c>
      <c r="I108" s="7">
        <v>1</v>
      </c>
      <c r="J108" s="29" t="s">
        <v>320</v>
      </c>
      <c r="K108" s="26" t="str">
        <f>IFERROR(VLOOKUP(Tabla2[[#This Row],[CODIGO]],Tabla1[],11,0),"")</f>
        <v>COMPRA</v>
      </c>
      <c r="L108" s="67" t="s">
        <v>308</v>
      </c>
      <c r="M108" s="67" t="s">
        <v>472</v>
      </c>
      <c r="N108" s="70"/>
      <c r="O108" s="70">
        <f>Tabla2[[#This Row],[CANTIDAD]]*Tabla2[[#This Row],[PREC. UNITARIO]]</f>
        <v>0</v>
      </c>
      <c r="R108" t="str">
        <f>Tabla2[[#This Row],[QUIEN RECIBE]]&amp;"-"&amp;TEXT(Tabla2[[#This Row],[FECHA]],"dd/mm/yyyy")</f>
        <v>ACUACHI LANCHIPA ERNESTO ALONSO-15/09/2025</v>
      </c>
    </row>
    <row r="109" spans="2:18" ht="20.45" hidden="1" customHeight="1" x14ac:dyDescent="0.25">
      <c r="B109" s="5">
        <v>45915</v>
      </c>
      <c r="C109" s="2" t="str">
        <f>IFERROR(_xlfn.XLOOKUP(Tabla2[[#This Row],[PRODUCTO]],Tabla1[PRODUCTO],Tabla1[CODIGO]),"")</f>
        <v>UE-39</v>
      </c>
      <c r="D109" s="31" t="s">
        <v>193</v>
      </c>
      <c r="E109" s="31" t="str">
        <f>IFERROR(VLOOKUP(Tabla2[[#This Row],[CODIGO]],Tabla1[],3,0),"")</f>
        <v>UTILES DE ESCRITORIO</v>
      </c>
      <c r="F109" s="28" t="str">
        <f>IFERROR(VLOOKUP(Tabla2[[#This Row],[CODIGO]],Tabla1[],5,0),"")</f>
        <v>ALMACEN TICAPAMPA</v>
      </c>
      <c r="G109" s="26" t="str">
        <f>IFERROR(VLOOKUP(Tabla2[[#This Row],[CODIGO]],Tabla1[],6,0),"")</f>
        <v>UNI</v>
      </c>
      <c r="H109" s="26">
        <f>IFERROR(VLOOKUP(Tabla2[[#This Row],[CODIGO]],Tabla1[],10,0),"")</f>
        <v>2</v>
      </c>
      <c r="I109" s="7">
        <v>2</v>
      </c>
      <c r="J109" s="29" t="s">
        <v>320</v>
      </c>
      <c r="K109" s="26" t="str">
        <f>IFERROR(VLOOKUP(Tabla2[[#This Row],[CODIGO]],Tabla1[],11,0),"")</f>
        <v>COMPRA</v>
      </c>
      <c r="L109" s="67" t="s">
        <v>308</v>
      </c>
      <c r="M109" s="67" t="s">
        <v>472</v>
      </c>
      <c r="N109" s="70"/>
      <c r="O109" s="70">
        <f>Tabla2[[#This Row],[CANTIDAD]]*Tabla2[[#This Row],[PREC. UNITARIO]]</f>
        <v>0</v>
      </c>
      <c r="R109" t="str">
        <f>Tabla2[[#This Row],[QUIEN RECIBE]]&amp;"-"&amp;TEXT(Tabla2[[#This Row],[FECHA]],"dd/mm/yyyy")</f>
        <v>ACUACHI LANCHIPA ERNESTO ALONSO-15/09/2025</v>
      </c>
    </row>
    <row r="110" spans="2:18" ht="20.45" hidden="1" customHeight="1" x14ac:dyDescent="0.25">
      <c r="B110" s="5">
        <v>45915</v>
      </c>
      <c r="C110" s="2" t="str">
        <f>IFERROR(_xlfn.XLOOKUP(Tabla2[[#This Row],[PRODUCTO]],Tabla1[PRODUCTO],Tabla1[CODIGO]),"")</f>
        <v>UE-40</v>
      </c>
      <c r="D110" s="31" t="s">
        <v>194</v>
      </c>
      <c r="E110" s="31" t="str">
        <f>IFERROR(VLOOKUP(Tabla2[[#This Row],[CODIGO]],Tabla1[],3,0),"")</f>
        <v>UTILES DE ESCRITORIO</v>
      </c>
      <c r="F110" s="28" t="str">
        <f>IFERROR(VLOOKUP(Tabla2[[#This Row],[CODIGO]],Tabla1[],5,0),"")</f>
        <v>ALMACEN TICAPAMPA</v>
      </c>
      <c r="G110" s="26" t="str">
        <f>IFERROR(VLOOKUP(Tabla2[[#This Row],[CODIGO]],Tabla1[],6,0),"")</f>
        <v>UNI</v>
      </c>
      <c r="H110" s="26">
        <f>IFERROR(VLOOKUP(Tabla2[[#This Row],[CODIGO]],Tabla1[],10,0),"")</f>
        <v>1</v>
      </c>
      <c r="I110" s="7">
        <v>1</v>
      </c>
      <c r="J110" s="29" t="s">
        <v>320</v>
      </c>
      <c r="K110" s="26" t="str">
        <f>IFERROR(VLOOKUP(Tabla2[[#This Row],[CODIGO]],Tabla1[],11,0),"")</f>
        <v>COMPRA</v>
      </c>
      <c r="L110" s="67" t="s">
        <v>308</v>
      </c>
      <c r="M110" s="67" t="s">
        <v>472</v>
      </c>
      <c r="N110" s="70"/>
      <c r="O110" s="70">
        <f>Tabla2[[#This Row],[CANTIDAD]]*Tabla2[[#This Row],[PREC. UNITARIO]]</f>
        <v>0</v>
      </c>
      <c r="R110" t="str">
        <f>Tabla2[[#This Row],[QUIEN RECIBE]]&amp;"-"&amp;TEXT(Tabla2[[#This Row],[FECHA]],"dd/mm/yyyy")</f>
        <v>ACUACHI LANCHIPA ERNESTO ALONSO-15/09/2025</v>
      </c>
    </row>
    <row r="111" spans="2:18" ht="20.45" hidden="1" customHeight="1" x14ac:dyDescent="0.25">
      <c r="B111" s="5">
        <v>45915</v>
      </c>
      <c r="C111" s="2" t="str">
        <f>IFERROR(_xlfn.XLOOKUP(Tabla2[[#This Row],[PRODUCTO]],Tabla1[PRODUCTO],Tabla1[CODIGO]),"")</f>
        <v>UE-41</v>
      </c>
      <c r="D111" s="31" t="s">
        <v>195</v>
      </c>
      <c r="E111" s="31" t="str">
        <f>IFERROR(VLOOKUP(Tabla2[[#This Row],[CODIGO]],Tabla1[],3,0),"")</f>
        <v>UTILES DE ESCRITORIO</v>
      </c>
      <c r="F111" s="28" t="str">
        <f>IFERROR(VLOOKUP(Tabla2[[#This Row],[CODIGO]],Tabla1[],5,0),"")</f>
        <v>ALMACEN TICAPAMPA</v>
      </c>
      <c r="G111" s="26" t="str">
        <f>IFERROR(VLOOKUP(Tabla2[[#This Row],[CODIGO]],Tabla1[],6,0),"")</f>
        <v>UNI</v>
      </c>
      <c r="H111" s="26">
        <f>IFERROR(VLOOKUP(Tabla2[[#This Row],[CODIGO]],Tabla1[],10,0),"")</f>
        <v>3</v>
      </c>
      <c r="I111" s="7">
        <v>5</v>
      </c>
      <c r="J111" s="29" t="s">
        <v>320</v>
      </c>
      <c r="K111" s="26" t="str">
        <f>IFERROR(VLOOKUP(Tabla2[[#This Row],[CODIGO]],Tabla1[],11,0),"")</f>
        <v>COMPRA</v>
      </c>
      <c r="L111" s="67" t="s">
        <v>308</v>
      </c>
      <c r="M111" s="67" t="s">
        <v>472</v>
      </c>
      <c r="N111" s="70"/>
      <c r="O111" s="70">
        <f>Tabla2[[#This Row],[CANTIDAD]]*Tabla2[[#This Row],[PREC. UNITARIO]]</f>
        <v>0</v>
      </c>
      <c r="R111" t="str">
        <f>Tabla2[[#This Row],[QUIEN RECIBE]]&amp;"-"&amp;TEXT(Tabla2[[#This Row],[FECHA]],"dd/mm/yyyy")</f>
        <v>ACUACHI LANCHIPA ERNESTO ALONSO-15/09/2025</v>
      </c>
    </row>
    <row r="112" spans="2:18" ht="20.45" hidden="1" customHeight="1" x14ac:dyDescent="0.25">
      <c r="B112" s="5">
        <v>45915</v>
      </c>
      <c r="C112" s="2" t="str">
        <f>IFERROR(_xlfn.XLOOKUP(Tabla2[[#This Row],[PRODUCTO]],Tabla1[PRODUCTO],Tabla1[CODIGO]),"")</f>
        <v>UE-42</v>
      </c>
      <c r="D112" s="31" t="s">
        <v>196</v>
      </c>
      <c r="E112" s="31" t="str">
        <f>IFERROR(VLOOKUP(Tabla2[[#This Row],[CODIGO]],Tabla1[],3,0),"")</f>
        <v>UTILES DE ESCRITORIO</v>
      </c>
      <c r="F112" s="28" t="str">
        <f>IFERROR(VLOOKUP(Tabla2[[#This Row],[CODIGO]],Tabla1[],5,0),"")</f>
        <v>ALMACEN TICAPAMPA</v>
      </c>
      <c r="G112" s="26" t="str">
        <f>IFERROR(VLOOKUP(Tabla2[[#This Row],[CODIGO]],Tabla1[],6,0),"")</f>
        <v>UNI</v>
      </c>
      <c r="H112" s="26">
        <f>IFERROR(VLOOKUP(Tabla2[[#This Row],[CODIGO]],Tabla1[],10,0),"")</f>
        <v>3</v>
      </c>
      <c r="I112" s="7">
        <v>3</v>
      </c>
      <c r="J112" s="29" t="s">
        <v>320</v>
      </c>
      <c r="K112" s="26" t="str">
        <f>IFERROR(VLOOKUP(Tabla2[[#This Row],[CODIGO]],Tabla1[],11,0),"")</f>
        <v>COMPRA</v>
      </c>
      <c r="L112" s="67" t="s">
        <v>308</v>
      </c>
      <c r="M112" s="67" t="s">
        <v>472</v>
      </c>
      <c r="N112" s="70"/>
      <c r="O112" s="70">
        <f>Tabla2[[#This Row],[CANTIDAD]]*Tabla2[[#This Row],[PREC. UNITARIO]]</f>
        <v>0</v>
      </c>
      <c r="R112" t="str">
        <f>Tabla2[[#This Row],[QUIEN RECIBE]]&amp;"-"&amp;TEXT(Tabla2[[#This Row],[FECHA]],"dd/mm/yyyy")</f>
        <v>ACUACHI LANCHIPA ERNESTO ALONSO-15/09/2025</v>
      </c>
    </row>
    <row r="113" spans="2:18" ht="20.45" hidden="1" customHeight="1" x14ac:dyDescent="0.25">
      <c r="B113" s="5">
        <v>45915</v>
      </c>
      <c r="C113" s="2" t="str">
        <f>IFERROR(_xlfn.XLOOKUP(Tabla2[[#This Row],[PRODUCTO]],Tabla1[PRODUCTO],Tabla1[CODIGO]),"")</f>
        <v>UE-43</v>
      </c>
      <c r="D113" s="31" t="s">
        <v>197</v>
      </c>
      <c r="E113" s="31" t="str">
        <f>IFERROR(VLOOKUP(Tabla2[[#This Row],[CODIGO]],Tabla1[],3,0),"")</f>
        <v>UTILES DE ESCRITORIO</v>
      </c>
      <c r="F113" s="28" t="str">
        <f>IFERROR(VLOOKUP(Tabla2[[#This Row],[CODIGO]],Tabla1[],5,0),"")</f>
        <v>ALMACEN TICAPAMPA</v>
      </c>
      <c r="G113" s="26" t="str">
        <f>IFERROR(VLOOKUP(Tabla2[[#This Row],[CODIGO]],Tabla1[],6,0),"")</f>
        <v>CAJ</v>
      </c>
      <c r="H113" s="26">
        <f>IFERROR(VLOOKUP(Tabla2[[#This Row],[CODIGO]],Tabla1[],10,0),"")</f>
        <v>3</v>
      </c>
      <c r="I113" s="7">
        <v>3</v>
      </c>
      <c r="J113" s="29" t="s">
        <v>320</v>
      </c>
      <c r="K113" s="26" t="str">
        <f>IFERROR(VLOOKUP(Tabla2[[#This Row],[CODIGO]],Tabla1[],11,0),"")</f>
        <v>COMPRA</v>
      </c>
      <c r="L113" s="67" t="s">
        <v>308</v>
      </c>
      <c r="M113" s="67" t="s">
        <v>472</v>
      </c>
      <c r="N113" s="70"/>
      <c r="O113" s="70">
        <f>Tabla2[[#This Row],[CANTIDAD]]*Tabla2[[#This Row],[PREC. UNITARIO]]</f>
        <v>0</v>
      </c>
      <c r="R113" t="str">
        <f>Tabla2[[#This Row],[QUIEN RECIBE]]&amp;"-"&amp;TEXT(Tabla2[[#This Row],[FECHA]],"dd/mm/yyyy")</f>
        <v>ACUACHI LANCHIPA ERNESTO ALONSO-15/09/2025</v>
      </c>
    </row>
    <row r="114" spans="2:18" ht="20.45" hidden="1" customHeight="1" x14ac:dyDescent="0.25">
      <c r="B114" s="5">
        <v>45915</v>
      </c>
      <c r="C114" s="2" t="str">
        <f>IFERROR(_xlfn.XLOOKUP(Tabla2[[#This Row],[PRODUCTO]],Tabla1[PRODUCTO],Tabla1[CODIGO]),"")</f>
        <v>UE-44</v>
      </c>
      <c r="D114" s="31" t="s">
        <v>198</v>
      </c>
      <c r="E114" s="31" t="str">
        <f>IFERROR(VLOOKUP(Tabla2[[#This Row],[CODIGO]],Tabla1[],3,0),"")</f>
        <v>UTILES DE ESCRITORIO</v>
      </c>
      <c r="F114" s="28" t="str">
        <f>IFERROR(VLOOKUP(Tabla2[[#This Row],[CODIGO]],Tabla1[],5,0),"")</f>
        <v>ALMACEN TICAPAMPA</v>
      </c>
      <c r="G114" s="26" t="str">
        <f>IFERROR(VLOOKUP(Tabla2[[#This Row],[CODIGO]],Tabla1[],6,0),"")</f>
        <v>UNI</v>
      </c>
      <c r="H114" s="26">
        <f>IFERROR(VLOOKUP(Tabla2[[#This Row],[CODIGO]],Tabla1[],10,0),"")</f>
        <v>150</v>
      </c>
      <c r="I114" s="7">
        <v>150</v>
      </c>
      <c r="J114" s="29" t="s">
        <v>320</v>
      </c>
      <c r="K114" s="26" t="str">
        <f>IFERROR(VLOOKUP(Tabla2[[#This Row],[CODIGO]],Tabla1[],11,0),"")</f>
        <v>COMPRA</v>
      </c>
      <c r="L114" s="67" t="s">
        <v>308</v>
      </c>
      <c r="M114" s="67" t="s">
        <v>472</v>
      </c>
      <c r="N114" s="70"/>
      <c r="O114" s="70">
        <f>Tabla2[[#This Row],[CANTIDAD]]*Tabla2[[#This Row],[PREC. UNITARIO]]</f>
        <v>0</v>
      </c>
      <c r="R114" t="str">
        <f>Tabla2[[#This Row],[QUIEN RECIBE]]&amp;"-"&amp;TEXT(Tabla2[[#This Row],[FECHA]],"dd/mm/yyyy")</f>
        <v>ACUACHI LANCHIPA ERNESTO ALONSO-15/09/2025</v>
      </c>
    </row>
    <row r="115" spans="2:18" ht="20.45" hidden="1" customHeight="1" x14ac:dyDescent="0.25">
      <c r="B115" s="5">
        <v>45915</v>
      </c>
      <c r="C115" s="2" t="str">
        <f>IFERROR(_xlfn.XLOOKUP(Tabla2[[#This Row],[PRODUCTO]],Tabla1[PRODUCTO],Tabla1[CODIGO]),"")</f>
        <v>UE-45</v>
      </c>
      <c r="D115" s="31" t="s">
        <v>199</v>
      </c>
      <c r="E115" s="31" t="str">
        <f>IFERROR(VLOOKUP(Tabla2[[#This Row],[CODIGO]],Tabla1[],3,0),"")</f>
        <v>UTILES DE ESCRITORIO</v>
      </c>
      <c r="F115" s="28" t="str">
        <f>IFERROR(VLOOKUP(Tabla2[[#This Row],[CODIGO]],Tabla1[],5,0),"")</f>
        <v>ALMACEN TICAPAMPA</v>
      </c>
      <c r="G115" s="26" t="str">
        <f>IFERROR(VLOOKUP(Tabla2[[#This Row],[CODIGO]],Tabla1[],6,0),"")</f>
        <v>UNI</v>
      </c>
      <c r="H115" s="26">
        <f>IFERROR(VLOOKUP(Tabla2[[#This Row],[CODIGO]],Tabla1[],10,0),"")</f>
        <v>1</v>
      </c>
      <c r="I115" s="7">
        <v>2</v>
      </c>
      <c r="J115" s="29" t="s">
        <v>320</v>
      </c>
      <c r="K115" s="26" t="str">
        <f>IFERROR(VLOOKUP(Tabla2[[#This Row],[CODIGO]],Tabla1[],11,0),"")</f>
        <v>COMPRA</v>
      </c>
      <c r="L115" s="67" t="s">
        <v>308</v>
      </c>
      <c r="M115" s="67" t="s">
        <v>472</v>
      </c>
      <c r="N115" s="70"/>
      <c r="O115" s="70">
        <f>Tabla2[[#This Row],[CANTIDAD]]*Tabla2[[#This Row],[PREC. UNITARIO]]</f>
        <v>0</v>
      </c>
      <c r="R115" t="str">
        <f>Tabla2[[#This Row],[QUIEN RECIBE]]&amp;"-"&amp;TEXT(Tabla2[[#This Row],[FECHA]],"dd/mm/yyyy")</f>
        <v>ACUACHI LANCHIPA ERNESTO ALONSO-15/09/2025</v>
      </c>
    </row>
    <row r="116" spans="2:18" ht="20.45" hidden="1" customHeight="1" x14ac:dyDescent="0.25">
      <c r="B116" s="5">
        <v>45915</v>
      </c>
      <c r="C116" s="2" t="str">
        <f>IFERROR(_xlfn.XLOOKUP(Tabla2[[#This Row],[PRODUCTO]],Tabla1[PRODUCTO],Tabla1[CODIGO]),"")</f>
        <v>UE-46</v>
      </c>
      <c r="D116" s="31" t="s">
        <v>200</v>
      </c>
      <c r="E116" s="31" t="str">
        <f>IFERROR(VLOOKUP(Tabla2[[#This Row],[CODIGO]],Tabla1[],3,0),"")</f>
        <v>UTILES DE ESCRITORIO</v>
      </c>
      <c r="F116" s="28" t="str">
        <f>IFERROR(VLOOKUP(Tabla2[[#This Row],[CODIGO]],Tabla1[],5,0),"")</f>
        <v>ALMACEN TICAPAMPA</v>
      </c>
      <c r="G116" s="26" t="str">
        <f>IFERROR(VLOOKUP(Tabla2[[#This Row],[CODIGO]],Tabla1[],6,0),"")</f>
        <v>UNI</v>
      </c>
      <c r="H116" s="26">
        <f>IFERROR(VLOOKUP(Tabla2[[#This Row],[CODIGO]],Tabla1[],10,0),"")</f>
        <v>1</v>
      </c>
      <c r="I116" s="7">
        <v>2</v>
      </c>
      <c r="J116" s="29" t="s">
        <v>320</v>
      </c>
      <c r="K116" s="26" t="str">
        <f>IFERROR(VLOOKUP(Tabla2[[#This Row],[CODIGO]],Tabla1[],11,0),"")</f>
        <v>COMPRA</v>
      </c>
      <c r="L116" s="67" t="s">
        <v>308</v>
      </c>
      <c r="M116" s="67" t="s">
        <v>472</v>
      </c>
      <c r="N116" s="70"/>
      <c r="O116" s="70">
        <f>Tabla2[[#This Row],[CANTIDAD]]*Tabla2[[#This Row],[PREC. UNITARIO]]</f>
        <v>0</v>
      </c>
      <c r="R116" t="str">
        <f>Tabla2[[#This Row],[QUIEN RECIBE]]&amp;"-"&amp;TEXT(Tabla2[[#This Row],[FECHA]],"dd/mm/yyyy")</f>
        <v>ACUACHI LANCHIPA ERNESTO ALONSO-15/09/2025</v>
      </c>
    </row>
    <row r="117" spans="2:18" ht="20.45" hidden="1" customHeight="1" x14ac:dyDescent="0.25">
      <c r="B117" s="5">
        <v>45915</v>
      </c>
      <c r="C117" s="2" t="str">
        <f>IFERROR(_xlfn.XLOOKUP(Tabla2[[#This Row],[PRODUCTO]],Tabla1[PRODUCTO],Tabla1[CODIGO]),"")</f>
        <v>UE-47</v>
      </c>
      <c r="D117" s="31" t="s">
        <v>201</v>
      </c>
      <c r="E117" s="31" t="str">
        <f>IFERROR(VLOOKUP(Tabla2[[#This Row],[CODIGO]],Tabla1[],3,0),"")</f>
        <v>UTILES DE ESCRITORIO</v>
      </c>
      <c r="F117" s="28" t="str">
        <f>IFERROR(VLOOKUP(Tabla2[[#This Row],[CODIGO]],Tabla1[],5,0),"")</f>
        <v>ALMACEN TICAPAMPA</v>
      </c>
      <c r="G117" s="26" t="str">
        <f>IFERROR(VLOOKUP(Tabla2[[#This Row],[CODIGO]],Tabla1[],6,0),"")</f>
        <v>UNI</v>
      </c>
      <c r="H117" s="26">
        <f>IFERROR(VLOOKUP(Tabla2[[#This Row],[CODIGO]],Tabla1[],10,0),"")</f>
        <v>2</v>
      </c>
      <c r="I117" s="7">
        <v>2</v>
      </c>
      <c r="J117" s="29" t="s">
        <v>320</v>
      </c>
      <c r="K117" s="26" t="str">
        <f>IFERROR(VLOOKUP(Tabla2[[#This Row],[CODIGO]],Tabla1[],11,0),"")</f>
        <v>COMPRA</v>
      </c>
      <c r="L117" s="67" t="s">
        <v>308</v>
      </c>
      <c r="M117" s="67" t="s">
        <v>472</v>
      </c>
      <c r="N117" s="70"/>
      <c r="O117" s="70">
        <f>Tabla2[[#This Row],[CANTIDAD]]*Tabla2[[#This Row],[PREC. UNITARIO]]</f>
        <v>0</v>
      </c>
      <c r="R117" t="str">
        <f>Tabla2[[#This Row],[QUIEN RECIBE]]&amp;"-"&amp;TEXT(Tabla2[[#This Row],[FECHA]],"dd/mm/yyyy")</f>
        <v>ACUACHI LANCHIPA ERNESTO ALONSO-15/09/2025</v>
      </c>
    </row>
    <row r="118" spans="2:18" ht="20.45" hidden="1" customHeight="1" x14ac:dyDescent="0.25">
      <c r="B118" s="5">
        <v>45915</v>
      </c>
      <c r="C118" s="2" t="str">
        <f>IFERROR(_xlfn.XLOOKUP(Tabla2[[#This Row],[PRODUCTO]],Tabla1[PRODUCTO],Tabla1[CODIGO]),"")</f>
        <v>UE-48</v>
      </c>
      <c r="D118" s="31" t="s">
        <v>203</v>
      </c>
      <c r="E118" s="31" t="str">
        <f>IFERROR(VLOOKUP(Tabla2[[#This Row],[CODIGO]],Tabla1[],3,0),"")</f>
        <v>UTILES DE ESCRITORIO</v>
      </c>
      <c r="F118" s="28" t="str">
        <f>IFERROR(VLOOKUP(Tabla2[[#This Row],[CODIGO]],Tabla1[],5,0),"")</f>
        <v>ALMACEN TICAPAMPA</v>
      </c>
      <c r="G118" s="26" t="str">
        <f>IFERROR(VLOOKUP(Tabla2[[#This Row],[CODIGO]],Tabla1[],6,0),"")</f>
        <v>UNI</v>
      </c>
      <c r="H118" s="26">
        <f>IFERROR(VLOOKUP(Tabla2[[#This Row],[CODIGO]],Tabla1[],10,0),"")</f>
        <v>2</v>
      </c>
      <c r="I118" s="7">
        <v>2</v>
      </c>
      <c r="J118" s="29" t="s">
        <v>320</v>
      </c>
      <c r="K118" s="26" t="str">
        <f>IFERROR(VLOOKUP(Tabla2[[#This Row],[CODIGO]],Tabla1[],11,0),"")</f>
        <v>COMPRA</v>
      </c>
      <c r="L118" s="67" t="s">
        <v>308</v>
      </c>
      <c r="M118" s="67" t="s">
        <v>472</v>
      </c>
      <c r="N118" s="70"/>
      <c r="O118" s="70">
        <f>Tabla2[[#This Row],[CANTIDAD]]*Tabla2[[#This Row],[PREC. UNITARIO]]</f>
        <v>0</v>
      </c>
      <c r="R118" t="str">
        <f>Tabla2[[#This Row],[QUIEN RECIBE]]&amp;"-"&amp;TEXT(Tabla2[[#This Row],[FECHA]],"dd/mm/yyyy")</f>
        <v>ACUACHI LANCHIPA ERNESTO ALONSO-15/09/2025</v>
      </c>
    </row>
    <row r="119" spans="2:18" ht="20.45" hidden="1" customHeight="1" x14ac:dyDescent="0.25">
      <c r="B119" s="5">
        <v>45915</v>
      </c>
      <c r="C119" s="2" t="str">
        <f>IFERROR(_xlfn.XLOOKUP(Tabla2[[#This Row],[PRODUCTO]],Tabla1[PRODUCTO],Tabla1[CODIGO]),"")</f>
        <v>UE-49</v>
      </c>
      <c r="D119" s="31" t="s">
        <v>204</v>
      </c>
      <c r="E119" s="31" t="str">
        <f>IFERROR(VLOOKUP(Tabla2[[#This Row],[CODIGO]],Tabla1[],3,0),"")</f>
        <v>UTILES DE ESCRITORIO</v>
      </c>
      <c r="F119" s="28" t="str">
        <f>IFERROR(VLOOKUP(Tabla2[[#This Row],[CODIGO]],Tabla1[],5,0),"")</f>
        <v>ALMACEN TICAPAMPA</v>
      </c>
      <c r="G119" s="26" t="str">
        <f>IFERROR(VLOOKUP(Tabla2[[#This Row],[CODIGO]],Tabla1[],6,0),"")</f>
        <v>UNI</v>
      </c>
      <c r="H119" s="26">
        <f>IFERROR(VLOOKUP(Tabla2[[#This Row],[CODIGO]],Tabla1[],10,0),"")</f>
        <v>1</v>
      </c>
      <c r="I119" s="7">
        <v>1</v>
      </c>
      <c r="J119" s="29" t="s">
        <v>320</v>
      </c>
      <c r="K119" s="26" t="str">
        <f>IFERROR(VLOOKUP(Tabla2[[#This Row],[CODIGO]],Tabla1[],11,0),"")</f>
        <v>COMPRA</v>
      </c>
      <c r="L119" s="67" t="s">
        <v>308</v>
      </c>
      <c r="M119" s="67" t="s">
        <v>472</v>
      </c>
      <c r="N119" s="70"/>
      <c r="O119" s="70">
        <f>Tabla2[[#This Row],[CANTIDAD]]*Tabla2[[#This Row],[PREC. UNITARIO]]</f>
        <v>0</v>
      </c>
      <c r="R119" t="str">
        <f>Tabla2[[#This Row],[QUIEN RECIBE]]&amp;"-"&amp;TEXT(Tabla2[[#This Row],[FECHA]],"dd/mm/yyyy")</f>
        <v>ACUACHI LANCHIPA ERNESTO ALONSO-15/09/2025</v>
      </c>
    </row>
    <row r="120" spans="2:18" ht="20.45" hidden="1" customHeight="1" x14ac:dyDescent="0.25">
      <c r="B120" s="5">
        <v>45915</v>
      </c>
      <c r="C120" s="2" t="str">
        <f>IFERROR(_xlfn.XLOOKUP(Tabla2[[#This Row],[PRODUCTO]],Tabla1[PRODUCTO],Tabla1[CODIGO]),"")</f>
        <v>UE-50</v>
      </c>
      <c r="D120" s="31" t="s">
        <v>205</v>
      </c>
      <c r="E120" s="31" t="str">
        <f>IFERROR(VLOOKUP(Tabla2[[#This Row],[CODIGO]],Tabla1[],3,0),"")</f>
        <v>UTILES DE ESCRITORIO</v>
      </c>
      <c r="F120" s="28" t="str">
        <f>IFERROR(VLOOKUP(Tabla2[[#This Row],[CODIGO]],Tabla1[],5,0),"")</f>
        <v>ALMACEN TICAPAMPA</v>
      </c>
      <c r="G120" s="26" t="str">
        <f>IFERROR(VLOOKUP(Tabla2[[#This Row],[CODIGO]],Tabla1[],6,0),"")</f>
        <v>UNI</v>
      </c>
      <c r="H120" s="26">
        <f>IFERROR(VLOOKUP(Tabla2[[#This Row],[CODIGO]],Tabla1[],10,0),"")</f>
        <v>1</v>
      </c>
      <c r="I120" s="7">
        <v>1</v>
      </c>
      <c r="J120" s="29" t="s">
        <v>320</v>
      </c>
      <c r="K120" s="26" t="str">
        <f>IFERROR(VLOOKUP(Tabla2[[#This Row],[CODIGO]],Tabla1[],11,0),"")</f>
        <v>COMPRA</v>
      </c>
      <c r="L120" s="67" t="s">
        <v>308</v>
      </c>
      <c r="M120" s="67" t="s">
        <v>472</v>
      </c>
      <c r="N120" s="70"/>
      <c r="O120" s="70">
        <f>Tabla2[[#This Row],[CANTIDAD]]*Tabla2[[#This Row],[PREC. UNITARIO]]</f>
        <v>0</v>
      </c>
      <c r="R120" t="str">
        <f>Tabla2[[#This Row],[QUIEN RECIBE]]&amp;"-"&amp;TEXT(Tabla2[[#This Row],[FECHA]],"dd/mm/yyyy")</f>
        <v>ACUACHI LANCHIPA ERNESTO ALONSO-15/09/2025</v>
      </c>
    </row>
    <row r="121" spans="2:18" ht="20.45" hidden="1" customHeight="1" x14ac:dyDescent="0.25">
      <c r="B121" s="5">
        <v>45915</v>
      </c>
      <c r="C121" s="2" t="str">
        <f>IFERROR(_xlfn.XLOOKUP(Tabla2[[#This Row],[PRODUCTO]],Tabla1[PRODUCTO],Tabla1[CODIGO]),"")</f>
        <v>UE-51</v>
      </c>
      <c r="D121" s="31" t="s">
        <v>206</v>
      </c>
      <c r="E121" s="31" t="str">
        <f>IFERROR(VLOOKUP(Tabla2[[#This Row],[CODIGO]],Tabla1[],3,0),"")</f>
        <v>UTILES DE ESCRITORIO</v>
      </c>
      <c r="F121" s="28" t="str">
        <f>IFERROR(VLOOKUP(Tabla2[[#This Row],[CODIGO]],Tabla1[],5,0),"")</f>
        <v>ALMACEN TICAPAMPA</v>
      </c>
      <c r="G121" s="26" t="str">
        <f>IFERROR(VLOOKUP(Tabla2[[#This Row],[CODIGO]],Tabla1[],6,0),"")</f>
        <v>UNI</v>
      </c>
      <c r="H121" s="26">
        <f>IFERROR(VLOOKUP(Tabla2[[#This Row],[CODIGO]],Tabla1[],10,0),"")</f>
        <v>1</v>
      </c>
      <c r="I121" s="7">
        <v>1</v>
      </c>
      <c r="J121" s="29" t="s">
        <v>320</v>
      </c>
      <c r="K121" s="26" t="str">
        <f>IFERROR(VLOOKUP(Tabla2[[#This Row],[CODIGO]],Tabla1[],11,0),"")</f>
        <v>COMPRA</v>
      </c>
      <c r="L121" s="67" t="s">
        <v>308</v>
      </c>
      <c r="M121" s="67" t="s">
        <v>472</v>
      </c>
      <c r="N121" s="70"/>
      <c r="O121" s="70">
        <f>Tabla2[[#This Row],[CANTIDAD]]*Tabla2[[#This Row],[PREC. UNITARIO]]</f>
        <v>0</v>
      </c>
      <c r="R121" t="str">
        <f>Tabla2[[#This Row],[QUIEN RECIBE]]&amp;"-"&amp;TEXT(Tabla2[[#This Row],[FECHA]],"dd/mm/yyyy")</f>
        <v>ACUACHI LANCHIPA ERNESTO ALONSO-15/09/2025</v>
      </c>
    </row>
    <row r="122" spans="2:18" ht="20.45" hidden="1" customHeight="1" x14ac:dyDescent="0.25">
      <c r="B122" s="5">
        <v>45915</v>
      </c>
      <c r="C122" s="2" t="str">
        <f>IFERROR(_xlfn.XLOOKUP(Tabla2[[#This Row],[PRODUCTO]],Tabla1[PRODUCTO],Tabla1[CODIGO]),"")</f>
        <v>UE-52</v>
      </c>
      <c r="D122" s="31" t="s">
        <v>207</v>
      </c>
      <c r="E122" s="31" t="str">
        <f>IFERROR(VLOOKUP(Tabla2[[#This Row],[CODIGO]],Tabla1[],3,0),"")</f>
        <v>UTILES DE ESCRITORIO</v>
      </c>
      <c r="F122" s="28" t="str">
        <f>IFERROR(VLOOKUP(Tabla2[[#This Row],[CODIGO]],Tabla1[],5,0),"")</f>
        <v>ALMACEN TICAPAMPA</v>
      </c>
      <c r="G122" s="26" t="str">
        <f>IFERROR(VLOOKUP(Tabla2[[#This Row],[CODIGO]],Tabla1[],6,0),"")</f>
        <v>UNI</v>
      </c>
      <c r="H122" s="26">
        <f>IFERROR(VLOOKUP(Tabla2[[#This Row],[CODIGO]],Tabla1[],10,0),"")</f>
        <v>2</v>
      </c>
      <c r="I122" s="7">
        <v>2</v>
      </c>
      <c r="J122" s="29" t="s">
        <v>320</v>
      </c>
      <c r="K122" s="26" t="str">
        <f>IFERROR(VLOOKUP(Tabla2[[#This Row],[CODIGO]],Tabla1[],11,0),"")</f>
        <v>COMPRA</v>
      </c>
      <c r="L122" s="67" t="s">
        <v>308</v>
      </c>
      <c r="M122" s="67" t="s">
        <v>472</v>
      </c>
      <c r="N122" s="70"/>
      <c r="O122" s="70">
        <f>Tabla2[[#This Row],[CANTIDAD]]*Tabla2[[#This Row],[PREC. UNITARIO]]</f>
        <v>0</v>
      </c>
      <c r="R122" t="str">
        <f>Tabla2[[#This Row],[QUIEN RECIBE]]&amp;"-"&amp;TEXT(Tabla2[[#This Row],[FECHA]],"dd/mm/yyyy")</f>
        <v>ACUACHI LANCHIPA ERNESTO ALONSO-15/09/2025</v>
      </c>
    </row>
    <row r="123" spans="2:18" ht="20.45" hidden="1" customHeight="1" x14ac:dyDescent="0.25">
      <c r="B123" s="5">
        <v>45915</v>
      </c>
      <c r="C123" s="2" t="str">
        <f>IFERROR(_xlfn.XLOOKUP(Tabla2[[#This Row],[PRODUCTO]],Tabla1[PRODUCTO],Tabla1[CODIGO]),"")</f>
        <v>ULI-1</v>
      </c>
      <c r="D123" s="31" t="s">
        <v>210</v>
      </c>
      <c r="E123" s="31" t="str">
        <f>IFERROR(VLOOKUP(Tabla2[[#This Row],[CODIGO]],Tabla1[],3,0),"")</f>
        <v>UTILES LIMPIEZA</v>
      </c>
      <c r="F123" s="28" t="str">
        <f>IFERROR(VLOOKUP(Tabla2[[#This Row],[CODIGO]],Tabla1[],5,0),"")</f>
        <v>ALMACEN TICAPAMPA</v>
      </c>
      <c r="G123" s="26" t="str">
        <f>IFERROR(VLOOKUP(Tabla2[[#This Row],[CODIGO]],Tabla1[],6,0),"")</f>
        <v>UNI</v>
      </c>
      <c r="H123" s="26">
        <f>IFERROR(VLOOKUP(Tabla2[[#This Row],[CODIGO]],Tabla1[],10,0),"")</f>
        <v>1</v>
      </c>
      <c r="I123" s="7">
        <v>1</v>
      </c>
      <c r="J123" s="29" t="s">
        <v>320</v>
      </c>
      <c r="K123" s="26" t="str">
        <f>IFERROR(VLOOKUP(Tabla2[[#This Row],[CODIGO]],Tabla1[],11,0),"")</f>
        <v>COMPRA</v>
      </c>
      <c r="L123" s="67" t="s">
        <v>308</v>
      </c>
      <c r="M123" s="67" t="s">
        <v>472</v>
      </c>
      <c r="N123" s="70"/>
      <c r="O123" s="70">
        <f>Tabla2[[#This Row],[CANTIDAD]]*Tabla2[[#This Row],[PREC. UNITARIO]]</f>
        <v>0</v>
      </c>
      <c r="R123" t="str">
        <f>Tabla2[[#This Row],[QUIEN RECIBE]]&amp;"-"&amp;TEXT(Tabla2[[#This Row],[FECHA]],"dd/mm/yyyy")</f>
        <v>ACUACHI LANCHIPA ERNESTO ALONSO-15/09/2025</v>
      </c>
    </row>
    <row r="124" spans="2:18" ht="20.45" hidden="1" customHeight="1" x14ac:dyDescent="0.25">
      <c r="B124" s="5">
        <v>45915</v>
      </c>
      <c r="C124" s="2" t="str">
        <f>IFERROR(_xlfn.XLOOKUP(Tabla2[[#This Row],[PRODUCTO]],Tabla1[PRODUCTO],Tabla1[CODIGO]),"")</f>
        <v>HM-2</v>
      </c>
      <c r="D124" s="31" t="s">
        <v>211</v>
      </c>
      <c r="E124" s="31" t="str">
        <f>IFERROR(VLOOKUP(Tabla2[[#This Row],[CODIGO]],Tabla1[],3,0),"")</f>
        <v>HERRAMIENTAS</v>
      </c>
      <c r="F124" s="28" t="str">
        <f>IFERROR(VLOOKUP(Tabla2[[#This Row],[CODIGO]],Tabla1[],5,0),"")</f>
        <v>ALMACEN TICAPAMPA</v>
      </c>
      <c r="G124" s="26" t="str">
        <f>IFERROR(VLOOKUP(Tabla2[[#This Row],[CODIGO]],Tabla1[],6,0),"")</f>
        <v>UNI</v>
      </c>
      <c r="H124" s="26">
        <f>IFERROR(VLOOKUP(Tabla2[[#This Row],[CODIGO]],Tabla1[],10,0),"")</f>
        <v>1</v>
      </c>
      <c r="I124" s="7">
        <v>1</v>
      </c>
      <c r="J124" s="29" t="s">
        <v>320</v>
      </c>
      <c r="K124" s="26" t="str">
        <f>IFERROR(VLOOKUP(Tabla2[[#This Row],[CODIGO]],Tabla1[],11,0),"")</f>
        <v>COMPRA</v>
      </c>
      <c r="L124" s="67" t="s">
        <v>308</v>
      </c>
      <c r="M124" s="67" t="s">
        <v>472</v>
      </c>
      <c r="N124" s="70"/>
      <c r="O124" s="70">
        <f>Tabla2[[#This Row],[CANTIDAD]]*Tabla2[[#This Row],[PREC. UNITARIO]]</f>
        <v>0</v>
      </c>
      <c r="R124" t="str">
        <f>Tabla2[[#This Row],[QUIEN RECIBE]]&amp;"-"&amp;TEXT(Tabla2[[#This Row],[FECHA]],"dd/mm/yyyy")</f>
        <v>ACUACHI LANCHIPA ERNESTO ALONSO-15/09/2025</v>
      </c>
    </row>
    <row r="125" spans="2:18" ht="20.45" hidden="1" customHeight="1" x14ac:dyDescent="0.25">
      <c r="B125" s="5">
        <v>45915</v>
      </c>
      <c r="C125" s="2" t="str">
        <f>IFERROR(_xlfn.XLOOKUP(Tabla2[[#This Row],[PRODUCTO]],Tabla1[PRODUCTO],Tabla1[CODIGO]),"")</f>
        <v>IS-35</v>
      </c>
      <c r="D125" s="31" t="s">
        <v>212</v>
      </c>
      <c r="E125" s="31" t="str">
        <f>IFERROR(VLOOKUP(Tabla2[[#This Row],[CODIGO]],Tabla1[],3,0),"")</f>
        <v>IMPLEMENTOS DE SEGURIDAD</v>
      </c>
      <c r="F125" s="28" t="str">
        <f>IFERROR(VLOOKUP(Tabla2[[#This Row],[CODIGO]],Tabla1[],5,0),"")</f>
        <v>ALMACEN TICAPAMPA</v>
      </c>
      <c r="G125" s="26" t="str">
        <f>IFERROR(VLOOKUP(Tabla2[[#This Row],[CODIGO]],Tabla1[],6,0),"")</f>
        <v>UNI</v>
      </c>
      <c r="H125" s="26">
        <f>IFERROR(VLOOKUP(Tabla2[[#This Row],[CODIGO]],Tabla1[],10,0),"")</f>
        <v>0</v>
      </c>
      <c r="I125" s="7">
        <v>50</v>
      </c>
      <c r="J125" s="29" t="s">
        <v>320</v>
      </c>
      <c r="K125" s="26" t="str">
        <f>IFERROR(VLOOKUP(Tabla2[[#This Row],[CODIGO]],Tabla1[],11,0),"")</f>
        <v>COMPRA</v>
      </c>
      <c r="L125" s="67" t="s">
        <v>308</v>
      </c>
      <c r="M125" s="67" t="s">
        <v>472</v>
      </c>
      <c r="N125" s="70"/>
      <c r="O125" s="70">
        <f>Tabla2[[#This Row],[CANTIDAD]]*Tabla2[[#This Row],[PREC. UNITARIO]]</f>
        <v>0</v>
      </c>
      <c r="R125" t="str">
        <f>Tabla2[[#This Row],[QUIEN RECIBE]]&amp;"-"&amp;TEXT(Tabla2[[#This Row],[FECHA]],"dd/mm/yyyy")</f>
        <v>ACUACHI LANCHIPA ERNESTO ALONSO-15/09/2025</v>
      </c>
    </row>
    <row r="126" spans="2:18" ht="20.45" hidden="1" customHeight="1" x14ac:dyDescent="0.25">
      <c r="B126" s="5">
        <v>45915</v>
      </c>
      <c r="C126" s="2" t="str">
        <f>IFERROR(_xlfn.XLOOKUP(Tabla2[[#This Row],[PRODUCTO]],Tabla1[PRODUCTO],Tabla1[CODIGO]),"")</f>
        <v>UE-53</v>
      </c>
      <c r="D126" s="31" t="s">
        <v>213</v>
      </c>
      <c r="E126" s="31" t="str">
        <f>IFERROR(VLOOKUP(Tabla2[[#This Row],[CODIGO]],Tabla1[],3,0),"")</f>
        <v>UTILES DE ESCRITORIO</v>
      </c>
      <c r="F126" s="28" t="str">
        <f>IFERROR(VLOOKUP(Tabla2[[#This Row],[CODIGO]],Tabla1[],5,0),"")</f>
        <v>ALMACEN TICAPAMPA</v>
      </c>
      <c r="G126" s="26" t="str">
        <f>IFERROR(VLOOKUP(Tabla2[[#This Row],[CODIGO]],Tabla1[],6,0),"")</f>
        <v>BLS</v>
      </c>
      <c r="H126" s="26">
        <f>IFERROR(VLOOKUP(Tabla2[[#This Row],[CODIGO]],Tabla1[],10,0),"")</f>
        <v>1</v>
      </c>
      <c r="I126" s="7">
        <v>1</v>
      </c>
      <c r="J126" s="29" t="s">
        <v>320</v>
      </c>
      <c r="K126" s="26" t="str">
        <f>IFERROR(VLOOKUP(Tabla2[[#This Row],[CODIGO]],Tabla1[],11,0),"")</f>
        <v>COMPRA</v>
      </c>
      <c r="L126" s="67" t="s">
        <v>308</v>
      </c>
      <c r="M126" s="67" t="s">
        <v>472</v>
      </c>
      <c r="N126" s="70"/>
      <c r="O126" s="70">
        <f>Tabla2[[#This Row],[CANTIDAD]]*Tabla2[[#This Row],[PREC. UNITARIO]]</f>
        <v>0</v>
      </c>
      <c r="R126" t="str">
        <f>Tabla2[[#This Row],[QUIEN RECIBE]]&amp;"-"&amp;TEXT(Tabla2[[#This Row],[FECHA]],"dd/mm/yyyy")</f>
        <v>ACUACHI LANCHIPA ERNESTO ALONSO-15/09/2025</v>
      </c>
    </row>
    <row r="127" spans="2:18" ht="20.45" hidden="1" customHeight="1" x14ac:dyDescent="0.25">
      <c r="B127" s="5">
        <v>45915</v>
      </c>
      <c r="C127" s="2" t="str">
        <f>IFERROR(_xlfn.XLOOKUP(Tabla2[[#This Row],[PRODUCTO]],Tabla1[PRODUCTO],Tabla1[CODIGO]),"")</f>
        <v>UE-54</v>
      </c>
      <c r="D127" s="31" t="s">
        <v>216</v>
      </c>
      <c r="E127" s="31" t="str">
        <f>IFERROR(VLOOKUP(Tabla2[[#This Row],[CODIGO]],Tabla1[],3,0),"")</f>
        <v>UTILES DE ESCRITORIO</v>
      </c>
      <c r="F127" s="28" t="str">
        <f>IFERROR(VLOOKUP(Tabla2[[#This Row],[CODIGO]],Tabla1[],5,0),"")</f>
        <v>ALMACEN TICAPAMPA</v>
      </c>
      <c r="G127" s="26" t="str">
        <f>IFERROR(VLOOKUP(Tabla2[[#This Row],[CODIGO]],Tabla1[],6,0),"")</f>
        <v>BLS</v>
      </c>
      <c r="H127" s="26">
        <f>IFERROR(VLOOKUP(Tabla2[[#This Row],[CODIGO]],Tabla1[],10,0),"")</f>
        <v>1</v>
      </c>
      <c r="I127" s="7">
        <v>1</v>
      </c>
      <c r="J127" s="29" t="s">
        <v>320</v>
      </c>
      <c r="K127" s="26" t="str">
        <f>IFERROR(VLOOKUP(Tabla2[[#This Row],[CODIGO]],Tabla1[],11,0),"")</f>
        <v>COMPRA</v>
      </c>
      <c r="L127" s="67" t="s">
        <v>308</v>
      </c>
      <c r="M127" s="67" t="s">
        <v>472</v>
      </c>
      <c r="N127" s="70"/>
      <c r="O127" s="70">
        <f>Tabla2[[#This Row],[CANTIDAD]]*Tabla2[[#This Row],[PREC. UNITARIO]]</f>
        <v>0</v>
      </c>
      <c r="R127" t="str">
        <f>Tabla2[[#This Row],[QUIEN RECIBE]]&amp;"-"&amp;TEXT(Tabla2[[#This Row],[FECHA]],"dd/mm/yyyy")</f>
        <v>ACUACHI LANCHIPA ERNESTO ALONSO-15/09/2025</v>
      </c>
    </row>
    <row r="128" spans="2:18" ht="20.45" hidden="1" customHeight="1" x14ac:dyDescent="0.25">
      <c r="B128" s="5">
        <v>45915</v>
      </c>
      <c r="C128" s="2" t="str">
        <f>IFERROR(_xlfn.XLOOKUP(Tabla2[[#This Row],[PRODUCTO]],Tabla1[PRODUCTO],Tabla1[CODIGO]),"")</f>
        <v>UE-55</v>
      </c>
      <c r="D128" s="31" t="s">
        <v>217</v>
      </c>
      <c r="E128" s="31" t="str">
        <f>IFERROR(VLOOKUP(Tabla2[[#This Row],[CODIGO]],Tabla1[],3,0),"")</f>
        <v>UTILES DE ESCRITORIO</v>
      </c>
      <c r="F128" s="28" t="str">
        <f>IFERROR(VLOOKUP(Tabla2[[#This Row],[CODIGO]],Tabla1[],5,0),"")</f>
        <v>ALMACEN TICAPAMPA</v>
      </c>
      <c r="G128" s="26" t="str">
        <f>IFERROR(VLOOKUP(Tabla2[[#This Row],[CODIGO]],Tabla1[],6,0),"")</f>
        <v>UNI</v>
      </c>
      <c r="H128" s="26">
        <f>IFERROR(VLOOKUP(Tabla2[[#This Row],[CODIGO]],Tabla1[],10,0),"")</f>
        <v>1</v>
      </c>
      <c r="I128" s="7">
        <v>1</v>
      </c>
      <c r="J128" s="29" t="s">
        <v>320</v>
      </c>
      <c r="K128" s="26" t="str">
        <f>IFERROR(VLOOKUP(Tabla2[[#This Row],[CODIGO]],Tabla1[],11,0),"")</f>
        <v>COMPRA</v>
      </c>
      <c r="L128" s="67" t="s">
        <v>308</v>
      </c>
      <c r="M128" s="67" t="s">
        <v>472</v>
      </c>
      <c r="N128" s="70"/>
      <c r="O128" s="70">
        <f>Tabla2[[#This Row],[CANTIDAD]]*Tabla2[[#This Row],[PREC. UNITARIO]]</f>
        <v>0</v>
      </c>
      <c r="R128" t="str">
        <f>Tabla2[[#This Row],[QUIEN RECIBE]]&amp;"-"&amp;TEXT(Tabla2[[#This Row],[FECHA]],"dd/mm/yyyy")</f>
        <v>ACUACHI LANCHIPA ERNESTO ALONSO-15/09/2025</v>
      </c>
    </row>
    <row r="129" spans="2:18" ht="20.45" hidden="1" customHeight="1" x14ac:dyDescent="0.25">
      <c r="B129" s="5">
        <v>45912</v>
      </c>
      <c r="C129" s="2" t="str">
        <f>IFERROR(_xlfn.XLOOKUP(Tabla2[[#This Row],[PRODUCTO]],Tabla1[PRODUCTO],Tabla1[CODIGO]),"")</f>
        <v>IS-30</v>
      </c>
      <c r="D129" s="31" t="s">
        <v>81</v>
      </c>
      <c r="E129" s="31" t="str">
        <f>IFERROR(VLOOKUP(Tabla2[[#This Row],[CODIGO]],Tabla1[],3,0),"")</f>
        <v>IMPLEMENTOS DE SEGURIDAD</v>
      </c>
      <c r="F129" s="28" t="str">
        <f>IFERROR(VLOOKUP(Tabla2[[#This Row],[CODIGO]],Tabla1[],5,0),"")</f>
        <v>ALMACEN TICAPAMPA</v>
      </c>
      <c r="G129" s="26" t="str">
        <f>IFERROR(VLOOKUP(Tabla2[[#This Row],[CODIGO]],Tabla1[],6,0),"")</f>
        <v>UNI</v>
      </c>
      <c r="H129" s="26">
        <f>IFERROR(VLOOKUP(Tabla2[[#This Row],[CODIGO]],Tabla1[],10,0),"")</f>
        <v>99</v>
      </c>
      <c r="I129" s="7">
        <v>-3</v>
      </c>
      <c r="J129" s="29" t="s">
        <v>218</v>
      </c>
      <c r="K129" s="26" t="str">
        <f>IFERROR(VLOOKUP(Tabla2[[#This Row],[CODIGO]],Tabla1[],11,0),"")</f>
        <v>COMPRA</v>
      </c>
      <c r="L129" s="67" t="s">
        <v>236</v>
      </c>
      <c r="M129" s="67" t="s">
        <v>240</v>
      </c>
      <c r="N129" s="70">
        <v>8</v>
      </c>
      <c r="O129" s="70">
        <f>Tabla2[[#This Row],[CANTIDAD]]*Tabla2[[#This Row],[PREC. UNITARIO]]</f>
        <v>-24</v>
      </c>
      <c r="R129" t="str">
        <f>Tabla2[[#This Row],[QUIEN RECIBE]]&amp;"-"&amp;TEXT(Tabla2[[#This Row],[FECHA]],"dd/mm/yyyy")</f>
        <v>LOZANO MALDONADO, HERNAN-12/09/2025</v>
      </c>
    </row>
    <row r="130" spans="2:18" ht="20.45" hidden="1" customHeight="1" x14ac:dyDescent="0.25">
      <c r="B130" s="5">
        <v>45915</v>
      </c>
      <c r="C130" s="2" t="str">
        <f>IFERROR(_xlfn.XLOOKUP(Tabla2[[#This Row],[PRODUCTO]],Tabla1[PRODUCTO],Tabla1[CODIGO]),"")</f>
        <v>IE-9</v>
      </c>
      <c r="D130" s="31" t="s">
        <v>274</v>
      </c>
      <c r="E130" s="31" t="str">
        <f>IFERROR(VLOOKUP(Tabla2[[#This Row],[CODIGO]],Tabla1[],3,0),"")</f>
        <v>INSTALACIONES ELECTRICAS</v>
      </c>
      <c r="F130" s="28" t="str">
        <f>IFERROR(VLOOKUP(Tabla2[[#This Row],[CODIGO]],Tabla1[],5,0),"")</f>
        <v>ALMACEN TICAPAMPA</v>
      </c>
      <c r="G130" s="26" t="str">
        <f>IFERROR(VLOOKUP(Tabla2[[#This Row],[CODIGO]],Tabla1[],6,0),"")</f>
        <v>BLS</v>
      </c>
      <c r="H130" s="26">
        <f>IFERROR(VLOOKUP(Tabla2[[#This Row],[CODIGO]],Tabla1[],10,0),"")</f>
        <v>0</v>
      </c>
      <c r="I130" s="7">
        <v>1</v>
      </c>
      <c r="J130" s="29" t="s">
        <v>320</v>
      </c>
      <c r="K130" s="26" t="str">
        <f>IFERROR(VLOOKUP(Tabla2[[#This Row],[CODIGO]],Tabla1[],11,0),"")</f>
        <v>COMPRA</v>
      </c>
      <c r="L130" s="67" t="s">
        <v>308</v>
      </c>
      <c r="M130" s="67" t="s">
        <v>472</v>
      </c>
      <c r="N130" s="70">
        <v>10</v>
      </c>
      <c r="O130" s="70">
        <f>Tabla2[[#This Row],[CANTIDAD]]*Tabla2[[#This Row],[PREC. UNITARIO]]</f>
        <v>10</v>
      </c>
      <c r="P130" t="s">
        <v>276</v>
      </c>
      <c r="R130" t="str">
        <f>Tabla2[[#This Row],[QUIEN RECIBE]]&amp;"-"&amp;TEXT(Tabla2[[#This Row],[FECHA]],"dd/mm/yyyy")</f>
        <v>ACUACHI LANCHIPA ERNESTO ALONSO-15/09/2025</v>
      </c>
    </row>
    <row r="131" spans="2:18" ht="20.45" hidden="1" customHeight="1" x14ac:dyDescent="0.25">
      <c r="B131" s="5">
        <v>45917</v>
      </c>
      <c r="C131" s="2" t="str">
        <f>IFERROR(_xlfn.XLOOKUP(Tabla2[[#This Row],[PRODUCTO]],Tabla1[PRODUCTO],Tabla1[CODIGO]),"")</f>
        <v>COM-1</v>
      </c>
      <c r="D131" s="31" t="s">
        <v>272</v>
      </c>
      <c r="E131" s="31" t="str">
        <f>IFERROR(VLOOKUP(Tabla2[[#This Row],[CODIGO]],Tabla1[],3,0),"")</f>
        <v>COMBUSTIBLE</v>
      </c>
      <c r="F131" s="28" t="str">
        <f>IFERROR(VLOOKUP(Tabla2[[#This Row],[CODIGO]],Tabla1[],5,0),"")</f>
        <v>ALMACEN TICAPAMPA</v>
      </c>
      <c r="G131" s="26" t="str">
        <f>IFERROR(VLOOKUP(Tabla2[[#This Row],[CODIGO]],Tabla1[],6,0),"")</f>
        <v>GLN</v>
      </c>
      <c r="H131" s="26">
        <f>IFERROR(VLOOKUP(Tabla2[[#This Row],[CODIGO]],Tabla1[],10,0),"")</f>
        <v>5.6230000000000002</v>
      </c>
      <c r="I131" s="7">
        <v>5.6230000000000002</v>
      </c>
      <c r="J131" s="29" t="s">
        <v>320</v>
      </c>
      <c r="K131" s="26" t="str">
        <f>IFERROR(VLOOKUP(Tabla2[[#This Row],[CODIGO]],Tabla1[],11,0),"")</f>
        <v>COMPRA</v>
      </c>
      <c r="L131" s="67" t="s">
        <v>472</v>
      </c>
      <c r="M131" s="67" t="s">
        <v>472</v>
      </c>
      <c r="N131" s="70">
        <v>15.65</v>
      </c>
      <c r="O131" s="70">
        <f>Tabla2[[#This Row],[CANTIDAD]]*Tabla2[[#This Row],[PREC. UNITARIO]]</f>
        <v>87.999950000000013</v>
      </c>
      <c r="P131" t="s">
        <v>277</v>
      </c>
      <c r="R131" t="str">
        <f>Tabla2[[#This Row],[QUIEN RECIBE]]&amp;"-"&amp;TEXT(Tabla2[[#This Row],[FECHA]],"dd/mm/yyyy")</f>
        <v>ACUACHI LANCHIPA ERNESTO ALONSO-17/09/2025</v>
      </c>
    </row>
    <row r="132" spans="2:18" ht="20.45" hidden="1" customHeight="1" x14ac:dyDescent="0.25">
      <c r="B132" s="5">
        <v>45915</v>
      </c>
      <c r="C132" s="2" t="str">
        <f>IFERROR(_xlfn.XLOOKUP(Tabla2[[#This Row],[PRODUCTO]],Tabla1[PRODUCTO],Tabla1[CODIGO]),"")</f>
        <v>IE-9</v>
      </c>
      <c r="D132" s="31" t="s">
        <v>274</v>
      </c>
      <c r="E132" s="31" t="str">
        <f>IFERROR(VLOOKUP(Tabla2[[#This Row],[CODIGO]],Tabla1[],3,0),"")</f>
        <v>INSTALACIONES ELECTRICAS</v>
      </c>
      <c r="F132" s="28" t="str">
        <f>IFERROR(VLOOKUP(Tabla2[[#This Row],[CODIGO]],Tabla1[],5,0),"")</f>
        <v>ALMACEN TICAPAMPA</v>
      </c>
      <c r="G132" s="26" t="str">
        <f>IFERROR(VLOOKUP(Tabla2[[#This Row],[CODIGO]],Tabla1[],6,0),"")</f>
        <v>BLS</v>
      </c>
      <c r="H132" s="26">
        <f>IFERROR(VLOOKUP(Tabla2[[#This Row],[CODIGO]],Tabla1[],10,0),"")</f>
        <v>0</v>
      </c>
      <c r="I132" s="7">
        <v>-1</v>
      </c>
      <c r="J132" s="29" t="s">
        <v>535</v>
      </c>
      <c r="K132" s="26" t="str">
        <f>IFERROR(VLOOKUP(Tabla2[[#This Row],[CODIGO]],Tabla1[],11,0),"")</f>
        <v>COMPRA</v>
      </c>
      <c r="L132" s="67" t="s">
        <v>472</v>
      </c>
      <c r="M132" s="67" t="s">
        <v>148</v>
      </c>
      <c r="N132" s="70"/>
      <c r="O132" s="70">
        <f>Tabla2[[#This Row],[CANTIDAD]]*Tabla2[[#This Row],[PREC. UNITARIO]]</f>
        <v>0</v>
      </c>
      <c r="R132" t="str">
        <f>Tabla2[[#This Row],[QUIEN RECIBE]]&amp;"-"&amp;TEXT(Tabla2[[#This Row],[FECHA]],"dd/mm/yyyy")</f>
        <v>OTROS-15/09/2025</v>
      </c>
    </row>
    <row r="133" spans="2:18" ht="20.45" hidden="1" customHeight="1" x14ac:dyDescent="0.25">
      <c r="B133" s="5">
        <v>45918</v>
      </c>
      <c r="C133" s="2" t="str">
        <f>IFERROR(_xlfn.XLOOKUP(Tabla2[[#This Row],[PRODUCTO]],Tabla1[PRODUCTO],Tabla1[CODIGO]),"")</f>
        <v>HM-3</v>
      </c>
      <c r="D133" s="31" t="s">
        <v>294</v>
      </c>
      <c r="E133" s="31" t="str">
        <f>IFERROR(VLOOKUP(Tabla2[[#This Row],[CODIGO]],Tabla1[],3,0),"")</f>
        <v>HERRAMIENTAS</v>
      </c>
      <c r="F133" s="28" t="str">
        <f>IFERROR(VLOOKUP(Tabla2[[#This Row],[CODIGO]],Tabla1[],5,0),"")</f>
        <v>ALMACEN TICAPAMPA</v>
      </c>
      <c r="G133" s="26" t="str">
        <f>IFERROR(VLOOKUP(Tabla2[[#This Row],[CODIGO]],Tabla1[],6,0),"")</f>
        <v>UNI</v>
      </c>
      <c r="H133" s="26">
        <f>IFERROR(VLOOKUP(Tabla2[[#This Row],[CODIGO]],Tabla1[],10,0),"")</f>
        <v>0</v>
      </c>
      <c r="I133" s="7">
        <v>16</v>
      </c>
      <c r="J133" s="29" t="s">
        <v>320</v>
      </c>
      <c r="K133" s="26" t="str">
        <f>IFERROR(VLOOKUP(Tabla2[[#This Row],[CODIGO]],Tabla1[],11,0),"")</f>
        <v>COMPRA</v>
      </c>
      <c r="L133" s="67" t="s">
        <v>308</v>
      </c>
      <c r="M133" s="67" t="s">
        <v>472</v>
      </c>
      <c r="N133" s="70"/>
      <c r="O133" s="70">
        <f>Tabla2[[#This Row],[CANTIDAD]]*Tabla2[[#This Row],[PREC. UNITARIO]]</f>
        <v>0</v>
      </c>
      <c r="R133" t="str">
        <f>Tabla2[[#This Row],[QUIEN RECIBE]]&amp;"-"&amp;TEXT(Tabla2[[#This Row],[FECHA]],"dd/mm/yyyy")</f>
        <v>ACUACHI LANCHIPA ERNESTO ALONSO-18/09/2025</v>
      </c>
    </row>
    <row r="134" spans="2:18" ht="20.45" hidden="1" customHeight="1" x14ac:dyDescent="0.25">
      <c r="B134" s="5">
        <v>45918</v>
      </c>
      <c r="C134" s="2" t="str">
        <f>IFERROR(_xlfn.XLOOKUP(Tabla2[[#This Row],[PRODUCTO]],Tabla1[PRODUCTO],Tabla1[CODIGO]),"")</f>
        <v>HM-3</v>
      </c>
      <c r="D134" s="31" t="s">
        <v>294</v>
      </c>
      <c r="E134" s="31" t="str">
        <f>IFERROR(VLOOKUP(Tabla2[[#This Row],[CODIGO]],Tabla1[],3,0),"")</f>
        <v>HERRAMIENTAS</v>
      </c>
      <c r="F134" s="28" t="str">
        <f>IFERROR(VLOOKUP(Tabla2[[#This Row],[CODIGO]],Tabla1[],5,0),"")</f>
        <v>ALMACEN TICAPAMPA</v>
      </c>
      <c r="G134" s="26" t="str">
        <f>IFERROR(VLOOKUP(Tabla2[[#This Row],[CODIGO]],Tabla1[],6,0),"")</f>
        <v>UNI</v>
      </c>
      <c r="H134" s="26">
        <f>IFERROR(VLOOKUP(Tabla2[[#This Row],[CODIGO]],Tabla1[],10,0),"")</f>
        <v>0</v>
      </c>
      <c r="I134" s="7">
        <v>-1</v>
      </c>
      <c r="J134" s="29" t="s">
        <v>278</v>
      </c>
      <c r="K134" s="26" t="str">
        <f>IFERROR(VLOOKUP(Tabla2[[#This Row],[CODIGO]],Tabla1[],11,0),"")</f>
        <v>COMPRA</v>
      </c>
      <c r="L134" s="67" t="s">
        <v>236</v>
      </c>
      <c r="M134" s="67" t="s">
        <v>239</v>
      </c>
      <c r="N134" s="70"/>
      <c r="O134" s="70">
        <f>Tabla2[[#This Row],[CANTIDAD]]*Tabla2[[#This Row],[PREC. UNITARIO]]</f>
        <v>0</v>
      </c>
      <c r="R134" t="str">
        <f>Tabla2[[#This Row],[QUIEN RECIBE]]&amp;"-"&amp;TEXT(Tabla2[[#This Row],[FECHA]],"dd/mm/yyyy")</f>
        <v>JEREMIAS PALOMINO, NORBERTO LEONCIO-18/09/2025</v>
      </c>
    </row>
    <row r="135" spans="2:18" ht="20.45" hidden="1" customHeight="1" x14ac:dyDescent="0.25">
      <c r="B135" s="5">
        <v>45918</v>
      </c>
      <c r="C135" s="2" t="str">
        <f>IFERROR(_xlfn.XLOOKUP(Tabla2[[#This Row],[PRODUCTO]],Tabla1[PRODUCTO],Tabla1[CODIGO]),"")</f>
        <v>ISA-8</v>
      </c>
      <c r="D135" s="31" t="s">
        <v>279</v>
      </c>
      <c r="E135" s="31" t="str">
        <f>IFERROR(VLOOKUP(Tabla2[[#This Row],[CODIGO]],Tabla1[],3,0),"")</f>
        <v>INSTALACIONES SANITARIAS</v>
      </c>
      <c r="F135" s="28" t="str">
        <f>IFERROR(VLOOKUP(Tabla2[[#This Row],[CODIGO]],Tabla1[],5,0),"")</f>
        <v>ALMACEN TICAPAMPA</v>
      </c>
      <c r="G135" s="26" t="str">
        <f>IFERROR(VLOOKUP(Tabla2[[#This Row],[CODIGO]],Tabla1[],6,0),"")</f>
        <v>UNI</v>
      </c>
      <c r="H135" s="26">
        <f>IFERROR(VLOOKUP(Tabla2[[#This Row],[CODIGO]],Tabla1[],10,0),"")</f>
        <v>1</v>
      </c>
      <c r="I135" s="7">
        <v>1</v>
      </c>
      <c r="J135" s="29" t="s">
        <v>320</v>
      </c>
      <c r="K135" s="26" t="str">
        <f>IFERROR(VLOOKUP(Tabla2[[#This Row],[CODIGO]],Tabla1[],11,0),"")</f>
        <v>COMPRA</v>
      </c>
      <c r="L135" s="67" t="s">
        <v>308</v>
      </c>
      <c r="M135" s="67" t="s">
        <v>472</v>
      </c>
      <c r="N135" s="70">
        <v>12</v>
      </c>
      <c r="O135" s="70">
        <f>Tabla2[[#This Row],[CANTIDAD]]*Tabla2[[#This Row],[PREC. UNITARIO]]</f>
        <v>12</v>
      </c>
      <c r="P135" t="s">
        <v>276</v>
      </c>
      <c r="R135" t="str">
        <f>Tabla2[[#This Row],[QUIEN RECIBE]]&amp;"-"&amp;TEXT(Tabla2[[#This Row],[FECHA]],"dd/mm/yyyy")</f>
        <v>ACUACHI LANCHIPA ERNESTO ALONSO-18/09/2025</v>
      </c>
    </row>
    <row r="136" spans="2:18" ht="20.45" hidden="1" customHeight="1" x14ac:dyDescent="0.25">
      <c r="B136" s="5">
        <v>45918</v>
      </c>
      <c r="C136" s="2" t="str">
        <f>IFERROR(_xlfn.XLOOKUP(Tabla2[[#This Row],[PRODUCTO]],Tabla1[PRODUCTO],Tabla1[CODIGO]),"")</f>
        <v>ISA-8</v>
      </c>
      <c r="D136" s="31" t="s">
        <v>279</v>
      </c>
      <c r="E136" s="31" t="str">
        <f>IFERROR(VLOOKUP(Tabla2[[#This Row],[CODIGO]],Tabla1[],3,0),"")</f>
        <v>INSTALACIONES SANITARIAS</v>
      </c>
      <c r="F136" s="28" t="str">
        <f>IFERROR(VLOOKUP(Tabla2[[#This Row],[CODIGO]],Tabla1[],5,0),"")</f>
        <v>ALMACEN TICAPAMPA</v>
      </c>
      <c r="G136" s="26" t="str">
        <f>IFERROR(VLOOKUP(Tabla2[[#This Row],[CODIGO]],Tabla1[],6,0),"")</f>
        <v>UNI</v>
      </c>
      <c r="H136" s="26">
        <f>IFERROR(VLOOKUP(Tabla2[[#This Row],[CODIGO]],Tabla1[],10,0),"")</f>
        <v>1</v>
      </c>
      <c r="I136" s="7">
        <v>-1</v>
      </c>
      <c r="J136" s="29" t="s">
        <v>281</v>
      </c>
      <c r="K136" s="26" t="str">
        <f>IFERROR(VLOOKUP(Tabla2[[#This Row],[CODIGO]],Tabla1[],11,0),"")</f>
        <v>COMPRA</v>
      </c>
      <c r="L136" s="67" t="s">
        <v>472</v>
      </c>
      <c r="M136" s="67" t="s">
        <v>258</v>
      </c>
      <c r="N136" s="70"/>
      <c r="O136" s="70">
        <f>Tabla2[[#This Row],[CANTIDAD]]*Tabla2[[#This Row],[PREC. UNITARIO]]</f>
        <v>0</v>
      </c>
      <c r="R136" t="str">
        <f>Tabla2[[#This Row],[QUIEN RECIBE]]&amp;"-"&amp;TEXT(Tabla2[[#This Row],[FECHA]],"dd/mm/yyyy")</f>
        <v>ADUVIRE ARGUATA, MARIO ARTURO-18/09/2025</v>
      </c>
    </row>
    <row r="137" spans="2:18" ht="20.45" hidden="1" customHeight="1" x14ac:dyDescent="0.25">
      <c r="B137" s="5">
        <v>45919</v>
      </c>
      <c r="C137" s="2" t="str">
        <f>IFERROR(_xlfn.XLOOKUP(Tabla2[[#This Row],[PRODUCTO]],Tabla1[PRODUCTO],Tabla1[CODIGO]),"")</f>
        <v>ISA-9</v>
      </c>
      <c r="D137" s="31" t="s">
        <v>283</v>
      </c>
      <c r="E137" s="31" t="str">
        <f>IFERROR(VLOOKUP(Tabla2[[#This Row],[CODIGO]],Tabla1[],3,0),"")</f>
        <v>INSTALACIONES SANITARIAS</v>
      </c>
      <c r="F137" s="28" t="str">
        <f>IFERROR(VLOOKUP(Tabla2[[#This Row],[CODIGO]],Tabla1[],5,0),"")</f>
        <v>ALMACEN TICAPAMPA</v>
      </c>
      <c r="G137" s="26" t="str">
        <f>IFERROR(VLOOKUP(Tabla2[[#This Row],[CODIGO]],Tabla1[],6,0),"")</f>
        <v>UNI</v>
      </c>
      <c r="H137" s="26">
        <f>IFERROR(VLOOKUP(Tabla2[[#This Row],[CODIGO]],Tabla1[],10,0),"")</f>
        <v>0</v>
      </c>
      <c r="I137" s="7">
        <v>1</v>
      </c>
      <c r="J137" s="29" t="s">
        <v>320</v>
      </c>
      <c r="K137" s="26" t="str">
        <f>IFERROR(VLOOKUP(Tabla2[[#This Row],[CODIGO]],Tabla1[],11,0),"")</f>
        <v>COMPRA</v>
      </c>
      <c r="L137" s="67" t="s">
        <v>308</v>
      </c>
      <c r="M137" s="67" t="s">
        <v>472</v>
      </c>
      <c r="N137" s="70">
        <v>12</v>
      </c>
      <c r="O137" s="70">
        <f>Tabla2[[#This Row],[CANTIDAD]]*Tabla2[[#This Row],[PREC. UNITARIO]]</f>
        <v>12</v>
      </c>
      <c r="P137" t="s">
        <v>276</v>
      </c>
      <c r="R137" t="str">
        <f>Tabla2[[#This Row],[QUIEN RECIBE]]&amp;"-"&amp;TEXT(Tabla2[[#This Row],[FECHA]],"dd/mm/yyyy")</f>
        <v>ACUACHI LANCHIPA ERNESTO ALONSO-19/09/2025</v>
      </c>
    </row>
    <row r="138" spans="2:18" ht="20.45" hidden="1" customHeight="1" x14ac:dyDescent="0.25">
      <c r="B138" s="5">
        <v>45919</v>
      </c>
      <c r="C138" s="2" t="str">
        <f>IFERROR(_xlfn.XLOOKUP(Tabla2[[#This Row],[PRODUCTO]],Tabla1[PRODUCTO],Tabla1[CODIGO]),"")</f>
        <v>ISA-9</v>
      </c>
      <c r="D138" s="31" t="s">
        <v>283</v>
      </c>
      <c r="E138" s="31" t="str">
        <f>IFERROR(VLOOKUP(Tabla2[[#This Row],[CODIGO]],Tabla1[],3,0),"")</f>
        <v>INSTALACIONES SANITARIAS</v>
      </c>
      <c r="F138" s="28" t="str">
        <f>IFERROR(VLOOKUP(Tabla2[[#This Row],[CODIGO]],Tabla1[],5,0),"")</f>
        <v>ALMACEN TICAPAMPA</v>
      </c>
      <c r="G138" s="26" t="str">
        <f>IFERROR(VLOOKUP(Tabla2[[#This Row],[CODIGO]],Tabla1[],6,0),"")</f>
        <v>UNI</v>
      </c>
      <c r="H138" s="26">
        <f>IFERROR(VLOOKUP(Tabla2[[#This Row],[CODIGO]],Tabla1[],10,0),"")</f>
        <v>0</v>
      </c>
      <c r="I138" s="7">
        <v>-1</v>
      </c>
      <c r="J138" s="29" t="s">
        <v>284</v>
      </c>
      <c r="K138" s="26" t="str">
        <f>IFERROR(VLOOKUP(Tabla2[[#This Row],[CODIGO]],Tabla1[],11,0),"")</f>
        <v>COMPRA</v>
      </c>
      <c r="L138" s="67" t="s">
        <v>472</v>
      </c>
      <c r="M138" s="67" t="s">
        <v>258</v>
      </c>
      <c r="N138" s="70"/>
      <c r="O138" s="70">
        <f>Tabla2[[#This Row],[CANTIDAD]]*Tabla2[[#This Row],[PREC. UNITARIO]]</f>
        <v>0</v>
      </c>
      <c r="R138" t="str">
        <f>Tabla2[[#This Row],[QUIEN RECIBE]]&amp;"-"&amp;TEXT(Tabla2[[#This Row],[FECHA]],"dd/mm/yyyy")</f>
        <v>ADUVIRE ARGUATA, MARIO ARTURO-19/09/2025</v>
      </c>
    </row>
    <row r="139" spans="2:18" ht="20.45" hidden="1" customHeight="1" x14ac:dyDescent="0.25">
      <c r="B139" s="5">
        <v>45919</v>
      </c>
      <c r="C139" s="2" t="str">
        <f>IFERROR(_xlfn.XLOOKUP(Tabla2[[#This Row],[PRODUCTO]],Tabla1[PRODUCTO],Tabla1[CODIGO]),"")</f>
        <v>OTR-19</v>
      </c>
      <c r="D139" s="31" t="s">
        <v>285</v>
      </c>
      <c r="E139" s="31" t="str">
        <f>IFERROR(VLOOKUP(Tabla2[[#This Row],[CODIGO]],Tabla1[],3,0),"")</f>
        <v>OTROS</v>
      </c>
      <c r="F139" s="28" t="str">
        <f>IFERROR(VLOOKUP(Tabla2[[#This Row],[CODIGO]],Tabla1[],5,0),"")</f>
        <v>ALMACEN TICAPAMPA</v>
      </c>
      <c r="G139" s="26" t="str">
        <f>IFERROR(VLOOKUP(Tabla2[[#This Row],[CODIGO]],Tabla1[],6,0),"")</f>
        <v>UNI</v>
      </c>
      <c r="H139" s="26">
        <f>IFERROR(VLOOKUP(Tabla2[[#This Row],[CODIGO]],Tabla1[],10,0),"")</f>
        <v>1</v>
      </c>
      <c r="I139" s="7">
        <v>2</v>
      </c>
      <c r="J139" s="29" t="s">
        <v>320</v>
      </c>
      <c r="K139" s="28" t="str">
        <f>IFERROR(VLOOKUP(Tabla2[[#This Row],[CODIGO]],Tabla1[],11,0),"")</f>
        <v>ALMACEN CENTRAL</v>
      </c>
      <c r="L139" s="67" t="s">
        <v>308</v>
      </c>
      <c r="M139" s="67" t="s">
        <v>472</v>
      </c>
      <c r="N139" s="70"/>
      <c r="O139" s="70">
        <f>Tabla2[[#This Row],[CANTIDAD]]*Tabla2[[#This Row],[PREC. UNITARIO]]</f>
        <v>0</v>
      </c>
      <c r="R139" t="str">
        <f>Tabla2[[#This Row],[QUIEN RECIBE]]&amp;"-"&amp;TEXT(Tabla2[[#This Row],[FECHA]],"dd/mm/yyyy")</f>
        <v>ACUACHI LANCHIPA ERNESTO ALONSO-19/09/2025</v>
      </c>
    </row>
    <row r="140" spans="2:18" ht="20.45" hidden="1" customHeight="1" x14ac:dyDescent="0.25">
      <c r="B140" s="5">
        <v>45919</v>
      </c>
      <c r="C140" s="2" t="str">
        <f>IFERROR(_xlfn.XLOOKUP(Tabla2[[#This Row],[PRODUCTO]],Tabla1[PRODUCTO],Tabla1[CODIGO]),"")</f>
        <v>OTR-19</v>
      </c>
      <c r="D140" s="31" t="s">
        <v>285</v>
      </c>
      <c r="E140" s="31" t="str">
        <f>IFERROR(VLOOKUP(Tabla2[[#This Row],[CODIGO]],Tabla1[],3,0),"")</f>
        <v>OTROS</v>
      </c>
      <c r="F140" s="28" t="str">
        <f>IFERROR(VLOOKUP(Tabla2[[#This Row],[CODIGO]],Tabla1[],5,0),"")</f>
        <v>ALMACEN TICAPAMPA</v>
      </c>
      <c r="G140" s="26" t="str">
        <f>IFERROR(VLOOKUP(Tabla2[[#This Row],[CODIGO]],Tabla1[],6,0),"")</f>
        <v>UNI</v>
      </c>
      <c r="H140" s="26">
        <f>IFERROR(VLOOKUP(Tabla2[[#This Row],[CODIGO]],Tabla1[],10,0),"")</f>
        <v>1</v>
      </c>
      <c r="I140" s="7">
        <v>-1</v>
      </c>
      <c r="J140" s="29" t="s">
        <v>286</v>
      </c>
      <c r="K140" s="28" t="str">
        <f>IFERROR(VLOOKUP(Tabla2[[#This Row],[CODIGO]],Tabla1[],11,0),"")</f>
        <v>ALMACEN CENTRAL</v>
      </c>
      <c r="L140" s="67" t="s">
        <v>472</v>
      </c>
      <c r="M140" s="67" t="s">
        <v>262</v>
      </c>
      <c r="N140" s="70"/>
      <c r="O140" s="70">
        <f>Tabla2[[#This Row],[CANTIDAD]]*Tabla2[[#This Row],[PREC. UNITARIO]]</f>
        <v>0</v>
      </c>
      <c r="R140" t="str">
        <f>Tabla2[[#This Row],[QUIEN RECIBE]]&amp;"-"&amp;TEXT(Tabla2[[#This Row],[FECHA]],"dd/mm/yyyy")</f>
        <v>CHACON ORTIZ, JOSE ANTONIO-19/09/2025</v>
      </c>
    </row>
    <row r="141" spans="2:18" ht="20.45" hidden="1" customHeight="1" x14ac:dyDescent="0.25">
      <c r="B141" s="5">
        <v>45919</v>
      </c>
      <c r="C141" s="2" t="str">
        <f>IFERROR(_xlfn.XLOOKUP(Tabla2[[#This Row],[PRODUCTO]],Tabla1[PRODUCTO],Tabla1[CODIGO]),"")</f>
        <v>HM-4</v>
      </c>
      <c r="D141" s="31" t="s">
        <v>293</v>
      </c>
      <c r="E141" s="31" t="str">
        <f>IFERROR(VLOOKUP(Tabla2[[#This Row],[CODIGO]],Tabla1[],3,0),"")</f>
        <v>HERRAMIENTAS</v>
      </c>
      <c r="F141" s="28" t="str">
        <f>IFERROR(VLOOKUP(Tabla2[[#This Row],[CODIGO]],Tabla1[],5,0),"")</f>
        <v>ALMACEN TICAPAMPA</v>
      </c>
      <c r="G141" s="26" t="str">
        <f>IFERROR(VLOOKUP(Tabla2[[#This Row],[CODIGO]],Tabla1[],6,0),"")</f>
        <v>UNI</v>
      </c>
      <c r="H141" s="26">
        <f>IFERROR(VLOOKUP(Tabla2[[#This Row],[CODIGO]],Tabla1[],10,0),"")</f>
        <v>1</v>
      </c>
      <c r="I141" s="7">
        <v>1</v>
      </c>
      <c r="J141" s="29" t="s">
        <v>320</v>
      </c>
      <c r="K141" s="26" t="str">
        <f>IFERROR(VLOOKUP(Tabla2[[#This Row],[CODIGO]],Tabla1[],11,0),"")</f>
        <v>COMPRA</v>
      </c>
      <c r="L141" s="67"/>
      <c r="M141" s="67"/>
      <c r="N141" s="70"/>
      <c r="O141" s="70">
        <f>Tabla2[[#This Row],[CANTIDAD]]*Tabla2[[#This Row],[PREC. UNITARIO]]</f>
        <v>0</v>
      </c>
      <c r="R141" t="str">
        <f>Tabla2[[#This Row],[QUIEN RECIBE]]&amp;"-"&amp;TEXT(Tabla2[[#This Row],[FECHA]],"dd/mm/yyyy")</f>
        <v>-19/09/2025</v>
      </c>
    </row>
    <row r="142" spans="2:18" ht="20.45" hidden="1" customHeight="1" x14ac:dyDescent="0.25">
      <c r="B142" s="5">
        <v>45919</v>
      </c>
      <c r="C142" s="2" t="str">
        <f>IFERROR(_xlfn.XLOOKUP(Tabla2[[#This Row],[PRODUCTO]],Tabla1[PRODUCTO],Tabla1[CODIGO]),"")</f>
        <v>HM-5</v>
      </c>
      <c r="D142" s="31" t="s">
        <v>295</v>
      </c>
      <c r="E142" s="31" t="str">
        <f>IFERROR(VLOOKUP(Tabla2[[#This Row],[CODIGO]],Tabla1[],3,0),"")</f>
        <v>HERRAMIENTAS</v>
      </c>
      <c r="F142" s="28" t="str">
        <f>IFERROR(VLOOKUP(Tabla2[[#This Row],[CODIGO]],Tabla1[],5,0),"")</f>
        <v>ALMACEN TICAPAMPA</v>
      </c>
      <c r="G142" s="26" t="str">
        <f>IFERROR(VLOOKUP(Tabla2[[#This Row],[CODIGO]],Tabla1[],6,0),"")</f>
        <v>UNI</v>
      </c>
      <c r="H142" s="26">
        <f>IFERROR(VLOOKUP(Tabla2[[#This Row],[CODIGO]],Tabla1[],10,0),"")</f>
        <v>1</v>
      </c>
      <c r="I142" s="7">
        <v>12</v>
      </c>
      <c r="J142" s="29" t="s">
        <v>320</v>
      </c>
      <c r="K142" s="26" t="str">
        <f>IFERROR(VLOOKUP(Tabla2[[#This Row],[CODIGO]],Tabla1[],11,0),"")</f>
        <v>COMPRA</v>
      </c>
      <c r="L142" s="67"/>
      <c r="M142" s="67"/>
      <c r="N142" s="70"/>
      <c r="O142" s="70">
        <f>Tabla2[[#This Row],[CANTIDAD]]*Tabla2[[#This Row],[PREC. UNITARIO]]</f>
        <v>0</v>
      </c>
      <c r="R142" t="str">
        <f>Tabla2[[#This Row],[QUIEN RECIBE]]&amp;"-"&amp;TEXT(Tabla2[[#This Row],[FECHA]],"dd/mm/yyyy")</f>
        <v>-19/09/2025</v>
      </c>
    </row>
    <row r="143" spans="2:18" ht="20.45" hidden="1" customHeight="1" x14ac:dyDescent="0.25">
      <c r="B143" s="5">
        <v>45919</v>
      </c>
      <c r="C143" s="2" t="str">
        <f>IFERROR(_xlfn.XLOOKUP(Tabla2[[#This Row],[PRODUCTO]],Tabla1[PRODUCTO],Tabla1[CODIGO]),"")</f>
        <v>HM-5</v>
      </c>
      <c r="D143" s="31" t="s">
        <v>295</v>
      </c>
      <c r="E143" s="31" t="str">
        <f>IFERROR(VLOOKUP(Tabla2[[#This Row],[CODIGO]],Tabla1[],3,0),"")</f>
        <v>HERRAMIENTAS</v>
      </c>
      <c r="F143" s="28" t="str">
        <f>IFERROR(VLOOKUP(Tabla2[[#This Row],[CODIGO]],Tabla1[],5,0),"")</f>
        <v>ALMACEN TICAPAMPA</v>
      </c>
      <c r="G143" s="26" t="str">
        <f>IFERROR(VLOOKUP(Tabla2[[#This Row],[CODIGO]],Tabla1[],6,0),"")</f>
        <v>UNI</v>
      </c>
      <c r="H143" s="26">
        <f>IFERROR(VLOOKUP(Tabla2[[#This Row],[CODIGO]],Tabla1[],10,0),"")</f>
        <v>1</v>
      </c>
      <c r="I143" s="7">
        <v>-1</v>
      </c>
      <c r="J143" s="29" t="s">
        <v>320</v>
      </c>
      <c r="K143" s="26" t="str">
        <f>IFERROR(VLOOKUP(Tabla2[[#This Row],[CODIGO]],Tabla1[],11,0),"")</f>
        <v>COMPRA</v>
      </c>
      <c r="L143" s="67" t="s">
        <v>472</v>
      </c>
      <c r="M143" s="67" t="s">
        <v>262</v>
      </c>
      <c r="N143" s="70"/>
      <c r="O143" s="70">
        <f>Tabla2[[#This Row],[CANTIDAD]]*Tabla2[[#This Row],[PREC. UNITARIO]]</f>
        <v>0</v>
      </c>
      <c r="R143" t="str">
        <f>Tabla2[[#This Row],[QUIEN RECIBE]]&amp;"-"&amp;TEXT(Tabla2[[#This Row],[FECHA]],"dd/mm/yyyy")</f>
        <v>CHACON ORTIZ, JOSE ANTONIO-19/09/2025</v>
      </c>
    </row>
    <row r="144" spans="2:18" ht="20.45" hidden="1" customHeight="1" x14ac:dyDescent="0.25">
      <c r="B144" s="5">
        <v>45919</v>
      </c>
      <c r="C144" s="2" t="str">
        <f>IFERROR(_xlfn.XLOOKUP(Tabla2[[#This Row],[PRODUCTO]],Tabla1[PRODUCTO],Tabla1[CODIGO]),"")</f>
        <v>COM-2</v>
      </c>
      <c r="D144" s="31" t="s">
        <v>296</v>
      </c>
      <c r="E144" s="31" t="str">
        <f>IFERROR(VLOOKUP(Tabla2[[#This Row],[CODIGO]],Tabla1[],3,0),"")</f>
        <v>COMBUSTIBLE</v>
      </c>
      <c r="F144" s="28" t="str">
        <f>IFERROR(VLOOKUP(Tabla2[[#This Row],[CODIGO]],Tabla1[],5,0),"")</f>
        <v>ALMACEN TICAPAMPA</v>
      </c>
      <c r="G144" s="26" t="str">
        <f>IFERROR(VLOOKUP(Tabla2[[#This Row],[CODIGO]],Tabla1[],6,0),"")</f>
        <v>GLN</v>
      </c>
      <c r="H144" s="26">
        <f>IFERROR(VLOOKUP(Tabla2[[#This Row],[CODIGO]],Tabla1[],10,0),"")</f>
        <v>1417</v>
      </c>
      <c r="I144" s="7">
        <v>1500</v>
      </c>
      <c r="J144" s="29" t="s">
        <v>320</v>
      </c>
      <c r="K144" s="26" t="str">
        <f>IFERROR(VLOOKUP(Tabla2[[#This Row],[CODIGO]],Tabla1[],11,0),"")</f>
        <v>COMPRA</v>
      </c>
      <c r="L144" s="67"/>
      <c r="M144" s="67"/>
      <c r="N144" s="70"/>
      <c r="O144" s="70">
        <f>Tabla2[[#This Row],[CANTIDAD]]*Tabla2[[#This Row],[PREC. UNITARIO]]</f>
        <v>0</v>
      </c>
      <c r="P144" t="s">
        <v>297</v>
      </c>
      <c r="R144" t="str">
        <f>Tabla2[[#This Row],[QUIEN RECIBE]]&amp;"-"&amp;TEXT(Tabla2[[#This Row],[FECHA]],"dd/mm/yyyy")</f>
        <v>-19/09/2025</v>
      </c>
    </row>
    <row r="145" spans="2:18" ht="20.45" hidden="1" customHeight="1" x14ac:dyDescent="0.25">
      <c r="B145" s="5">
        <v>45919</v>
      </c>
      <c r="C145" s="2" t="str">
        <f>IFERROR(_xlfn.XLOOKUP(Tabla2[[#This Row],[PRODUCTO]],Tabla1[PRODUCTO],Tabla1[CODIGO]),"")</f>
        <v>COM-2</v>
      </c>
      <c r="D145" s="31" t="s">
        <v>296</v>
      </c>
      <c r="E145" s="31" t="str">
        <f>IFERROR(VLOOKUP(Tabla2[[#This Row],[CODIGO]],Tabla1[],3,0),"")</f>
        <v>COMBUSTIBLE</v>
      </c>
      <c r="F145" s="28" t="str">
        <f>IFERROR(VLOOKUP(Tabla2[[#This Row],[CODIGO]],Tabla1[],5,0),"")</f>
        <v>ALMACEN TICAPAMPA</v>
      </c>
      <c r="G145" s="26" t="str">
        <f>IFERROR(VLOOKUP(Tabla2[[#This Row],[CODIGO]],Tabla1[],6,0),"")</f>
        <v>GLN</v>
      </c>
      <c r="H145" s="26">
        <f>IFERROR(VLOOKUP(Tabla2[[#This Row],[CODIGO]],Tabla1[],10,0),"")</f>
        <v>1417</v>
      </c>
      <c r="I145" s="7">
        <v>-83</v>
      </c>
      <c r="J145" s="29" t="s">
        <v>298</v>
      </c>
      <c r="K145" s="26" t="str">
        <f>IFERROR(VLOOKUP(Tabla2[[#This Row],[CODIGO]],Tabla1[],11,0),"")</f>
        <v>COMPRA</v>
      </c>
      <c r="L145" s="67" t="s">
        <v>472</v>
      </c>
      <c r="M145" s="67" t="s">
        <v>299</v>
      </c>
      <c r="N145" s="70"/>
      <c r="O145" s="70">
        <f>Tabla2[[#This Row],[CANTIDAD]]*Tabla2[[#This Row],[PREC. UNITARIO]]</f>
        <v>0</v>
      </c>
      <c r="R145" t="str">
        <f>Tabla2[[#This Row],[QUIEN RECIBE]]&amp;"-"&amp;TEXT(Tabla2[[#This Row],[FECHA]],"dd/mm/yyyy")</f>
        <v>VILLEGAS ROGER-19/09/2025</v>
      </c>
    </row>
    <row r="146" spans="2:18" ht="20.45" hidden="1" customHeight="1" x14ac:dyDescent="0.25">
      <c r="B146" s="5">
        <v>45920</v>
      </c>
      <c r="C146" s="2" t="str">
        <f>IFERROR(_xlfn.XLOOKUP(Tabla2[[#This Row],[PRODUCTO]],Tabla1[PRODUCTO],Tabla1[CODIGO]),"")</f>
        <v>IS-36</v>
      </c>
      <c r="D146" s="31" t="s">
        <v>300</v>
      </c>
      <c r="E146" s="31" t="str">
        <f>IFERROR(VLOOKUP(Tabla2[[#This Row],[CODIGO]],Tabla1[],3,0),"")</f>
        <v>IMPLEMENTOS DE SEGURIDAD</v>
      </c>
      <c r="F146" s="28" t="str">
        <f>IFERROR(VLOOKUP(Tabla2[[#This Row],[CODIGO]],Tabla1[],5,0),"")</f>
        <v>ALMACEN TICAPAMPA</v>
      </c>
      <c r="G146" s="26" t="str">
        <f>IFERROR(VLOOKUP(Tabla2[[#This Row],[CODIGO]],Tabla1[],6,0),"")</f>
        <v>UNI</v>
      </c>
      <c r="H146" s="26">
        <f>IFERROR(VLOOKUP(Tabla2[[#This Row],[CODIGO]],Tabla1[],10,0),"")</f>
        <v>4</v>
      </c>
      <c r="I146" s="7">
        <v>20</v>
      </c>
      <c r="J146" s="29" t="s">
        <v>320</v>
      </c>
      <c r="K146" s="26" t="str">
        <f>IFERROR(VLOOKUP(Tabla2[[#This Row],[CODIGO]],Tabla1[],11,0),"")</f>
        <v>COMPRA</v>
      </c>
      <c r="L146" s="67"/>
      <c r="M146" s="67"/>
      <c r="N146" s="70"/>
      <c r="O146" s="70">
        <f>Tabla2[[#This Row],[CANTIDAD]]*Tabla2[[#This Row],[PREC. UNITARIO]]</f>
        <v>0</v>
      </c>
      <c r="R146" t="str">
        <f>Tabla2[[#This Row],[QUIEN RECIBE]]&amp;"-"&amp;TEXT(Tabla2[[#This Row],[FECHA]],"dd/mm/yyyy")</f>
        <v>-20/09/2025</v>
      </c>
    </row>
    <row r="147" spans="2:18" ht="20.45" hidden="1" customHeight="1" x14ac:dyDescent="0.25">
      <c r="B147" s="5">
        <v>45920</v>
      </c>
      <c r="C147" s="2" t="str">
        <f>IFERROR(_xlfn.XLOOKUP(Tabla2[[#This Row],[PRODUCTO]],Tabla1[PRODUCTO],Tabla1[CODIGO]),"")</f>
        <v>IS-17</v>
      </c>
      <c r="D147" s="31" t="s">
        <v>66</v>
      </c>
      <c r="E147" s="31" t="str">
        <f>IFERROR(VLOOKUP(Tabla2[[#This Row],[CODIGO]],Tabla1[],3,0),"")</f>
        <v>IMPLEMENTOS DE SEGURIDAD</v>
      </c>
      <c r="F147" s="28" t="str">
        <f>IFERROR(VLOOKUP(Tabla2[[#This Row],[CODIGO]],Tabla1[],5,0),"")</f>
        <v>ALMACEN TICAPAMPA</v>
      </c>
      <c r="G147" s="26" t="str">
        <f>IFERROR(VLOOKUP(Tabla2[[#This Row],[CODIGO]],Tabla1[],6,0),"")</f>
        <v>PAR</v>
      </c>
      <c r="H147" s="26">
        <f>IFERROR(VLOOKUP(Tabla2[[#This Row],[CODIGO]],Tabla1[],10,0),"")</f>
        <v>0</v>
      </c>
      <c r="I147" s="7">
        <v>-3</v>
      </c>
      <c r="J147" s="29" t="s">
        <v>306</v>
      </c>
      <c r="K147" s="26" t="str">
        <f>IFERROR(VLOOKUP(Tabla2[[#This Row],[CODIGO]],Tabla1[],11,0),"")</f>
        <v>COMPRA</v>
      </c>
      <c r="L147" s="67" t="s">
        <v>236</v>
      </c>
      <c r="M147" s="67" t="s">
        <v>509</v>
      </c>
      <c r="N147" s="70">
        <v>63</v>
      </c>
      <c r="O147" s="70">
        <f>Tabla2[[#This Row],[CANTIDAD]]*Tabla2[[#This Row],[PREC. UNITARIO]]</f>
        <v>-189</v>
      </c>
      <c r="R147" t="str">
        <f>Tabla2[[#This Row],[QUIEN RECIBE]]&amp;"-"&amp;TEXT(Tabla2[[#This Row],[FECHA]],"dd/mm/yyyy")</f>
        <v>ACOSTA ROJAS, ERICK-20/09/2025</v>
      </c>
    </row>
    <row r="148" spans="2:18" ht="20.45" hidden="1" customHeight="1" x14ac:dyDescent="0.25">
      <c r="B148" s="5">
        <v>45920</v>
      </c>
      <c r="C148" s="2" t="str">
        <f>IFERROR(_xlfn.XLOOKUP(Tabla2[[#This Row],[PRODUCTO]],Tabla1[PRODUCTO],Tabla1[CODIGO]),"")</f>
        <v>IS-16</v>
      </c>
      <c r="D148" s="31" t="s">
        <v>65</v>
      </c>
      <c r="E148" s="31" t="str">
        <f>IFERROR(VLOOKUP(Tabla2[[#This Row],[CODIGO]],Tabla1[],3,0),"")</f>
        <v>IMPLEMENTOS DE SEGURIDAD</v>
      </c>
      <c r="F148" s="28" t="str">
        <f>IFERROR(VLOOKUP(Tabla2[[#This Row],[CODIGO]],Tabla1[],5,0),"")</f>
        <v>ALMACEN TICAPAMPA</v>
      </c>
      <c r="G148" s="26" t="str">
        <f>IFERROR(VLOOKUP(Tabla2[[#This Row],[CODIGO]],Tabla1[],6,0),"")</f>
        <v>PAR</v>
      </c>
      <c r="H148" s="26">
        <f>IFERROR(VLOOKUP(Tabla2[[#This Row],[CODIGO]],Tabla1[],10,0),"")</f>
        <v>1</v>
      </c>
      <c r="I148" s="7">
        <v>-2</v>
      </c>
      <c r="J148" s="29" t="s">
        <v>534</v>
      </c>
      <c r="K148" s="26" t="str">
        <f>IFERROR(VLOOKUP(Tabla2[[#This Row],[CODIGO]],Tabla1[],11,0),"")</f>
        <v>COMPRA</v>
      </c>
      <c r="L148" s="67" t="s">
        <v>236</v>
      </c>
      <c r="M148" s="67" t="s">
        <v>509</v>
      </c>
      <c r="N148" s="70">
        <v>63</v>
      </c>
      <c r="O148" s="70">
        <f>Tabla2[[#This Row],[CANTIDAD]]*Tabla2[[#This Row],[PREC. UNITARIO]]</f>
        <v>-126</v>
      </c>
      <c r="R148" t="str">
        <f>Tabla2[[#This Row],[QUIEN RECIBE]]&amp;"-"&amp;TEXT(Tabla2[[#This Row],[FECHA]],"dd/mm/yyyy")</f>
        <v>ACOSTA ROJAS, ERICK-20/09/2025</v>
      </c>
    </row>
    <row r="149" spans="2:18" ht="20.45" hidden="1" customHeight="1" x14ac:dyDescent="0.25">
      <c r="B149" s="5">
        <v>45920</v>
      </c>
      <c r="C149" s="2" t="str">
        <f>IFERROR(_xlfn.XLOOKUP(Tabla2[[#This Row],[PRODUCTO]],Tabla1[PRODUCTO],Tabla1[CODIGO]),"")</f>
        <v>IS-15</v>
      </c>
      <c r="D149" s="31" t="s">
        <v>64</v>
      </c>
      <c r="E149" s="31" t="str">
        <f>IFERROR(VLOOKUP(Tabla2[[#This Row],[CODIGO]],Tabla1[],3,0),"")</f>
        <v>IMPLEMENTOS DE SEGURIDAD</v>
      </c>
      <c r="F149" s="28" t="str">
        <f>IFERROR(VLOOKUP(Tabla2[[#This Row],[CODIGO]],Tabla1[],5,0),"")</f>
        <v>ALMACEN TICAPAMPA</v>
      </c>
      <c r="G149" s="26" t="str">
        <f>IFERROR(VLOOKUP(Tabla2[[#This Row],[CODIGO]],Tabla1[],6,0),"")</f>
        <v>PAR</v>
      </c>
      <c r="H149" s="26">
        <f>IFERROR(VLOOKUP(Tabla2[[#This Row],[CODIGO]],Tabla1[],10,0),"")</f>
        <v>0</v>
      </c>
      <c r="I149" s="7">
        <v>-1</v>
      </c>
      <c r="J149" s="29" t="s">
        <v>306</v>
      </c>
      <c r="K149" s="26" t="str">
        <f>IFERROR(VLOOKUP(Tabla2[[#This Row],[CODIGO]],Tabla1[],11,0),"")</f>
        <v>COMPRA</v>
      </c>
      <c r="L149" s="67" t="s">
        <v>236</v>
      </c>
      <c r="M149" s="67" t="s">
        <v>509</v>
      </c>
      <c r="N149" s="70">
        <v>63</v>
      </c>
      <c r="O149" s="70">
        <f>Tabla2[[#This Row],[CANTIDAD]]*Tabla2[[#This Row],[PREC. UNITARIO]]</f>
        <v>-63</v>
      </c>
      <c r="R149" t="str">
        <f>Tabla2[[#This Row],[QUIEN RECIBE]]&amp;"-"&amp;TEXT(Tabla2[[#This Row],[FECHA]],"dd/mm/yyyy")</f>
        <v>ACOSTA ROJAS, ERICK-20/09/2025</v>
      </c>
    </row>
    <row r="150" spans="2:18" ht="20.45" hidden="1" customHeight="1" x14ac:dyDescent="0.25">
      <c r="B150" s="5">
        <v>45920</v>
      </c>
      <c r="C150" s="2" t="str">
        <f>IFERROR(_xlfn.XLOOKUP(Tabla2[[#This Row],[PRODUCTO]],Tabla1[PRODUCTO],Tabla1[CODIGO]),"")</f>
        <v>IS-1</v>
      </c>
      <c r="D150" s="31" t="s">
        <v>50</v>
      </c>
      <c r="E150" s="31" t="str">
        <f>IFERROR(VLOOKUP(Tabla2[[#This Row],[CODIGO]],Tabla1[],3,0),"")</f>
        <v>IMPLEMENTOS DE SEGURIDAD</v>
      </c>
      <c r="F150" s="28" t="str">
        <f>IFERROR(VLOOKUP(Tabla2[[#This Row],[CODIGO]],Tabla1[],5,0),"")</f>
        <v>ALMACEN TICAPAMPA</v>
      </c>
      <c r="G150" s="26" t="str">
        <f>IFERROR(VLOOKUP(Tabla2[[#This Row],[CODIGO]],Tabla1[],6,0),"")</f>
        <v>UNI</v>
      </c>
      <c r="H150" s="26">
        <f>IFERROR(VLOOKUP(Tabla2[[#This Row],[CODIGO]],Tabla1[],10,0),"")</f>
        <v>4</v>
      </c>
      <c r="I150" s="7">
        <v>-4</v>
      </c>
      <c r="J150" s="29" t="s">
        <v>306</v>
      </c>
      <c r="K150" s="26" t="str">
        <f>IFERROR(VLOOKUP(Tabla2[[#This Row],[CODIGO]],Tabla1[],11,0),"")</f>
        <v>COMPRA</v>
      </c>
      <c r="L150" s="67" t="s">
        <v>236</v>
      </c>
      <c r="M150" s="67" t="s">
        <v>509</v>
      </c>
      <c r="N150" s="70">
        <v>45</v>
      </c>
      <c r="O150" s="70">
        <f>Tabla2[[#This Row],[CANTIDAD]]*Tabla2[[#This Row],[PREC. UNITARIO]]</f>
        <v>-180</v>
      </c>
      <c r="R150" t="str">
        <f>Tabla2[[#This Row],[QUIEN RECIBE]]&amp;"-"&amp;TEXT(Tabla2[[#This Row],[FECHA]],"dd/mm/yyyy")</f>
        <v>ACOSTA ROJAS, ERICK-20/09/2025</v>
      </c>
    </row>
    <row r="151" spans="2:18" ht="20.45" hidden="1" customHeight="1" x14ac:dyDescent="0.25">
      <c r="B151" s="5">
        <v>45920</v>
      </c>
      <c r="C151" s="2" t="str">
        <f>IFERROR(_xlfn.XLOOKUP(Tabla2[[#This Row],[PRODUCTO]],Tabla1[PRODUCTO],Tabla1[CODIGO]),"")</f>
        <v>IS-2</v>
      </c>
      <c r="D151" s="31" t="s">
        <v>52</v>
      </c>
      <c r="E151" s="31" t="str">
        <f>IFERROR(VLOOKUP(Tabla2[[#This Row],[CODIGO]],Tabla1[],3,0),"")</f>
        <v>IMPLEMENTOS DE SEGURIDAD</v>
      </c>
      <c r="F151" s="28" t="str">
        <f>IFERROR(VLOOKUP(Tabla2[[#This Row],[CODIGO]],Tabla1[],5,0),"")</f>
        <v>ALMACEN TICAPAMPA</v>
      </c>
      <c r="G151" s="26" t="str">
        <f>IFERROR(VLOOKUP(Tabla2[[#This Row],[CODIGO]],Tabla1[],6,0),"")</f>
        <v>UNI</v>
      </c>
      <c r="H151" s="26">
        <f>IFERROR(VLOOKUP(Tabla2[[#This Row],[CODIGO]],Tabla1[],10,0),"")</f>
        <v>5</v>
      </c>
      <c r="I151" s="7">
        <v>-2</v>
      </c>
      <c r="J151" s="29" t="s">
        <v>306</v>
      </c>
      <c r="K151" s="26" t="str">
        <f>IFERROR(VLOOKUP(Tabla2[[#This Row],[CODIGO]],Tabla1[],11,0),"")</f>
        <v>COMPRA</v>
      </c>
      <c r="L151" s="67" t="s">
        <v>236</v>
      </c>
      <c r="M151" s="67" t="s">
        <v>509</v>
      </c>
      <c r="N151" s="70">
        <v>45</v>
      </c>
      <c r="O151" s="70">
        <f>Tabla2[[#This Row],[CANTIDAD]]*Tabla2[[#This Row],[PREC. UNITARIO]]</f>
        <v>-90</v>
      </c>
      <c r="R151" t="str">
        <f>Tabla2[[#This Row],[QUIEN RECIBE]]&amp;"-"&amp;TEXT(Tabla2[[#This Row],[FECHA]],"dd/mm/yyyy")</f>
        <v>ACOSTA ROJAS, ERICK-20/09/2025</v>
      </c>
    </row>
    <row r="152" spans="2:18" ht="20.45" hidden="1" customHeight="1" x14ac:dyDescent="0.25">
      <c r="B152" s="5">
        <v>45922</v>
      </c>
      <c r="C152" s="2" t="str">
        <f>IFERROR(_xlfn.XLOOKUP(Tabla2[[#This Row],[PRODUCTO]],Tabla1[PRODUCTO],Tabla1[CODIGO]),"")</f>
        <v>ISA-8</v>
      </c>
      <c r="D152" s="31" t="s">
        <v>279</v>
      </c>
      <c r="E152" s="31" t="str">
        <f>IFERROR(VLOOKUP(Tabla2[[#This Row],[CODIGO]],Tabla1[],3,0),"")</f>
        <v>INSTALACIONES SANITARIAS</v>
      </c>
      <c r="F152" s="28" t="str">
        <f>IFERROR(VLOOKUP(Tabla2[[#This Row],[CODIGO]],Tabla1[],5,0),"")</f>
        <v>ALMACEN TICAPAMPA</v>
      </c>
      <c r="G152" s="26" t="str">
        <f>IFERROR(VLOOKUP(Tabla2[[#This Row],[CODIGO]],Tabla1[],6,0),"")</f>
        <v>UNI</v>
      </c>
      <c r="H152" s="26">
        <f>IFERROR(VLOOKUP(Tabla2[[#This Row],[CODIGO]],Tabla1[],10,0),"")</f>
        <v>1</v>
      </c>
      <c r="I152" s="7">
        <v>1</v>
      </c>
      <c r="J152" s="29" t="s">
        <v>320</v>
      </c>
      <c r="K152" s="26" t="str">
        <f>IFERROR(VLOOKUP(Tabla2[[#This Row],[CODIGO]],Tabla1[],11,0),"")</f>
        <v>COMPRA</v>
      </c>
      <c r="L152" s="67"/>
      <c r="M152" s="67"/>
      <c r="N152" s="70">
        <v>24</v>
      </c>
      <c r="O152" s="70">
        <f>Tabla2[[#This Row],[CANTIDAD]]*Tabla2[[#This Row],[PREC. UNITARIO]]</f>
        <v>24</v>
      </c>
      <c r="P152" t="s">
        <v>310</v>
      </c>
      <c r="R152" t="str">
        <f>Tabla2[[#This Row],[QUIEN RECIBE]]&amp;"-"&amp;TEXT(Tabla2[[#This Row],[FECHA]],"dd/mm/yyyy")</f>
        <v>-22/09/2025</v>
      </c>
    </row>
    <row r="153" spans="2:18" ht="20.45" hidden="1" customHeight="1" x14ac:dyDescent="0.25">
      <c r="B153" s="5">
        <v>45922</v>
      </c>
      <c r="C153" s="2" t="str">
        <f>IFERROR(_xlfn.XLOOKUP(Tabla2[[#This Row],[PRODUCTO]],Tabla1[PRODUCTO],Tabla1[CODIGO]),"")</f>
        <v>ISA-10</v>
      </c>
      <c r="D153" s="31" t="s">
        <v>311</v>
      </c>
      <c r="E153" s="31" t="str">
        <f>IFERROR(VLOOKUP(Tabla2[[#This Row],[CODIGO]],Tabla1[],3,0),"")</f>
        <v>INSTALACIONES SANITARIAS</v>
      </c>
      <c r="F153" s="28" t="str">
        <f>IFERROR(VLOOKUP(Tabla2[[#This Row],[CODIGO]],Tabla1[],5,0),"")</f>
        <v>ALMACEN TICAPAMPA</v>
      </c>
      <c r="G153" s="26" t="str">
        <f>IFERROR(VLOOKUP(Tabla2[[#This Row],[CODIGO]],Tabla1[],6,0),"")</f>
        <v>UNI</v>
      </c>
      <c r="H153" s="26">
        <f>IFERROR(VLOOKUP(Tabla2[[#This Row],[CODIGO]],Tabla1[],10,0),"")</f>
        <v>1</v>
      </c>
      <c r="I153" s="7">
        <v>1</v>
      </c>
      <c r="J153" s="29" t="s">
        <v>320</v>
      </c>
      <c r="K153" s="26" t="str">
        <f>IFERROR(VLOOKUP(Tabla2[[#This Row],[CODIGO]],Tabla1[],11,0),"")</f>
        <v>COMPRA</v>
      </c>
      <c r="L153" s="67"/>
      <c r="M153" s="67"/>
      <c r="N153" s="70">
        <v>6.5</v>
      </c>
      <c r="O153" s="70">
        <f>Tabla2[[#This Row],[CANTIDAD]]*Tabla2[[#This Row],[PREC. UNITARIO]]</f>
        <v>6.5</v>
      </c>
      <c r="P153" t="s">
        <v>310</v>
      </c>
      <c r="R153" t="str">
        <f>Tabla2[[#This Row],[QUIEN RECIBE]]&amp;"-"&amp;TEXT(Tabla2[[#This Row],[FECHA]],"dd/mm/yyyy")</f>
        <v>-22/09/2025</v>
      </c>
    </row>
    <row r="154" spans="2:18" ht="20.45" hidden="1" customHeight="1" x14ac:dyDescent="0.25">
      <c r="B154" s="5">
        <v>45922</v>
      </c>
      <c r="C154" s="2" t="str">
        <f>IFERROR(_xlfn.XLOOKUP(Tabla2[[#This Row],[PRODUCTO]],Tabla1[PRODUCTO],Tabla1[CODIGO]),"")</f>
        <v>HM-6</v>
      </c>
      <c r="D154" s="31" t="s">
        <v>312</v>
      </c>
      <c r="E154" s="31" t="str">
        <f>IFERROR(VLOOKUP(Tabla2[[#This Row],[CODIGO]],Tabla1[],3,0),"")</f>
        <v>HERRAMIENTAS</v>
      </c>
      <c r="F154" s="28" t="str">
        <f>IFERROR(VLOOKUP(Tabla2[[#This Row],[CODIGO]],Tabla1[],5,0),"")</f>
        <v>ALMACEN TICAPAMPA</v>
      </c>
      <c r="G154" s="26" t="str">
        <f>IFERROR(VLOOKUP(Tabla2[[#This Row],[CODIGO]],Tabla1[],6,0),"")</f>
        <v>UNI</v>
      </c>
      <c r="H154" s="26">
        <f>IFERROR(VLOOKUP(Tabla2[[#This Row],[CODIGO]],Tabla1[],10,0),"")</f>
        <v>1</v>
      </c>
      <c r="I154" s="7">
        <v>1</v>
      </c>
      <c r="J154" s="29" t="s">
        <v>320</v>
      </c>
      <c r="K154" s="26" t="str">
        <f>IFERROR(VLOOKUP(Tabla2[[#This Row],[CODIGO]],Tabla1[],11,0),"")</f>
        <v>COMPRA</v>
      </c>
      <c r="L154" s="67"/>
      <c r="M154" s="67"/>
      <c r="N154" s="70">
        <v>25</v>
      </c>
      <c r="O154" s="70">
        <f>Tabla2[[#This Row],[CANTIDAD]]*Tabla2[[#This Row],[PREC. UNITARIO]]</f>
        <v>25</v>
      </c>
      <c r="P154" t="s">
        <v>310</v>
      </c>
      <c r="R154" t="str">
        <f>Tabla2[[#This Row],[QUIEN RECIBE]]&amp;"-"&amp;TEXT(Tabla2[[#This Row],[FECHA]],"dd/mm/yyyy")</f>
        <v>-22/09/2025</v>
      </c>
    </row>
    <row r="155" spans="2:18" ht="20.45" hidden="1" customHeight="1" x14ac:dyDescent="0.25">
      <c r="B155" s="5">
        <v>45922</v>
      </c>
      <c r="C155" s="2" t="str">
        <f>IFERROR(_xlfn.XLOOKUP(Tabla2[[#This Row],[PRODUCTO]],Tabla1[PRODUCTO],Tabla1[CODIGO]),"")</f>
        <v>OTR-5</v>
      </c>
      <c r="D155" s="31" t="s">
        <v>313</v>
      </c>
      <c r="E155" s="31" t="str">
        <f>IFERROR(VLOOKUP(Tabla2[[#This Row],[CODIGO]],Tabla1[],3,0),"")</f>
        <v>OTROS</v>
      </c>
      <c r="F155" s="28" t="str">
        <f>IFERROR(VLOOKUP(Tabla2[[#This Row],[CODIGO]],Tabla1[],5,0),"")</f>
        <v>ALMACEN TICAPAMPA</v>
      </c>
      <c r="G155" s="26" t="str">
        <f>IFERROR(VLOOKUP(Tabla2[[#This Row],[CODIGO]],Tabla1[],6,0),"")</f>
        <v>PQTE</v>
      </c>
      <c r="H155" s="26">
        <f>IFERROR(VLOOKUP(Tabla2[[#This Row],[CODIGO]],Tabla1[],10,0),"")</f>
        <v>6</v>
      </c>
      <c r="I155" s="7">
        <v>1</v>
      </c>
      <c r="J155" s="29" t="s">
        <v>320</v>
      </c>
      <c r="K155" s="26" t="str">
        <f>IFERROR(VLOOKUP(Tabla2[[#This Row],[CODIGO]],Tabla1[],11,0),"")</f>
        <v>COMPRA</v>
      </c>
      <c r="L155" s="67"/>
      <c r="M155" s="67"/>
      <c r="N155" s="70">
        <v>10</v>
      </c>
      <c r="O155" s="70">
        <f>Tabla2[[#This Row],[CANTIDAD]]*Tabla2[[#This Row],[PREC. UNITARIO]]</f>
        <v>10</v>
      </c>
      <c r="P155" t="s">
        <v>310</v>
      </c>
      <c r="R155" t="str">
        <f>Tabla2[[#This Row],[QUIEN RECIBE]]&amp;"-"&amp;TEXT(Tabla2[[#This Row],[FECHA]],"dd/mm/yyyy")</f>
        <v>-22/09/2025</v>
      </c>
    </row>
    <row r="156" spans="2:18" ht="20.45" hidden="1" customHeight="1" x14ac:dyDescent="0.25">
      <c r="B156" s="5">
        <v>45922</v>
      </c>
      <c r="C156" s="2" t="str">
        <f>IFERROR(_xlfn.XLOOKUP(Tabla2[[#This Row],[PRODUCTO]],Tabla1[PRODUCTO],Tabla1[CODIGO]),"")</f>
        <v>IE-10</v>
      </c>
      <c r="D156" s="31" t="s">
        <v>315</v>
      </c>
      <c r="E156" s="31" t="str">
        <f>IFERROR(VLOOKUP(Tabla2[[#This Row],[CODIGO]],Tabla1[],3,0),"")</f>
        <v>INSTALACIONES ELECTRICAS</v>
      </c>
      <c r="F156" s="28" t="str">
        <f>IFERROR(VLOOKUP(Tabla2[[#This Row],[CODIGO]],Tabla1[],5,0),"")</f>
        <v>ALMACEN TICAPAMPA</v>
      </c>
      <c r="G156" s="26" t="str">
        <f>IFERROR(VLOOKUP(Tabla2[[#This Row],[CODIGO]],Tabla1[],6,0),"")</f>
        <v>MT</v>
      </c>
      <c r="H156" s="26">
        <f>IFERROR(VLOOKUP(Tabla2[[#This Row],[CODIGO]],Tabla1[],10,0),"")</f>
        <v>15</v>
      </c>
      <c r="I156" s="7">
        <v>15</v>
      </c>
      <c r="J156" s="29" t="s">
        <v>320</v>
      </c>
      <c r="K156" s="26" t="str">
        <f>IFERROR(VLOOKUP(Tabla2[[#This Row],[CODIGO]],Tabla1[],11,0),"")</f>
        <v>COMPRA</v>
      </c>
      <c r="L156" s="67"/>
      <c r="M156" s="67"/>
      <c r="N156" s="70">
        <v>1.3</v>
      </c>
      <c r="O156" s="70">
        <f>Tabla2[[#This Row],[CANTIDAD]]*Tabla2[[#This Row],[PREC. UNITARIO]]</f>
        <v>19.5</v>
      </c>
      <c r="P156" t="s">
        <v>310</v>
      </c>
      <c r="R156" t="str">
        <f>Tabla2[[#This Row],[QUIEN RECIBE]]&amp;"-"&amp;TEXT(Tabla2[[#This Row],[FECHA]],"dd/mm/yyyy")</f>
        <v>-22/09/2025</v>
      </c>
    </row>
    <row r="157" spans="2:18" ht="20.45" hidden="1" customHeight="1" x14ac:dyDescent="0.25">
      <c r="B157" s="5">
        <v>45922</v>
      </c>
      <c r="C157" s="2" t="str">
        <f>IFERROR(_xlfn.XLOOKUP(Tabla2[[#This Row],[PRODUCTO]],Tabla1[PRODUCTO],Tabla1[CODIGO]),"")</f>
        <v>HM-7</v>
      </c>
      <c r="D157" s="31" t="s">
        <v>314</v>
      </c>
      <c r="E157" s="31" t="str">
        <f>IFERROR(VLOOKUP(Tabla2[[#This Row],[CODIGO]],Tabla1[],3,0),"")</f>
        <v>HERRAMIENTAS</v>
      </c>
      <c r="F157" s="28" t="str">
        <f>IFERROR(VLOOKUP(Tabla2[[#This Row],[CODIGO]],Tabla1[],5,0),"")</f>
        <v>ALMACEN TICAPAMPA</v>
      </c>
      <c r="G157" s="26" t="str">
        <f>IFERROR(VLOOKUP(Tabla2[[#This Row],[CODIGO]],Tabla1[],6,0),"")</f>
        <v>UNI</v>
      </c>
      <c r="H157" s="26">
        <f>IFERROR(VLOOKUP(Tabla2[[#This Row],[CODIGO]],Tabla1[],10,0),"")</f>
        <v>1</v>
      </c>
      <c r="I157" s="7">
        <v>2</v>
      </c>
      <c r="J157" s="29" t="s">
        <v>320</v>
      </c>
      <c r="K157" s="26" t="str">
        <f>IFERROR(VLOOKUP(Tabla2[[#This Row],[CODIGO]],Tabla1[],11,0),"")</f>
        <v>COMPRA</v>
      </c>
      <c r="L157" s="67"/>
      <c r="M157" s="67"/>
      <c r="N157" s="70">
        <v>11</v>
      </c>
      <c r="O157" s="70">
        <f>Tabla2[[#This Row],[CANTIDAD]]*Tabla2[[#This Row],[PREC. UNITARIO]]</f>
        <v>22</v>
      </c>
      <c r="P157" t="s">
        <v>310</v>
      </c>
      <c r="R157" t="str">
        <f>Tabla2[[#This Row],[QUIEN RECIBE]]&amp;"-"&amp;TEXT(Tabla2[[#This Row],[FECHA]],"dd/mm/yyyy")</f>
        <v>-22/09/2025</v>
      </c>
    </row>
    <row r="158" spans="2:18" ht="20.45" hidden="1" customHeight="1" x14ac:dyDescent="0.25">
      <c r="B158" s="5">
        <v>45922</v>
      </c>
      <c r="C158" s="2" t="str">
        <f>IFERROR(_xlfn.XLOOKUP(Tabla2[[#This Row],[PRODUCTO]],Tabla1[PRODUCTO],Tabla1[CODIGO]),"")</f>
        <v>IS-6</v>
      </c>
      <c r="D158" s="31" t="s">
        <v>56</v>
      </c>
      <c r="E158" s="31" t="str">
        <f>IFERROR(VLOOKUP(Tabla2[[#This Row],[CODIGO]],Tabla1[],3,0),"")</f>
        <v>IMPLEMENTOS DE SEGURIDAD</v>
      </c>
      <c r="F158" s="28" t="str">
        <f>IFERROR(VLOOKUP(Tabla2[[#This Row],[CODIGO]],Tabla1[],5,0),"")</f>
        <v>ALMACEN TICAPAMPA</v>
      </c>
      <c r="G158" s="26" t="str">
        <f>IFERROR(VLOOKUP(Tabla2[[#This Row],[CODIGO]],Tabla1[],6,0),"")</f>
        <v>UNI</v>
      </c>
      <c r="H158" s="26">
        <f>IFERROR(VLOOKUP(Tabla2[[#This Row],[CODIGO]],Tabla1[],10,0),"")</f>
        <v>0</v>
      </c>
      <c r="I158" s="7">
        <v>-1</v>
      </c>
      <c r="J158" s="29" t="s">
        <v>316</v>
      </c>
      <c r="K158" s="26" t="str">
        <f>IFERROR(VLOOKUP(Tabla2[[#This Row],[CODIGO]],Tabla1[],11,0),"")</f>
        <v>COMPRA</v>
      </c>
      <c r="L158" s="67" t="s">
        <v>250</v>
      </c>
      <c r="M158" s="67" t="s">
        <v>308</v>
      </c>
      <c r="N158" s="70">
        <v>75</v>
      </c>
      <c r="O158" s="70">
        <f>Tabla2[[#This Row],[CANTIDAD]]*Tabla2[[#This Row],[PREC. UNITARIO]]</f>
        <v>-75</v>
      </c>
      <c r="R158" t="str">
        <f>Tabla2[[#This Row],[QUIEN RECIBE]]&amp;"-"&amp;TEXT(Tabla2[[#This Row],[FECHA]],"dd/mm/yyyy")</f>
        <v>ACOSTA ROJAS, JOSEPH ALFONSO-22/09/2025</v>
      </c>
    </row>
    <row r="159" spans="2:18" ht="20.45" hidden="1" customHeight="1" x14ac:dyDescent="0.25">
      <c r="B159" s="5">
        <v>45922</v>
      </c>
      <c r="C159" s="2" t="str">
        <f>IFERROR(_xlfn.XLOOKUP(Tabla2[[#This Row],[PRODUCTO]],Tabla1[PRODUCTO],Tabla1[CODIGO]),"")</f>
        <v>IS-10</v>
      </c>
      <c r="D159" s="31" t="s">
        <v>60</v>
      </c>
      <c r="E159" s="31" t="str">
        <f>IFERROR(VLOOKUP(Tabla2[[#This Row],[CODIGO]],Tabla1[],3,0),"")</f>
        <v>IMPLEMENTOS DE SEGURIDAD</v>
      </c>
      <c r="F159" s="28" t="str">
        <f>IFERROR(VLOOKUP(Tabla2[[#This Row],[CODIGO]],Tabla1[],5,0),"")</f>
        <v>ALMACEN TICAPAMPA</v>
      </c>
      <c r="G159" s="26" t="str">
        <f>IFERROR(VLOOKUP(Tabla2[[#This Row],[CODIGO]],Tabla1[],6,0),"")</f>
        <v>UNI</v>
      </c>
      <c r="H159" s="26">
        <f>IFERROR(VLOOKUP(Tabla2[[#This Row],[CODIGO]],Tabla1[],10,0),"")</f>
        <v>0</v>
      </c>
      <c r="I159" s="7">
        <v>-2</v>
      </c>
      <c r="J159" s="29" t="s">
        <v>316</v>
      </c>
      <c r="K159" s="26" t="str">
        <f>IFERROR(VLOOKUP(Tabla2[[#This Row],[CODIGO]],Tabla1[],11,0),"")</f>
        <v>COMPRA</v>
      </c>
      <c r="L159" s="67" t="s">
        <v>472</v>
      </c>
      <c r="M159" s="67" t="s">
        <v>308</v>
      </c>
      <c r="N159" s="70">
        <v>38</v>
      </c>
      <c r="O159" s="70">
        <f>Tabla2[[#This Row],[CANTIDAD]]*Tabla2[[#This Row],[PREC. UNITARIO]]</f>
        <v>-76</v>
      </c>
      <c r="R159" t="str">
        <f>Tabla2[[#This Row],[QUIEN RECIBE]]&amp;"-"&amp;TEXT(Tabla2[[#This Row],[FECHA]],"dd/mm/yyyy")</f>
        <v>ACOSTA ROJAS, JOSEPH ALFONSO-22/09/2025</v>
      </c>
    </row>
    <row r="160" spans="2:18" ht="20.45" hidden="1" customHeight="1" x14ac:dyDescent="0.25">
      <c r="B160" s="69">
        <v>45922</v>
      </c>
      <c r="C160" s="2" t="str">
        <f>IFERROR(_xlfn.XLOOKUP(Tabla2[[#This Row],[PRODUCTO]],Tabla1[PRODUCTO],Tabla1[CODIGO]),"")</f>
        <v>IS-32</v>
      </c>
      <c r="D160" s="31" t="s">
        <v>83</v>
      </c>
      <c r="E160" s="31" t="str">
        <f>IFERROR(VLOOKUP(Tabla2[[#This Row],[CODIGO]],Tabla1[],3,0),"")</f>
        <v>IMPLEMENTOS DE SEGURIDAD</v>
      </c>
      <c r="F160" s="28" t="str">
        <f>IFERROR(VLOOKUP(Tabla2[[#This Row],[CODIGO]],Tabla1[],5,0),"")</f>
        <v>ALMACEN TICAPAMPA</v>
      </c>
      <c r="G160" s="26" t="str">
        <f>IFERROR(VLOOKUP(Tabla2[[#This Row],[CODIGO]],Tabla1[],6,0),"")</f>
        <v>UNI</v>
      </c>
      <c r="H160" s="26">
        <f>IFERROR(VLOOKUP(Tabla2[[#This Row],[CODIGO]],Tabla1[],10,0),"")</f>
        <v>5</v>
      </c>
      <c r="I160" s="7">
        <v>-1</v>
      </c>
      <c r="J160" s="29" t="s">
        <v>317</v>
      </c>
      <c r="K160" s="26" t="str">
        <f>IFERROR(VLOOKUP(Tabla2[[#This Row],[CODIGO]],Tabla1[],11,0),"")</f>
        <v>COMPRA</v>
      </c>
      <c r="L160" s="67" t="s">
        <v>250</v>
      </c>
      <c r="M160" s="67" t="s">
        <v>307</v>
      </c>
      <c r="N160" s="70">
        <v>22</v>
      </c>
      <c r="O160" s="70">
        <f>Tabla2[[#This Row],[CANTIDAD]]*Tabla2[[#This Row],[PREC. UNITARIO]]</f>
        <v>-22</v>
      </c>
      <c r="R160" t="str">
        <f>Tabla2[[#This Row],[QUIEN RECIBE]]&amp;"-"&amp;TEXT(Tabla2[[#This Row],[FECHA]],"dd/mm/yyyy")</f>
        <v>CACERES CALACHUA, YEYSON JORGE-22/09/2025</v>
      </c>
    </row>
    <row r="161" spans="2:18" ht="20.45" hidden="1" customHeight="1" x14ac:dyDescent="0.25">
      <c r="B161" s="5">
        <v>45922</v>
      </c>
      <c r="C161" s="2" t="str">
        <f>IFERROR(_xlfn.XLOOKUP(Tabla2[[#This Row],[PRODUCTO]],Tabla1[PRODUCTO],Tabla1[CODIGO]),"")</f>
        <v>IS-14</v>
      </c>
      <c r="D161" s="31" t="s">
        <v>271</v>
      </c>
      <c r="E161" s="31" t="str">
        <f>IFERROR(VLOOKUP(Tabla2[[#This Row],[CODIGO]],Tabla1[],3,0),"")</f>
        <v>IMPLEMENTOS DE SEGURIDAD</v>
      </c>
      <c r="F161" s="28" t="str">
        <f>IFERROR(VLOOKUP(Tabla2[[#This Row],[CODIGO]],Tabla1[],5,0),"")</f>
        <v>ALMACEN TICAPAMPA</v>
      </c>
      <c r="G161" s="26" t="str">
        <f>IFERROR(VLOOKUP(Tabla2[[#This Row],[CODIGO]],Tabla1[],6,0),"")</f>
        <v>UNI</v>
      </c>
      <c r="H161" s="26">
        <f>IFERROR(VLOOKUP(Tabla2[[#This Row],[CODIGO]],Tabla1[],10,0),"")</f>
        <v>1</v>
      </c>
      <c r="I161" s="7">
        <v>-1</v>
      </c>
      <c r="J161" s="29" t="s">
        <v>548</v>
      </c>
      <c r="K161" s="26" t="str">
        <f>IFERROR(VLOOKUP(Tabla2[[#This Row],[CODIGO]],Tabla1[],11,0),"")</f>
        <v>COMPRA</v>
      </c>
      <c r="L161" s="67" t="s">
        <v>250</v>
      </c>
      <c r="M161" s="67" t="s">
        <v>307</v>
      </c>
      <c r="N161" s="70">
        <v>4</v>
      </c>
      <c r="O161" s="70">
        <f>Tabla2[[#This Row],[CANTIDAD]]*Tabla2[[#This Row],[PREC. UNITARIO]]</f>
        <v>-4</v>
      </c>
      <c r="R161" t="str">
        <f>Tabla2[[#This Row],[QUIEN RECIBE]]&amp;"-"&amp;TEXT(Tabla2[[#This Row],[FECHA]],"dd/mm/yyyy")</f>
        <v>CACERES CALACHUA, YEYSON JORGE-22/09/2025</v>
      </c>
    </row>
    <row r="162" spans="2:18" ht="20.45" hidden="1" customHeight="1" x14ac:dyDescent="0.25">
      <c r="B162" s="5">
        <v>45922</v>
      </c>
      <c r="C162" s="2" t="str">
        <f>IFERROR(_xlfn.XLOOKUP(Tabla2[[#This Row],[PRODUCTO]],Tabla1[PRODUCTO],Tabla1[CODIGO]),"")</f>
        <v>IS-30</v>
      </c>
      <c r="D162" s="31" t="s">
        <v>81</v>
      </c>
      <c r="E162" s="31" t="str">
        <f>IFERROR(VLOOKUP(Tabla2[[#This Row],[CODIGO]],Tabla1[],3,0),"")</f>
        <v>IMPLEMENTOS DE SEGURIDAD</v>
      </c>
      <c r="F162" s="28" t="str">
        <f>IFERROR(VLOOKUP(Tabla2[[#This Row],[CODIGO]],Tabla1[],5,0),"")</f>
        <v>ALMACEN TICAPAMPA</v>
      </c>
      <c r="G162" s="26" t="str">
        <f>IFERROR(VLOOKUP(Tabla2[[#This Row],[CODIGO]],Tabla1[],6,0),"")</f>
        <v>UNI</v>
      </c>
      <c r="H162" s="26">
        <f>IFERROR(VLOOKUP(Tabla2[[#This Row],[CODIGO]],Tabla1[],10,0),"")</f>
        <v>99</v>
      </c>
      <c r="I162" s="7">
        <v>-1</v>
      </c>
      <c r="J162" s="29" t="s">
        <v>317</v>
      </c>
      <c r="K162" s="26" t="str">
        <f>IFERROR(VLOOKUP(Tabla2[[#This Row],[CODIGO]],Tabla1[],11,0),"")</f>
        <v>COMPRA</v>
      </c>
      <c r="L162" s="67" t="s">
        <v>250</v>
      </c>
      <c r="M162" s="67" t="s">
        <v>307</v>
      </c>
      <c r="N162" s="70">
        <v>8</v>
      </c>
      <c r="O162" s="70">
        <f>Tabla2[[#This Row],[CANTIDAD]]*Tabla2[[#This Row],[PREC. UNITARIO]]</f>
        <v>-8</v>
      </c>
      <c r="R162" t="str">
        <f>Tabla2[[#This Row],[QUIEN RECIBE]]&amp;"-"&amp;TEXT(Tabla2[[#This Row],[FECHA]],"dd/mm/yyyy")</f>
        <v>CACERES CALACHUA, YEYSON JORGE-22/09/2025</v>
      </c>
    </row>
    <row r="163" spans="2:18" ht="20.45" hidden="1" customHeight="1" x14ac:dyDescent="0.25">
      <c r="B163" s="5">
        <v>45922</v>
      </c>
      <c r="C163" s="2" t="str">
        <f>IFERROR(_xlfn.XLOOKUP(Tabla2[[#This Row],[PRODUCTO]],Tabla1[PRODUCTO],Tabla1[CODIGO]),"")</f>
        <v>IS-2</v>
      </c>
      <c r="D163" s="31" t="s">
        <v>52</v>
      </c>
      <c r="E163" s="31" t="str">
        <f>IFERROR(VLOOKUP(Tabla2[[#This Row],[CODIGO]],Tabla1[],3,0),"")</f>
        <v>IMPLEMENTOS DE SEGURIDAD</v>
      </c>
      <c r="F163" s="28" t="str">
        <f>IFERROR(VLOOKUP(Tabla2[[#This Row],[CODIGO]],Tabla1[],5,0),"")</f>
        <v>ALMACEN TICAPAMPA</v>
      </c>
      <c r="G163" s="26" t="str">
        <f>IFERROR(VLOOKUP(Tabla2[[#This Row],[CODIGO]],Tabla1[],6,0),"")</f>
        <v>UNI</v>
      </c>
      <c r="H163" s="26">
        <f>IFERROR(VLOOKUP(Tabla2[[#This Row],[CODIGO]],Tabla1[],10,0),"")</f>
        <v>5</v>
      </c>
      <c r="I163" s="7">
        <v>-2</v>
      </c>
      <c r="J163" s="29" t="s">
        <v>548</v>
      </c>
      <c r="K163" s="26" t="str">
        <f>IFERROR(VLOOKUP(Tabla2[[#This Row],[CODIGO]],Tabla1[],11,0),"")</f>
        <v>COMPRA</v>
      </c>
      <c r="L163" s="67" t="s">
        <v>250</v>
      </c>
      <c r="M163" s="67" t="s">
        <v>304</v>
      </c>
      <c r="N163" s="70">
        <v>45</v>
      </c>
      <c r="O163" s="70">
        <f>Tabla2[[#This Row],[CANTIDAD]]*Tabla2[[#This Row],[PREC. UNITARIO]]</f>
        <v>-90</v>
      </c>
      <c r="R163" t="str">
        <f>Tabla2[[#This Row],[QUIEN RECIBE]]&amp;"-"&amp;TEXT(Tabla2[[#This Row],[FECHA]],"dd/mm/yyyy")</f>
        <v>LOZA, GUILLERMO-22/09/2025</v>
      </c>
    </row>
    <row r="164" spans="2:18" ht="20.45" hidden="1" customHeight="1" x14ac:dyDescent="0.25">
      <c r="B164" s="5">
        <v>45922</v>
      </c>
      <c r="C164" s="2" t="str">
        <f>IFERROR(_xlfn.XLOOKUP(Tabla2[[#This Row],[PRODUCTO]],Tabla1[PRODUCTO],Tabla1[CODIGO]),"")</f>
        <v>IS-36</v>
      </c>
      <c r="D164" s="31" t="s">
        <v>300</v>
      </c>
      <c r="E164" s="31" t="str">
        <f>IFERROR(VLOOKUP(Tabla2[[#This Row],[CODIGO]],Tabla1[],3,0),"")</f>
        <v>IMPLEMENTOS DE SEGURIDAD</v>
      </c>
      <c r="F164" s="28" t="str">
        <f>IFERROR(VLOOKUP(Tabla2[[#This Row],[CODIGO]],Tabla1[],5,0),"")</f>
        <v>ALMACEN TICAPAMPA</v>
      </c>
      <c r="G164" s="26" t="str">
        <f>IFERROR(VLOOKUP(Tabla2[[#This Row],[CODIGO]],Tabla1[],6,0),"")</f>
        <v>UNI</v>
      </c>
      <c r="H164" s="26">
        <f>IFERROR(VLOOKUP(Tabla2[[#This Row],[CODIGO]],Tabla1[],10,0),"")</f>
        <v>4</v>
      </c>
      <c r="I164" s="7">
        <v>-2</v>
      </c>
      <c r="J164" s="29" t="s">
        <v>318</v>
      </c>
      <c r="K164" s="26" t="str">
        <f>IFERROR(VLOOKUP(Tabla2[[#This Row],[CODIGO]],Tabla1[],11,0),"")</f>
        <v>COMPRA</v>
      </c>
      <c r="L164" s="67" t="s">
        <v>250</v>
      </c>
      <c r="M164" s="67" t="s">
        <v>304</v>
      </c>
      <c r="N164" s="70"/>
      <c r="O164" s="70">
        <f>Tabla2[[#This Row],[CANTIDAD]]*Tabla2[[#This Row],[PREC. UNITARIO]]</f>
        <v>0</v>
      </c>
      <c r="R164" t="str">
        <f>Tabla2[[#This Row],[QUIEN RECIBE]]&amp;"-"&amp;TEXT(Tabla2[[#This Row],[FECHA]],"dd/mm/yyyy")</f>
        <v>LOZA, GUILLERMO-22/09/2025</v>
      </c>
    </row>
    <row r="165" spans="2:18" ht="20.45" hidden="1" customHeight="1" x14ac:dyDescent="0.25">
      <c r="B165" s="5">
        <v>45922</v>
      </c>
      <c r="C165" s="2" t="str">
        <f>IFERROR(_xlfn.XLOOKUP(Tabla2[[#This Row],[PRODUCTO]],Tabla1[PRODUCTO],Tabla1[CODIGO]),"")</f>
        <v>IS-15</v>
      </c>
      <c r="D165" s="31" t="s">
        <v>64</v>
      </c>
      <c r="E165" s="31" t="str">
        <f>IFERROR(VLOOKUP(Tabla2[[#This Row],[CODIGO]],Tabla1[],3,0),"")</f>
        <v>IMPLEMENTOS DE SEGURIDAD</v>
      </c>
      <c r="F165" s="28" t="str">
        <f>IFERROR(VLOOKUP(Tabla2[[#This Row],[CODIGO]],Tabla1[],5,0),"")</f>
        <v>ALMACEN TICAPAMPA</v>
      </c>
      <c r="G165" s="26" t="str">
        <f>IFERROR(VLOOKUP(Tabla2[[#This Row],[CODIGO]],Tabla1[],6,0),"")</f>
        <v>PAR</v>
      </c>
      <c r="H165" s="26">
        <f>IFERROR(VLOOKUP(Tabla2[[#This Row],[CODIGO]],Tabla1[],10,0),"")</f>
        <v>0</v>
      </c>
      <c r="I165" s="7">
        <v>-1</v>
      </c>
      <c r="J165" s="29" t="s">
        <v>318</v>
      </c>
      <c r="K165" s="26" t="str">
        <f>IFERROR(VLOOKUP(Tabla2[[#This Row],[CODIGO]],Tabla1[],11,0),"")</f>
        <v>COMPRA</v>
      </c>
      <c r="L165" s="67" t="s">
        <v>250</v>
      </c>
      <c r="M165" s="67" t="s">
        <v>304</v>
      </c>
      <c r="N165" s="70">
        <v>63</v>
      </c>
      <c r="O165" s="70">
        <f>Tabla2[[#This Row],[CANTIDAD]]*Tabla2[[#This Row],[PREC. UNITARIO]]</f>
        <v>-63</v>
      </c>
      <c r="R165" t="str">
        <f>Tabla2[[#This Row],[QUIEN RECIBE]]&amp;"-"&amp;TEXT(Tabla2[[#This Row],[FECHA]],"dd/mm/yyyy")</f>
        <v>LOZA, GUILLERMO-22/09/2025</v>
      </c>
    </row>
    <row r="166" spans="2:18" ht="20.45" hidden="1" customHeight="1" x14ac:dyDescent="0.25">
      <c r="B166" s="5">
        <v>45922</v>
      </c>
      <c r="C166" s="2" t="str">
        <f>IFERROR(_xlfn.XLOOKUP(Tabla2[[#This Row],[PRODUCTO]],Tabla1[PRODUCTO],Tabla1[CODIGO]),"")</f>
        <v>IS-30</v>
      </c>
      <c r="D166" s="31" t="s">
        <v>81</v>
      </c>
      <c r="E166" s="31" t="str">
        <f>IFERROR(VLOOKUP(Tabla2[[#This Row],[CODIGO]],Tabla1[],3,0),"")</f>
        <v>IMPLEMENTOS DE SEGURIDAD</v>
      </c>
      <c r="F166" s="28" t="str">
        <f>IFERROR(VLOOKUP(Tabla2[[#This Row],[CODIGO]],Tabla1[],5,0),"")</f>
        <v>ALMACEN TICAPAMPA</v>
      </c>
      <c r="G166" s="26" t="str">
        <f>IFERROR(VLOOKUP(Tabla2[[#This Row],[CODIGO]],Tabla1[],6,0),"")</f>
        <v>UNI</v>
      </c>
      <c r="H166" s="26">
        <f>IFERROR(VLOOKUP(Tabla2[[#This Row],[CODIGO]],Tabla1[],10,0),"")</f>
        <v>99</v>
      </c>
      <c r="I166" s="7">
        <v>-1</v>
      </c>
      <c r="J166" s="29" t="s">
        <v>318</v>
      </c>
      <c r="K166" s="26" t="str">
        <f>IFERROR(VLOOKUP(Tabla2[[#This Row],[CODIGO]],Tabla1[],11,0),"")</f>
        <v>COMPRA</v>
      </c>
      <c r="L166" s="67" t="s">
        <v>250</v>
      </c>
      <c r="M166" s="67" t="s">
        <v>304</v>
      </c>
      <c r="N166" s="70">
        <v>8</v>
      </c>
      <c r="O166" s="70">
        <f>Tabla2[[#This Row],[CANTIDAD]]*Tabla2[[#This Row],[PREC. UNITARIO]]</f>
        <v>-8</v>
      </c>
      <c r="R166" t="str">
        <f>Tabla2[[#This Row],[QUIEN RECIBE]]&amp;"-"&amp;TEXT(Tabla2[[#This Row],[FECHA]],"dd/mm/yyyy")</f>
        <v>LOZA, GUILLERMO-22/09/2025</v>
      </c>
    </row>
    <row r="167" spans="2:18" ht="20.45" hidden="1" customHeight="1" x14ac:dyDescent="0.25">
      <c r="B167" s="5">
        <v>45922</v>
      </c>
      <c r="C167" s="2" t="str">
        <f>IFERROR(_xlfn.XLOOKUP(Tabla2[[#This Row],[PRODUCTO]],Tabla1[PRODUCTO],Tabla1[CODIGO]),"")</f>
        <v>IS-28</v>
      </c>
      <c r="D167" s="31" t="s">
        <v>79</v>
      </c>
      <c r="E167" s="31" t="str">
        <f>IFERROR(VLOOKUP(Tabla2[[#This Row],[CODIGO]],Tabla1[],3,0),"")</f>
        <v>IMPLEMENTOS DE SEGURIDAD</v>
      </c>
      <c r="F167" s="28" t="str">
        <f>IFERROR(VLOOKUP(Tabla2[[#This Row],[CODIGO]],Tabla1[],5,0),"")</f>
        <v>ALMACEN TICAPAMPA</v>
      </c>
      <c r="G167" s="26" t="str">
        <f>IFERROR(VLOOKUP(Tabla2[[#This Row],[CODIGO]],Tabla1[],6,0),"")</f>
        <v>UNI</v>
      </c>
      <c r="H167" s="26">
        <f>IFERROR(VLOOKUP(Tabla2[[#This Row],[CODIGO]],Tabla1[],10,0),"")</f>
        <v>32</v>
      </c>
      <c r="I167" s="7">
        <v>-1</v>
      </c>
      <c r="J167" s="29" t="s">
        <v>318</v>
      </c>
      <c r="K167" s="26" t="str">
        <f>IFERROR(VLOOKUP(Tabla2[[#This Row],[CODIGO]],Tabla1[],11,0),"")</f>
        <v>COMPRA</v>
      </c>
      <c r="L167" s="67" t="s">
        <v>250</v>
      </c>
      <c r="M167" s="67" t="s">
        <v>304</v>
      </c>
      <c r="N167" s="70">
        <v>4</v>
      </c>
      <c r="O167" s="70">
        <f>Tabla2[[#This Row],[CANTIDAD]]*Tabla2[[#This Row],[PREC. UNITARIO]]</f>
        <v>-4</v>
      </c>
      <c r="R167" t="str">
        <f>Tabla2[[#This Row],[QUIEN RECIBE]]&amp;"-"&amp;TEXT(Tabla2[[#This Row],[FECHA]],"dd/mm/yyyy")</f>
        <v>LOZA, GUILLERMO-22/09/2025</v>
      </c>
    </row>
    <row r="168" spans="2:18" ht="20.45" hidden="1" customHeight="1" x14ac:dyDescent="0.25">
      <c r="B168" s="5">
        <v>45922</v>
      </c>
      <c r="C168" s="2" t="str">
        <f>IFERROR(_xlfn.XLOOKUP(Tabla2[[#This Row],[PRODUCTO]],Tabla1[PRODUCTO],Tabla1[CODIGO]),"")</f>
        <v>IS-18</v>
      </c>
      <c r="D168" s="31" t="s">
        <v>67</v>
      </c>
      <c r="E168" s="31" t="str">
        <f>IFERROR(VLOOKUP(Tabla2[[#This Row],[CODIGO]],Tabla1[],3,0),"")</f>
        <v>IMPLEMENTOS DE SEGURIDAD</v>
      </c>
      <c r="F168" s="28" t="str">
        <f>IFERROR(VLOOKUP(Tabla2[[#This Row],[CODIGO]],Tabla1[],5,0),"")</f>
        <v>ALMACEN TICAPAMPA</v>
      </c>
      <c r="G168" s="26" t="str">
        <f>IFERROR(VLOOKUP(Tabla2[[#This Row],[CODIGO]],Tabla1[],6,0),"")</f>
        <v>UNI</v>
      </c>
      <c r="H168" s="26">
        <f>IFERROR(VLOOKUP(Tabla2[[#This Row],[CODIGO]],Tabla1[],10,0),"")</f>
        <v>0</v>
      </c>
      <c r="I168" s="7">
        <v>2</v>
      </c>
      <c r="J168" s="29" t="s">
        <v>320</v>
      </c>
      <c r="K168" s="26" t="str">
        <f>IFERROR(VLOOKUP(Tabla2[[#This Row],[CODIGO]],Tabla1[],11,0),"")</f>
        <v>COMPRA</v>
      </c>
      <c r="L168" s="67" t="s">
        <v>308</v>
      </c>
      <c r="M168" s="67" t="s">
        <v>472</v>
      </c>
      <c r="N168" s="70">
        <v>45</v>
      </c>
      <c r="O168" s="70">
        <f>Tabla2[[#This Row],[CANTIDAD]]*Tabla2[[#This Row],[PREC. UNITARIO]]</f>
        <v>90</v>
      </c>
      <c r="P168" t="s">
        <v>547</v>
      </c>
      <c r="R168" t="str">
        <f>Tabla2[[#This Row],[QUIEN RECIBE]]&amp;"-"&amp;TEXT(Tabla2[[#This Row],[FECHA]],"dd/mm/yyyy")</f>
        <v>ACUACHI LANCHIPA ERNESTO ALONSO-22/09/2025</v>
      </c>
    </row>
    <row r="169" spans="2:18" ht="20.45" hidden="1" customHeight="1" x14ac:dyDescent="0.25">
      <c r="B169" s="5">
        <v>45922</v>
      </c>
      <c r="C169" s="2" t="str">
        <f>IFERROR(_xlfn.XLOOKUP(Tabla2[[#This Row],[PRODUCTO]],Tabla1[PRODUCTO],Tabla1[CODIGO]),"")</f>
        <v>IS-18</v>
      </c>
      <c r="D169" s="31" t="s">
        <v>67</v>
      </c>
      <c r="E169" s="31" t="str">
        <f>IFERROR(VLOOKUP(Tabla2[[#This Row],[CODIGO]],Tabla1[],3,0),"")</f>
        <v>IMPLEMENTOS DE SEGURIDAD</v>
      </c>
      <c r="F169" s="28" t="str">
        <f>IFERROR(VLOOKUP(Tabla2[[#This Row],[CODIGO]],Tabla1[],5,0),"")</f>
        <v>ALMACEN TICAPAMPA</v>
      </c>
      <c r="G169" s="26" t="str">
        <f>IFERROR(VLOOKUP(Tabla2[[#This Row],[CODIGO]],Tabla1[],6,0),"")</f>
        <v>UNI</v>
      </c>
      <c r="H169" s="26">
        <f>IFERROR(VLOOKUP(Tabla2[[#This Row],[CODIGO]],Tabla1[],10,0),"")</f>
        <v>0</v>
      </c>
      <c r="I169" s="7">
        <v>-1</v>
      </c>
      <c r="J169" s="29" t="s">
        <v>318</v>
      </c>
      <c r="K169" s="26" t="str">
        <f>IFERROR(VLOOKUP(Tabla2[[#This Row],[CODIGO]],Tabla1[],11,0),"")</f>
        <v>COMPRA</v>
      </c>
      <c r="L169" s="67" t="s">
        <v>472</v>
      </c>
      <c r="M169" s="67" t="s">
        <v>304</v>
      </c>
      <c r="N169" s="70">
        <v>45</v>
      </c>
      <c r="O169" s="70">
        <f>Tabla2[[#This Row],[CANTIDAD]]*Tabla2[[#This Row],[PREC. UNITARIO]]</f>
        <v>-45</v>
      </c>
      <c r="R169" t="str">
        <f>Tabla2[[#This Row],[QUIEN RECIBE]]&amp;"-"&amp;TEXT(Tabla2[[#This Row],[FECHA]],"dd/mm/yyyy")</f>
        <v>LOZA, GUILLERMO-22/09/2025</v>
      </c>
    </row>
    <row r="170" spans="2:18" ht="20.45" hidden="1" customHeight="1" x14ac:dyDescent="0.25">
      <c r="B170" s="5">
        <v>45922</v>
      </c>
      <c r="C170" s="2" t="str">
        <f>IFERROR(_xlfn.XLOOKUP(Tabla2[[#This Row],[PRODUCTO]],Tabla1[PRODUCTO],Tabla1[CODIGO]),"")</f>
        <v>IS-2</v>
      </c>
      <c r="D170" s="31" t="s">
        <v>52</v>
      </c>
      <c r="E170" s="31" t="str">
        <f>IFERROR(VLOOKUP(Tabla2[[#This Row],[CODIGO]],Tabla1[],3,0),"")</f>
        <v>IMPLEMENTOS DE SEGURIDAD</v>
      </c>
      <c r="F170" s="28" t="str">
        <f>IFERROR(VLOOKUP(Tabla2[[#This Row],[CODIGO]],Tabla1[],5,0),"")</f>
        <v>ALMACEN TICAPAMPA</v>
      </c>
      <c r="G170" s="26" t="str">
        <f>IFERROR(VLOOKUP(Tabla2[[#This Row],[CODIGO]],Tabla1[],6,0),"")</f>
        <v>UNI</v>
      </c>
      <c r="H170" s="26">
        <f>IFERROR(VLOOKUP(Tabla2[[#This Row],[CODIGO]],Tabla1[],10,0),"")</f>
        <v>5</v>
      </c>
      <c r="I170" s="7">
        <v>-1</v>
      </c>
      <c r="J170" s="29" t="s">
        <v>318</v>
      </c>
      <c r="K170" s="26" t="str">
        <f>IFERROR(VLOOKUP(Tabla2[[#This Row],[CODIGO]],Tabla1[],11,0),"")</f>
        <v>COMPRA</v>
      </c>
      <c r="L170" s="67" t="s">
        <v>250</v>
      </c>
      <c r="M170" s="67" t="s">
        <v>303</v>
      </c>
      <c r="N170" s="70">
        <v>45</v>
      </c>
      <c r="O170" s="70">
        <f>Tabla2[[#This Row],[CANTIDAD]]*Tabla2[[#This Row],[PREC. UNITARIO]]</f>
        <v>-45</v>
      </c>
      <c r="R170" t="str">
        <f>Tabla2[[#This Row],[QUIEN RECIBE]]&amp;"-"&amp;TEXT(Tabla2[[#This Row],[FECHA]],"dd/mm/yyyy")</f>
        <v>APASTEGUI GRANDEZ, LUIS ALFREDO -22/09/2025</v>
      </c>
    </row>
    <row r="171" spans="2:18" ht="20.45" hidden="1" customHeight="1" x14ac:dyDescent="0.25">
      <c r="B171" s="5">
        <v>45922</v>
      </c>
      <c r="C171" s="2" t="str">
        <f>IFERROR(_xlfn.XLOOKUP(Tabla2[[#This Row],[PRODUCTO]],Tabla1[PRODUCTO],Tabla1[CODIGO]),"")</f>
        <v>IS-36</v>
      </c>
      <c r="D171" s="31" t="s">
        <v>300</v>
      </c>
      <c r="E171" s="31" t="str">
        <f>IFERROR(VLOOKUP(Tabla2[[#This Row],[CODIGO]],Tabla1[],3,0),"")</f>
        <v>IMPLEMENTOS DE SEGURIDAD</v>
      </c>
      <c r="F171" s="28" t="str">
        <f>IFERROR(VLOOKUP(Tabla2[[#This Row],[CODIGO]],Tabla1[],5,0),"")</f>
        <v>ALMACEN TICAPAMPA</v>
      </c>
      <c r="G171" s="26" t="str">
        <f>IFERROR(VLOOKUP(Tabla2[[#This Row],[CODIGO]],Tabla1[],6,0),"")</f>
        <v>UNI</v>
      </c>
      <c r="H171" s="26">
        <f>IFERROR(VLOOKUP(Tabla2[[#This Row],[CODIGO]],Tabla1[],10,0),"")</f>
        <v>4</v>
      </c>
      <c r="I171" s="7">
        <v>-2</v>
      </c>
      <c r="J171" s="29" t="s">
        <v>318</v>
      </c>
      <c r="K171" s="26" t="str">
        <f>IFERROR(VLOOKUP(Tabla2[[#This Row],[CODIGO]],Tabla1[],11,0),"")</f>
        <v>COMPRA</v>
      </c>
      <c r="L171" s="67" t="s">
        <v>250</v>
      </c>
      <c r="M171" s="67" t="s">
        <v>303</v>
      </c>
      <c r="N171" s="70"/>
      <c r="O171" s="70">
        <f>Tabla2[[#This Row],[CANTIDAD]]*Tabla2[[#This Row],[PREC. UNITARIO]]</f>
        <v>0</v>
      </c>
      <c r="R171" t="str">
        <f>Tabla2[[#This Row],[QUIEN RECIBE]]&amp;"-"&amp;TEXT(Tabla2[[#This Row],[FECHA]],"dd/mm/yyyy")</f>
        <v>APASTEGUI GRANDEZ, LUIS ALFREDO -22/09/2025</v>
      </c>
    </row>
    <row r="172" spans="2:18" ht="20.45" hidden="1" customHeight="1" x14ac:dyDescent="0.25">
      <c r="B172" s="5">
        <v>45922</v>
      </c>
      <c r="C172" s="2" t="str">
        <f>IFERROR(_xlfn.XLOOKUP(Tabla2[[#This Row],[PRODUCTO]],Tabla1[PRODUCTO],Tabla1[CODIGO]),"")</f>
        <v>IS-15</v>
      </c>
      <c r="D172" s="31" t="s">
        <v>64</v>
      </c>
      <c r="E172" s="31" t="str">
        <f>IFERROR(VLOOKUP(Tabla2[[#This Row],[CODIGO]],Tabla1[],3,0),"")</f>
        <v>IMPLEMENTOS DE SEGURIDAD</v>
      </c>
      <c r="F172" s="28" t="str">
        <f>IFERROR(VLOOKUP(Tabla2[[#This Row],[CODIGO]],Tabla1[],5,0),"")</f>
        <v>ALMACEN TICAPAMPA</v>
      </c>
      <c r="G172" s="26" t="str">
        <f>IFERROR(VLOOKUP(Tabla2[[#This Row],[CODIGO]],Tabla1[],6,0),"")</f>
        <v>PAR</v>
      </c>
      <c r="H172" s="26">
        <f>IFERROR(VLOOKUP(Tabla2[[#This Row],[CODIGO]],Tabla1[],10,0),"")</f>
        <v>0</v>
      </c>
      <c r="I172" s="7">
        <v>-1</v>
      </c>
      <c r="J172" s="29" t="s">
        <v>318</v>
      </c>
      <c r="K172" s="26" t="str">
        <f>IFERROR(VLOOKUP(Tabla2[[#This Row],[CODIGO]],Tabla1[],11,0),"")</f>
        <v>COMPRA</v>
      </c>
      <c r="L172" s="67" t="s">
        <v>250</v>
      </c>
      <c r="M172" s="67" t="s">
        <v>303</v>
      </c>
      <c r="N172" s="70">
        <v>63</v>
      </c>
      <c r="O172" s="70">
        <f>Tabla2[[#This Row],[CANTIDAD]]*Tabla2[[#This Row],[PREC. UNITARIO]]</f>
        <v>-63</v>
      </c>
      <c r="R172" t="str">
        <f>Tabla2[[#This Row],[QUIEN RECIBE]]&amp;"-"&amp;TEXT(Tabla2[[#This Row],[FECHA]],"dd/mm/yyyy")</f>
        <v>APASTEGUI GRANDEZ, LUIS ALFREDO -22/09/2025</v>
      </c>
    </row>
    <row r="173" spans="2:18" ht="20.45" hidden="1" customHeight="1" x14ac:dyDescent="0.25">
      <c r="B173" s="5">
        <v>45922</v>
      </c>
      <c r="C173" s="2" t="str">
        <f>IFERROR(_xlfn.XLOOKUP(Tabla2[[#This Row],[PRODUCTO]],Tabla1[PRODUCTO],Tabla1[CODIGO]),"")</f>
        <v>IS-31</v>
      </c>
      <c r="D173" s="31" t="s">
        <v>82</v>
      </c>
      <c r="E173" s="31" t="str">
        <f>IFERROR(VLOOKUP(Tabla2[[#This Row],[CODIGO]],Tabla1[],3,0),"")</f>
        <v>IMPLEMENTOS DE SEGURIDAD</v>
      </c>
      <c r="F173" s="28" t="str">
        <f>IFERROR(VLOOKUP(Tabla2[[#This Row],[CODIGO]],Tabla1[],5,0),"")</f>
        <v>ALMACEN TICAPAMPA</v>
      </c>
      <c r="G173" s="26" t="str">
        <f>IFERROR(VLOOKUP(Tabla2[[#This Row],[CODIGO]],Tabla1[],6,0),"")</f>
        <v>UNI</v>
      </c>
      <c r="H173" s="26">
        <f>IFERROR(VLOOKUP(Tabla2[[#This Row],[CODIGO]],Tabla1[],10,0),"")</f>
        <v>0</v>
      </c>
      <c r="I173" s="7">
        <v>-1</v>
      </c>
      <c r="J173" s="29" t="s">
        <v>318</v>
      </c>
      <c r="K173" s="26" t="str">
        <f>IFERROR(VLOOKUP(Tabla2[[#This Row],[CODIGO]],Tabla1[],11,0),"")</f>
        <v>COMPRA</v>
      </c>
      <c r="L173" s="67" t="s">
        <v>250</v>
      </c>
      <c r="M173" s="67" t="s">
        <v>303</v>
      </c>
      <c r="N173" s="70">
        <v>22</v>
      </c>
      <c r="O173" s="70">
        <f>Tabla2[[#This Row],[CANTIDAD]]*Tabla2[[#This Row],[PREC. UNITARIO]]</f>
        <v>-22</v>
      </c>
      <c r="R173" t="str">
        <f>Tabla2[[#This Row],[QUIEN RECIBE]]&amp;"-"&amp;TEXT(Tabla2[[#This Row],[FECHA]],"dd/mm/yyyy")</f>
        <v>APASTEGUI GRANDEZ, LUIS ALFREDO -22/09/2025</v>
      </c>
    </row>
    <row r="174" spans="2:18" ht="20.45" hidden="1" customHeight="1" x14ac:dyDescent="0.25">
      <c r="B174" s="5">
        <v>45922</v>
      </c>
      <c r="C174" s="2" t="str">
        <f>IFERROR(_xlfn.XLOOKUP(Tabla2[[#This Row],[PRODUCTO]],Tabla1[PRODUCTO],Tabla1[CODIGO]),"")</f>
        <v>IS-14</v>
      </c>
      <c r="D174" s="31" t="s">
        <v>271</v>
      </c>
      <c r="E174" s="31" t="str">
        <f>IFERROR(VLOOKUP(Tabla2[[#This Row],[CODIGO]],Tabla1[],3,0),"")</f>
        <v>IMPLEMENTOS DE SEGURIDAD</v>
      </c>
      <c r="F174" s="28" t="str">
        <f>IFERROR(VLOOKUP(Tabla2[[#This Row],[CODIGO]],Tabla1[],5,0),"")</f>
        <v>ALMACEN TICAPAMPA</v>
      </c>
      <c r="G174" s="26" t="str">
        <f>IFERROR(VLOOKUP(Tabla2[[#This Row],[CODIGO]],Tabla1[],6,0),"")</f>
        <v>UNI</v>
      </c>
      <c r="H174" s="26">
        <f>IFERROR(VLOOKUP(Tabla2[[#This Row],[CODIGO]],Tabla1[],10,0),"")</f>
        <v>1</v>
      </c>
      <c r="I174" s="7">
        <v>-1</v>
      </c>
      <c r="J174" s="29" t="s">
        <v>318</v>
      </c>
      <c r="K174" s="26" t="str">
        <f>IFERROR(VLOOKUP(Tabla2[[#This Row],[CODIGO]],Tabla1[],11,0),"")</f>
        <v>COMPRA</v>
      </c>
      <c r="L174" s="67" t="s">
        <v>250</v>
      </c>
      <c r="M174" s="67" t="s">
        <v>303</v>
      </c>
      <c r="N174" s="70">
        <v>4</v>
      </c>
      <c r="O174" s="70">
        <f>Tabla2[[#This Row],[CANTIDAD]]*Tabla2[[#This Row],[PREC. UNITARIO]]</f>
        <v>-4</v>
      </c>
      <c r="R174" t="str">
        <f>Tabla2[[#This Row],[QUIEN RECIBE]]&amp;"-"&amp;TEXT(Tabla2[[#This Row],[FECHA]],"dd/mm/yyyy")</f>
        <v>APASTEGUI GRANDEZ, LUIS ALFREDO -22/09/2025</v>
      </c>
    </row>
    <row r="175" spans="2:18" ht="20.45" hidden="1" customHeight="1" x14ac:dyDescent="0.25">
      <c r="B175" s="5">
        <v>45922</v>
      </c>
      <c r="C175" s="2" t="str">
        <f>IFERROR(_xlfn.XLOOKUP(Tabla2[[#This Row],[PRODUCTO]],Tabla1[PRODUCTO],Tabla1[CODIGO]),"")</f>
        <v>IS-30</v>
      </c>
      <c r="D175" s="31" t="s">
        <v>81</v>
      </c>
      <c r="E175" s="31" t="str">
        <f>IFERROR(VLOOKUP(Tabla2[[#This Row],[CODIGO]],Tabla1[],3,0),"")</f>
        <v>IMPLEMENTOS DE SEGURIDAD</v>
      </c>
      <c r="F175" s="28" t="str">
        <f>IFERROR(VLOOKUP(Tabla2[[#This Row],[CODIGO]],Tabla1[],5,0),"")</f>
        <v>ALMACEN TICAPAMPA</v>
      </c>
      <c r="G175" s="26" t="str">
        <f>IFERROR(VLOOKUP(Tabla2[[#This Row],[CODIGO]],Tabla1[],6,0),"")</f>
        <v>UNI</v>
      </c>
      <c r="H175" s="26">
        <f>IFERROR(VLOOKUP(Tabla2[[#This Row],[CODIGO]],Tabla1[],10,0),"")</f>
        <v>99</v>
      </c>
      <c r="I175" s="7">
        <v>-1</v>
      </c>
      <c r="J175" s="29" t="s">
        <v>318</v>
      </c>
      <c r="K175" s="26" t="str">
        <f>IFERROR(VLOOKUP(Tabla2[[#This Row],[CODIGO]],Tabla1[],11,0),"")</f>
        <v>COMPRA</v>
      </c>
      <c r="L175" s="67" t="s">
        <v>250</v>
      </c>
      <c r="M175" s="67" t="s">
        <v>303</v>
      </c>
      <c r="N175" s="70">
        <v>8</v>
      </c>
      <c r="O175" s="70">
        <f>Tabla2[[#This Row],[CANTIDAD]]*Tabla2[[#This Row],[PREC. UNITARIO]]</f>
        <v>-8</v>
      </c>
      <c r="R175" t="str">
        <f>Tabla2[[#This Row],[QUIEN RECIBE]]&amp;"-"&amp;TEXT(Tabla2[[#This Row],[FECHA]],"dd/mm/yyyy")</f>
        <v>APASTEGUI GRANDEZ, LUIS ALFREDO -22/09/2025</v>
      </c>
    </row>
    <row r="176" spans="2:18" ht="20.45" hidden="1" customHeight="1" x14ac:dyDescent="0.25">
      <c r="B176" s="5">
        <v>45922</v>
      </c>
      <c r="C176" s="2" t="str">
        <f>IFERROR(_xlfn.XLOOKUP(Tabla2[[#This Row],[PRODUCTO]],Tabla1[PRODUCTO],Tabla1[CODIGO]),"")</f>
        <v>IS-28</v>
      </c>
      <c r="D176" s="31" t="s">
        <v>79</v>
      </c>
      <c r="E176" s="31" t="str">
        <f>IFERROR(VLOOKUP(Tabla2[[#This Row],[CODIGO]],Tabla1[],3,0),"")</f>
        <v>IMPLEMENTOS DE SEGURIDAD</v>
      </c>
      <c r="F176" s="28" t="str">
        <f>IFERROR(VLOOKUP(Tabla2[[#This Row],[CODIGO]],Tabla1[],5,0),"")</f>
        <v>ALMACEN TICAPAMPA</v>
      </c>
      <c r="G176" s="26" t="str">
        <f>IFERROR(VLOOKUP(Tabla2[[#This Row],[CODIGO]],Tabla1[],6,0),"")</f>
        <v>UNI</v>
      </c>
      <c r="H176" s="26">
        <f>IFERROR(VLOOKUP(Tabla2[[#This Row],[CODIGO]],Tabla1[],10,0),"")</f>
        <v>32</v>
      </c>
      <c r="I176" s="7">
        <v>-1</v>
      </c>
      <c r="J176" s="29" t="s">
        <v>318</v>
      </c>
      <c r="K176" s="26" t="str">
        <f>IFERROR(VLOOKUP(Tabla2[[#This Row],[CODIGO]],Tabla1[],11,0),"")</f>
        <v>COMPRA</v>
      </c>
      <c r="L176" s="67" t="s">
        <v>250</v>
      </c>
      <c r="M176" s="67" t="s">
        <v>303</v>
      </c>
      <c r="N176" s="70">
        <v>4</v>
      </c>
      <c r="O176" s="70">
        <f>Tabla2[[#This Row],[CANTIDAD]]*Tabla2[[#This Row],[PREC. UNITARIO]]</f>
        <v>-4</v>
      </c>
      <c r="R176" t="str">
        <f>Tabla2[[#This Row],[QUIEN RECIBE]]&amp;"-"&amp;TEXT(Tabla2[[#This Row],[FECHA]],"dd/mm/yyyy")</f>
        <v>APASTEGUI GRANDEZ, LUIS ALFREDO -22/09/2025</v>
      </c>
    </row>
    <row r="177" spans="2:18" ht="20.45" hidden="1" customHeight="1" x14ac:dyDescent="0.25">
      <c r="B177" s="5">
        <v>45922</v>
      </c>
      <c r="C177" s="2" t="str">
        <f>IFERROR(_xlfn.XLOOKUP(Tabla2[[#This Row],[PRODUCTO]],Tabla1[PRODUCTO],Tabla1[CODIGO]),"")</f>
        <v>IS-21</v>
      </c>
      <c r="D177" s="31" t="s">
        <v>70</v>
      </c>
      <c r="E177" s="31" t="str">
        <f>IFERROR(VLOOKUP(Tabla2[[#This Row],[CODIGO]],Tabla1[],3,0),"")</f>
        <v>IMPLEMENTOS DE SEGURIDAD</v>
      </c>
      <c r="F177" s="28" t="str">
        <f>IFERROR(VLOOKUP(Tabla2[[#This Row],[CODIGO]],Tabla1[],5,0),"")</f>
        <v>ALMACEN TICAPAMPA</v>
      </c>
      <c r="G177" s="26" t="str">
        <f>IFERROR(VLOOKUP(Tabla2[[#This Row],[CODIGO]],Tabla1[],6,0),"")</f>
        <v>UNI</v>
      </c>
      <c r="H177" s="26">
        <f>IFERROR(VLOOKUP(Tabla2[[#This Row],[CODIGO]],Tabla1[],10,0),"")</f>
        <v>13</v>
      </c>
      <c r="I177" s="7">
        <v>-1</v>
      </c>
      <c r="J177" s="29" t="s">
        <v>318</v>
      </c>
      <c r="K177" s="26" t="str">
        <f>IFERROR(VLOOKUP(Tabla2[[#This Row],[CODIGO]],Tabla1[],11,0),"")</f>
        <v>COMPRA</v>
      </c>
      <c r="L177" s="67" t="s">
        <v>472</v>
      </c>
      <c r="M177" s="67" t="s">
        <v>303</v>
      </c>
      <c r="N177" s="70">
        <v>6.5</v>
      </c>
      <c r="O177" s="70">
        <f>Tabla2[[#This Row],[CANTIDAD]]*Tabla2[[#This Row],[PREC. UNITARIO]]</f>
        <v>-6.5</v>
      </c>
      <c r="R177" t="str">
        <f>Tabla2[[#This Row],[QUIEN RECIBE]]&amp;"-"&amp;TEXT(Tabla2[[#This Row],[FECHA]],"dd/mm/yyyy")</f>
        <v>APASTEGUI GRANDEZ, LUIS ALFREDO -22/09/2025</v>
      </c>
    </row>
    <row r="178" spans="2:18" ht="20.45" hidden="1" customHeight="1" x14ac:dyDescent="0.25">
      <c r="B178" s="5">
        <v>45922</v>
      </c>
      <c r="C178" s="2" t="str">
        <f>IFERROR(_xlfn.XLOOKUP(Tabla2[[#This Row],[PRODUCTO]],Tabla1[PRODUCTO],Tabla1[CODIGO]),"")</f>
        <v>IS-2</v>
      </c>
      <c r="D178" s="31" t="s">
        <v>52</v>
      </c>
      <c r="E178" s="31" t="str">
        <f>IFERROR(VLOOKUP(Tabla2[[#This Row],[CODIGO]],Tabla1[],3,0),"")</f>
        <v>IMPLEMENTOS DE SEGURIDAD</v>
      </c>
      <c r="F178" s="28" t="str">
        <f>IFERROR(VLOOKUP(Tabla2[[#This Row],[CODIGO]],Tabla1[],5,0),"")</f>
        <v>ALMACEN TICAPAMPA</v>
      </c>
      <c r="G178" s="26" t="str">
        <f>IFERROR(VLOOKUP(Tabla2[[#This Row],[CODIGO]],Tabla1[],6,0),"")</f>
        <v>UNI</v>
      </c>
      <c r="H178" s="26">
        <f>IFERROR(VLOOKUP(Tabla2[[#This Row],[CODIGO]],Tabla1[],10,0),"")</f>
        <v>5</v>
      </c>
      <c r="I178" s="7">
        <v>-1</v>
      </c>
      <c r="J178" s="29" t="s">
        <v>318</v>
      </c>
      <c r="K178" s="26" t="str">
        <f>IFERROR(VLOOKUP(Tabla2[[#This Row],[CODIGO]],Tabla1[],11,0),"")</f>
        <v>COMPRA</v>
      </c>
      <c r="L178" s="67" t="s">
        <v>250</v>
      </c>
      <c r="M178" s="67" t="s">
        <v>301</v>
      </c>
      <c r="N178" s="70">
        <v>45</v>
      </c>
      <c r="O178" s="70">
        <f>Tabla2[[#This Row],[CANTIDAD]]*Tabla2[[#This Row],[PREC. UNITARIO]]</f>
        <v>-45</v>
      </c>
      <c r="R178" t="str">
        <f>Tabla2[[#This Row],[QUIEN RECIBE]]&amp;"-"&amp;TEXT(Tabla2[[#This Row],[FECHA]],"dd/mm/yyyy")</f>
        <v>GUTARATE SABINO, ADRIEL ANTONY-22/09/2025</v>
      </c>
    </row>
    <row r="179" spans="2:18" ht="20.45" hidden="1" customHeight="1" x14ac:dyDescent="0.25">
      <c r="B179" s="5">
        <v>45922</v>
      </c>
      <c r="C179" s="2" t="str">
        <f>IFERROR(_xlfn.XLOOKUP(Tabla2[[#This Row],[PRODUCTO]],Tabla1[PRODUCTO],Tabla1[CODIGO]),"")</f>
        <v>IS-36</v>
      </c>
      <c r="D179" s="31" t="s">
        <v>300</v>
      </c>
      <c r="E179" s="31" t="str">
        <f>IFERROR(VLOOKUP(Tabla2[[#This Row],[CODIGO]],Tabla1[],3,0),"")</f>
        <v>IMPLEMENTOS DE SEGURIDAD</v>
      </c>
      <c r="F179" s="28" t="str">
        <f>IFERROR(VLOOKUP(Tabla2[[#This Row],[CODIGO]],Tabla1[],5,0),"")</f>
        <v>ALMACEN TICAPAMPA</v>
      </c>
      <c r="G179" s="26" t="str">
        <f>IFERROR(VLOOKUP(Tabla2[[#This Row],[CODIGO]],Tabla1[],6,0),"")</f>
        <v>UNI</v>
      </c>
      <c r="H179" s="26">
        <f>IFERROR(VLOOKUP(Tabla2[[#This Row],[CODIGO]],Tabla1[],10,0),"")</f>
        <v>4</v>
      </c>
      <c r="I179" s="7">
        <v>-2</v>
      </c>
      <c r="J179" s="29" t="s">
        <v>318</v>
      </c>
      <c r="K179" s="26" t="str">
        <f>IFERROR(VLOOKUP(Tabla2[[#This Row],[CODIGO]],Tabla1[],11,0),"")</f>
        <v>COMPRA</v>
      </c>
      <c r="L179" s="67" t="s">
        <v>250</v>
      </c>
      <c r="M179" s="67" t="s">
        <v>301</v>
      </c>
      <c r="N179" s="70"/>
      <c r="O179" s="70">
        <f>Tabla2[[#This Row],[CANTIDAD]]*Tabla2[[#This Row],[PREC. UNITARIO]]</f>
        <v>0</v>
      </c>
      <c r="R179" t="str">
        <f>Tabla2[[#This Row],[QUIEN RECIBE]]&amp;"-"&amp;TEXT(Tabla2[[#This Row],[FECHA]],"dd/mm/yyyy")</f>
        <v>GUTARATE SABINO, ADRIEL ANTONY-22/09/2025</v>
      </c>
    </row>
    <row r="180" spans="2:18" ht="20.45" hidden="1" customHeight="1" x14ac:dyDescent="0.25">
      <c r="B180" s="5">
        <v>45922</v>
      </c>
      <c r="C180" s="2" t="str">
        <f>IFERROR(_xlfn.XLOOKUP(Tabla2[[#This Row],[PRODUCTO]],Tabla1[PRODUCTO],Tabla1[CODIGO]),"")</f>
        <v>IS-15</v>
      </c>
      <c r="D180" s="31" t="s">
        <v>64</v>
      </c>
      <c r="E180" s="31" t="str">
        <f>IFERROR(VLOOKUP(Tabla2[[#This Row],[CODIGO]],Tabla1[],3,0),"")</f>
        <v>IMPLEMENTOS DE SEGURIDAD</v>
      </c>
      <c r="F180" s="28" t="str">
        <f>IFERROR(VLOOKUP(Tabla2[[#This Row],[CODIGO]],Tabla1[],5,0),"")</f>
        <v>ALMACEN TICAPAMPA</v>
      </c>
      <c r="G180" s="26" t="str">
        <f>IFERROR(VLOOKUP(Tabla2[[#This Row],[CODIGO]],Tabla1[],6,0),"")</f>
        <v>PAR</v>
      </c>
      <c r="H180" s="26">
        <f>IFERROR(VLOOKUP(Tabla2[[#This Row],[CODIGO]],Tabla1[],10,0),"")</f>
        <v>0</v>
      </c>
      <c r="I180" s="7">
        <v>-1</v>
      </c>
      <c r="J180" s="29" t="s">
        <v>318</v>
      </c>
      <c r="K180" s="26" t="str">
        <f>IFERROR(VLOOKUP(Tabla2[[#This Row],[CODIGO]],Tabla1[],11,0),"")</f>
        <v>COMPRA</v>
      </c>
      <c r="L180" s="67" t="s">
        <v>250</v>
      </c>
      <c r="M180" s="67" t="s">
        <v>301</v>
      </c>
      <c r="N180" s="70">
        <v>63</v>
      </c>
      <c r="O180" s="70">
        <f>Tabla2[[#This Row],[CANTIDAD]]*Tabla2[[#This Row],[PREC. UNITARIO]]</f>
        <v>-63</v>
      </c>
      <c r="R180" t="str">
        <f>Tabla2[[#This Row],[QUIEN RECIBE]]&amp;"-"&amp;TEXT(Tabla2[[#This Row],[FECHA]],"dd/mm/yyyy")</f>
        <v>GUTARATE SABINO, ADRIEL ANTONY-22/09/2025</v>
      </c>
    </row>
    <row r="181" spans="2:18" ht="20.45" hidden="1" customHeight="1" x14ac:dyDescent="0.25">
      <c r="B181" s="5">
        <v>45922</v>
      </c>
      <c r="C181" s="2" t="str">
        <f>IFERROR(_xlfn.XLOOKUP(Tabla2[[#This Row],[PRODUCTO]],Tabla1[PRODUCTO],Tabla1[CODIGO]),"")</f>
        <v>IS-28</v>
      </c>
      <c r="D181" s="31" t="s">
        <v>79</v>
      </c>
      <c r="E181" s="31" t="str">
        <f>IFERROR(VLOOKUP(Tabla2[[#This Row],[CODIGO]],Tabla1[],3,0),"")</f>
        <v>IMPLEMENTOS DE SEGURIDAD</v>
      </c>
      <c r="F181" s="28" t="str">
        <f>IFERROR(VLOOKUP(Tabla2[[#This Row],[CODIGO]],Tabla1[],5,0),"")</f>
        <v>ALMACEN TICAPAMPA</v>
      </c>
      <c r="G181" s="26" t="str">
        <f>IFERROR(VLOOKUP(Tabla2[[#This Row],[CODIGO]],Tabla1[],6,0),"")</f>
        <v>UNI</v>
      </c>
      <c r="H181" s="26">
        <f>IFERROR(VLOOKUP(Tabla2[[#This Row],[CODIGO]],Tabla1[],10,0),"")</f>
        <v>32</v>
      </c>
      <c r="I181" s="7">
        <v>-1</v>
      </c>
      <c r="J181" s="29" t="s">
        <v>321</v>
      </c>
      <c r="K181" s="26" t="str">
        <f>IFERROR(VLOOKUP(Tabla2[[#This Row],[CODIGO]],Tabla1[],11,0),"")</f>
        <v>COMPRA</v>
      </c>
      <c r="L181" s="67" t="s">
        <v>250</v>
      </c>
      <c r="M181" s="67" t="s">
        <v>301</v>
      </c>
      <c r="N181" s="70">
        <v>4</v>
      </c>
      <c r="O181" s="70">
        <f>Tabla2[[#This Row],[CANTIDAD]]*Tabla2[[#This Row],[PREC. UNITARIO]]</f>
        <v>-4</v>
      </c>
      <c r="R181" t="str">
        <f>Tabla2[[#This Row],[QUIEN RECIBE]]&amp;"-"&amp;TEXT(Tabla2[[#This Row],[FECHA]],"dd/mm/yyyy")</f>
        <v>GUTARATE SABINO, ADRIEL ANTONY-22/09/2025</v>
      </c>
    </row>
    <row r="182" spans="2:18" ht="20.45" hidden="1" customHeight="1" x14ac:dyDescent="0.25">
      <c r="B182" s="5">
        <v>45922</v>
      </c>
      <c r="C182" s="2" t="str">
        <f>IFERROR(_xlfn.XLOOKUP(Tabla2[[#This Row],[PRODUCTO]],Tabla1[PRODUCTO],Tabla1[CODIGO]),"")</f>
        <v>IS-20</v>
      </c>
      <c r="D182" s="31" t="s">
        <v>69</v>
      </c>
      <c r="E182" s="31" t="str">
        <f>IFERROR(VLOOKUP(Tabla2[[#This Row],[CODIGO]],Tabla1[],3,0),"")</f>
        <v>IMPLEMENTOS DE SEGURIDAD</v>
      </c>
      <c r="F182" s="28" t="str">
        <f>IFERROR(VLOOKUP(Tabla2[[#This Row],[CODIGO]],Tabla1[],5,0),"")</f>
        <v>ALMACEN TICAPAMPA</v>
      </c>
      <c r="G182" s="26" t="str">
        <f>IFERROR(VLOOKUP(Tabla2[[#This Row],[CODIGO]],Tabla1[],6,0),"")</f>
        <v>UNI</v>
      </c>
      <c r="H182" s="26">
        <f>IFERROR(VLOOKUP(Tabla2[[#This Row],[CODIGO]],Tabla1[],10,0),"")</f>
        <v>5</v>
      </c>
      <c r="I182" s="7">
        <v>-1</v>
      </c>
      <c r="J182" s="29" t="s">
        <v>322</v>
      </c>
      <c r="K182" s="26" t="str">
        <f>IFERROR(VLOOKUP(Tabla2[[#This Row],[CODIGO]],Tabla1[],11,0),"")</f>
        <v>COMPRA</v>
      </c>
      <c r="L182" s="67" t="s">
        <v>472</v>
      </c>
      <c r="M182" s="67" t="s">
        <v>301</v>
      </c>
      <c r="N182" s="70">
        <v>6.5</v>
      </c>
      <c r="O182" s="70">
        <f>Tabla2[[#This Row],[CANTIDAD]]*Tabla2[[#This Row],[PREC. UNITARIO]]</f>
        <v>-6.5</v>
      </c>
      <c r="R182" t="str">
        <f>Tabla2[[#This Row],[QUIEN RECIBE]]&amp;"-"&amp;TEXT(Tabla2[[#This Row],[FECHA]],"dd/mm/yyyy")</f>
        <v>GUTARATE SABINO, ADRIEL ANTONY-22/09/2025</v>
      </c>
    </row>
    <row r="183" spans="2:18" ht="20.45" hidden="1" customHeight="1" x14ac:dyDescent="0.25">
      <c r="B183" s="5">
        <v>45922</v>
      </c>
      <c r="C183" s="2" t="str">
        <f>IFERROR(_xlfn.XLOOKUP(Tabla2[[#This Row],[PRODUCTO]],Tabla1[PRODUCTO],Tabla1[CODIGO]),"")</f>
        <v>IS-31</v>
      </c>
      <c r="D183" s="31" t="s">
        <v>82</v>
      </c>
      <c r="E183" s="31" t="str">
        <f>IFERROR(VLOOKUP(Tabla2[[#This Row],[CODIGO]],Tabla1[],3,0),"")</f>
        <v>IMPLEMENTOS DE SEGURIDAD</v>
      </c>
      <c r="F183" s="28" t="str">
        <f>IFERROR(VLOOKUP(Tabla2[[#This Row],[CODIGO]],Tabla1[],5,0),"")</f>
        <v>ALMACEN TICAPAMPA</v>
      </c>
      <c r="G183" s="26" t="str">
        <f>IFERROR(VLOOKUP(Tabla2[[#This Row],[CODIGO]],Tabla1[],6,0),"")</f>
        <v>UNI</v>
      </c>
      <c r="H183" s="26">
        <f>IFERROR(VLOOKUP(Tabla2[[#This Row],[CODIGO]],Tabla1[],10,0),"")</f>
        <v>0</v>
      </c>
      <c r="I183" s="7">
        <v>-1</v>
      </c>
      <c r="J183" s="29" t="s">
        <v>321</v>
      </c>
      <c r="K183" s="26" t="str">
        <f>IFERROR(VLOOKUP(Tabla2[[#This Row],[CODIGO]],Tabla1[],11,0),"")</f>
        <v>COMPRA</v>
      </c>
      <c r="L183" s="67" t="s">
        <v>250</v>
      </c>
      <c r="M183" s="67" t="s">
        <v>301</v>
      </c>
      <c r="N183" s="70">
        <v>22</v>
      </c>
      <c r="O183" s="70">
        <f>Tabla2[[#This Row],[CANTIDAD]]*Tabla2[[#This Row],[PREC. UNITARIO]]</f>
        <v>-22</v>
      </c>
      <c r="R183" t="str">
        <f>Tabla2[[#This Row],[QUIEN RECIBE]]&amp;"-"&amp;TEXT(Tabla2[[#This Row],[FECHA]],"dd/mm/yyyy")</f>
        <v>GUTARATE SABINO, ADRIEL ANTONY-22/09/2025</v>
      </c>
    </row>
    <row r="184" spans="2:18" ht="20.45" hidden="1" customHeight="1" x14ac:dyDescent="0.25">
      <c r="B184" s="5">
        <v>45922</v>
      </c>
      <c r="C184" s="2" t="str">
        <f>IFERROR(_xlfn.XLOOKUP(Tabla2[[#This Row],[PRODUCTO]],Tabla1[PRODUCTO],Tabla1[CODIGO]),"")</f>
        <v>IS-14</v>
      </c>
      <c r="D184" s="31" t="s">
        <v>271</v>
      </c>
      <c r="E184" s="31" t="str">
        <f>IFERROR(VLOOKUP(Tabla2[[#This Row],[CODIGO]],Tabla1[],3,0),"")</f>
        <v>IMPLEMENTOS DE SEGURIDAD</v>
      </c>
      <c r="F184" s="28" t="str">
        <f>IFERROR(VLOOKUP(Tabla2[[#This Row],[CODIGO]],Tabla1[],5,0),"")</f>
        <v>ALMACEN TICAPAMPA</v>
      </c>
      <c r="G184" s="26" t="str">
        <f>IFERROR(VLOOKUP(Tabla2[[#This Row],[CODIGO]],Tabla1[],6,0),"")</f>
        <v>UNI</v>
      </c>
      <c r="H184" s="26">
        <f>IFERROR(VLOOKUP(Tabla2[[#This Row],[CODIGO]],Tabla1[],10,0),"")</f>
        <v>1</v>
      </c>
      <c r="I184" s="7">
        <v>-1</v>
      </c>
      <c r="J184" s="29" t="s">
        <v>321</v>
      </c>
      <c r="K184" s="26" t="str">
        <f>IFERROR(VLOOKUP(Tabla2[[#This Row],[CODIGO]],Tabla1[],11,0),"")</f>
        <v>COMPRA</v>
      </c>
      <c r="L184" s="67" t="s">
        <v>250</v>
      </c>
      <c r="M184" s="67" t="s">
        <v>301</v>
      </c>
      <c r="N184" s="70">
        <v>4</v>
      </c>
      <c r="O184" s="70">
        <f>Tabla2[[#This Row],[CANTIDAD]]*Tabla2[[#This Row],[PREC. UNITARIO]]</f>
        <v>-4</v>
      </c>
      <c r="R184" t="str">
        <f>Tabla2[[#This Row],[QUIEN RECIBE]]&amp;"-"&amp;TEXT(Tabla2[[#This Row],[FECHA]],"dd/mm/yyyy")</f>
        <v>GUTARATE SABINO, ADRIEL ANTONY-22/09/2025</v>
      </c>
    </row>
    <row r="185" spans="2:18" ht="20.45" hidden="1" customHeight="1" x14ac:dyDescent="0.25">
      <c r="B185" s="5">
        <v>45922</v>
      </c>
      <c r="C185" s="2" t="str">
        <f>IFERROR(_xlfn.XLOOKUP(Tabla2[[#This Row],[PRODUCTO]],Tabla1[PRODUCTO],Tabla1[CODIGO]),"")</f>
        <v>IS-30</v>
      </c>
      <c r="D185" s="31" t="s">
        <v>81</v>
      </c>
      <c r="E185" s="31" t="str">
        <f>IFERROR(VLOOKUP(Tabla2[[#This Row],[CODIGO]],Tabla1[],3,0),"")</f>
        <v>IMPLEMENTOS DE SEGURIDAD</v>
      </c>
      <c r="F185" s="28" t="str">
        <f>IFERROR(VLOOKUP(Tabla2[[#This Row],[CODIGO]],Tabla1[],5,0),"")</f>
        <v>ALMACEN TICAPAMPA</v>
      </c>
      <c r="G185" s="26" t="str">
        <f>IFERROR(VLOOKUP(Tabla2[[#This Row],[CODIGO]],Tabla1[],6,0),"")</f>
        <v>UNI</v>
      </c>
      <c r="H185" s="26">
        <f>IFERROR(VLOOKUP(Tabla2[[#This Row],[CODIGO]],Tabla1[],10,0),"")</f>
        <v>99</v>
      </c>
      <c r="I185" s="7">
        <v>-1</v>
      </c>
      <c r="J185" s="29" t="s">
        <v>321</v>
      </c>
      <c r="K185" s="26" t="str">
        <f>IFERROR(VLOOKUP(Tabla2[[#This Row],[CODIGO]],Tabla1[],11,0),"")</f>
        <v>COMPRA</v>
      </c>
      <c r="L185" s="67" t="s">
        <v>250</v>
      </c>
      <c r="M185" s="67" t="s">
        <v>301</v>
      </c>
      <c r="N185" s="70">
        <v>8</v>
      </c>
      <c r="O185" s="70">
        <f>Tabla2[[#This Row],[CANTIDAD]]*Tabla2[[#This Row],[PREC. UNITARIO]]</f>
        <v>-8</v>
      </c>
      <c r="R185" t="str">
        <f>Tabla2[[#This Row],[QUIEN RECIBE]]&amp;"-"&amp;TEXT(Tabla2[[#This Row],[FECHA]],"dd/mm/yyyy")</f>
        <v>GUTARATE SABINO, ADRIEL ANTONY-22/09/2025</v>
      </c>
    </row>
    <row r="186" spans="2:18" ht="20.45" hidden="1" customHeight="1" x14ac:dyDescent="0.25">
      <c r="B186" s="5">
        <v>45922</v>
      </c>
      <c r="C186" s="2" t="str">
        <f>IFERROR(_xlfn.XLOOKUP(Tabla2[[#This Row],[PRODUCTO]],Tabla1[PRODUCTO],Tabla1[CODIGO]),"")</f>
        <v>IS-31</v>
      </c>
      <c r="D186" s="31" t="s">
        <v>82</v>
      </c>
      <c r="E186" s="31" t="str">
        <f>IFERROR(VLOOKUP(Tabla2[[#This Row],[CODIGO]],Tabla1[],3,0),"")</f>
        <v>IMPLEMENTOS DE SEGURIDAD</v>
      </c>
      <c r="F186" s="28" t="str">
        <f>IFERROR(VLOOKUP(Tabla2[[#This Row],[CODIGO]],Tabla1[],5,0),"")</f>
        <v>ALMACEN TICAPAMPA</v>
      </c>
      <c r="G186" s="26" t="str">
        <f>IFERROR(VLOOKUP(Tabla2[[#This Row],[CODIGO]],Tabla1[],6,0),"")</f>
        <v>UNI</v>
      </c>
      <c r="H186" s="26">
        <f>IFERROR(VLOOKUP(Tabla2[[#This Row],[CODIGO]],Tabla1[],10,0),"")</f>
        <v>0</v>
      </c>
      <c r="I186" s="7">
        <v>-1</v>
      </c>
      <c r="J186" s="29" t="s">
        <v>321</v>
      </c>
      <c r="K186" s="26" t="str">
        <f>IFERROR(VLOOKUP(Tabla2[[#This Row],[CODIGO]],Tabla1[],11,0),"")</f>
        <v>COMPRA</v>
      </c>
      <c r="L186" s="67" t="s">
        <v>250</v>
      </c>
      <c r="M186" s="67" t="s">
        <v>236</v>
      </c>
      <c r="N186" s="70">
        <v>22</v>
      </c>
      <c r="O186" s="70">
        <f>Tabla2[[#This Row],[CANTIDAD]]*Tabla2[[#This Row],[PREC. UNITARIO]]</f>
        <v>-22</v>
      </c>
      <c r="R186" t="str">
        <f>Tabla2[[#This Row],[QUIEN RECIBE]]&amp;"-"&amp;TEXT(Tabla2[[#This Row],[FECHA]],"dd/mm/yyyy")</f>
        <v>NAVARRO LOZANO, ANGEL JAROL-22/09/2025</v>
      </c>
    </row>
    <row r="187" spans="2:18" ht="20.45" hidden="1" customHeight="1" x14ac:dyDescent="0.25">
      <c r="B187" s="5">
        <v>45922</v>
      </c>
      <c r="C187" s="2" t="str">
        <f>IFERROR(_xlfn.XLOOKUP(Tabla2[[#This Row],[PRODUCTO]],Tabla1[PRODUCTO],Tabla1[CODIGO]),"")</f>
        <v>IS-14</v>
      </c>
      <c r="D187" s="31" t="s">
        <v>271</v>
      </c>
      <c r="E187" s="31" t="str">
        <f>IFERROR(VLOOKUP(Tabla2[[#This Row],[CODIGO]],Tabla1[],3,0),"")</f>
        <v>IMPLEMENTOS DE SEGURIDAD</v>
      </c>
      <c r="F187" s="28" t="str">
        <f>IFERROR(VLOOKUP(Tabla2[[#This Row],[CODIGO]],Tabla1[],5,0),"")</f>
        <v>ALMACEN TICAPAMPA</v>
      </c>
      <c r="G187" s="26" t="str">
        <f>IFERROR(VLOOKUP(Tabla2[[#This Row],[CODIGO]],Tabla1[],6,0),"")</f>
        <v>UNI</v>
      </c>
      <c r="H187" s="26">
        <f>IFERROR(VLOOKUP(Tabla2[[#This Row],[CODIGO]],Tabla1[],10,0),"")</f>
        <v>1</v>
      </c>
      <c r="I187" s="7">
        <v>-1</v>
      </c>
      <c r="J187" s="29" t="s">
        <v>321</v>
      </c>
      <c r="K187" s="26" t="str">
        <f>IFERROR(VLOOKUP(Tabla2[[#This Row],[CODIGO]],Tabla1[],11,0),"")</f>
        <v>COMPRA</v>
      </c>
      <c r="L187" s="67" t="s">
        <v>250</v>
      </c>
      <c r="M187" s="67" t="s">
        <v>236</v>
      </c>
      <c r="N187" s="70">
        <v>4</v>
      </c>
      <c r="O187" s="70">
        <f>Tabla2[[#This Row],[CANTIDAD]]*Tabla2[[#This Row],[PREC. UNITARIO]]</f>
        <v>-4</v>
      </c>
      <c r="R187" t="str">
        <f>Tabla2[[#This Row],[QUIEN RECIBE]]&amp;"-"&amp;TEXT(Tabla2[[#This Row],[FECHA]],"dd/mm/yyyy")</f>
        <v>NAVARRO LOZANO, ANGEL JAROL-22/09/2025</v>
      </c>
    </row>
    <row r="188" spans="2:18" ht="20.45" hidden="1" customHeight="1" x14ac:dyDescent="0.25">
      <c r="B188" s="5">
        <v>45922</v>
      </c>
      <c r="C188" s="2" t="str">
        <f>IFERROR(_xlfn.XLOOKUP(Tabla2[[#This Row],[PRODUCTO]],Tabla1[PRODUCTO],Tabla1[CODIGO]),"")</f>
        <v>IS-31</v>
      </c>
      <c r="D188" s="31" t="s">
        <v>82</v>
      </c>
      <c r="E188" s="31" t="str">
        <f>IFERROR(VLOOKUP(Tabla2[[#This Row],[CODIGO]],Tabla1[],3,0),"")</f>
        <v>IMPLEMENTOS DE SEGURIDAD</v>
      </c>
      <c r="F188" s="28" t="str">
        <f>IFERROR(VLOOKUP(Tabla2[[#This Row],[CODIGO]],Tabla1[],5,0),"")</f>
        <v>ALMACEN TICAPAMPA</v>
      </c>
      <c r="G188" s="26" t="str">
        <f>IFERROR(VLOOKUP(Tabla2[[#This Row],[CODIGO]],Tabla1[],6,0),"")</f>
        <v>UNI</v>
      </c>
      <c r="H188" s="26">
        <f>IFERROR(VLOOKUP(Tabla2[[#This Row],[CODIGO]],Tabla1[],10,0),"")</f>
        <v>0</v>
      </c>
      <c r="I188" s="7">
        <v>-1</v>
      </c>
      <c r="J188" s="29" t="s">
        <v>321</v>
      </c>
      <c r="K188" s="26" t="str">
        <f>IFERROR(VLOOKUP(Tabla2[[#This Row],[CODIGO]],Tabla1[],11,0),"")</f>
        <v>COMPRA</v>
      </c>
      <c r="L188" s="67" t="s">
        <v>250</v>
      </c>
      <c r="M188" s="67" t="s">
        <v>245</v>
      </c>
      <c r="N188" s="70">
        <v>22</v>
      </c>
      <c r="O188" s="70">
        <f>Tabla2[[#This Row],[CANTIDAD]]*Tabla2[[#This Row],[PREC. UNITARIO]]</f>
        <v>-22</v>
      </c>
      <c r="R188" t="str">
        <f>Tabla2[[#This Row],[QUIEN RECIBE]]&amp;"-"&amp;TEXT(Tabla2[[#This Row],[FECHA]],"dd/mm/yyyy")</f>
        <v>ROJAS SANDOVAL, JAVIER ELOY-22/09/2025</v>
      </c>
    </row>
    <row r="189" spans="2:18" ht="20.45" hidden="1" customHeight="1" x14ac:dyDescent="0.25">
      <c r="B189" s="5">
        <v>45922</v>
      </c>
      <c r="C189" s="2" t="str">
        <f>IFERROR(_xlfn.XLOOKUP(Tabla2[[#This Row],[PRODUCTO]],Tabla1[PRODUCTO],Tabla1[CODIGO]),"")</f>
        <v>IS-14</v>
      </c>
      <c r="D189" s="31" t="s">
        <v>271</v>
      </c>
      <c r="E189" s="31" t="str">
        <f>IFERROR(VLOOKUP(Tabla2[[#This Row],[CODIGO]],Tabla1[],3,0),"")</f>
        <v>IMPLEMENTOS DE SEGURIDAD</v>
      </c>
      <c r="F189" s="28" t="str">
        <f>IFERROR(VLOOKUP(Tabla2[[#This Row],[CODIGO]],Tabla1[],5,0),"")</f>
        <v>ALMACEN TICAPAMPA</v>
      </c>
      <c r="G189" s="26" t="str">
        <f>IFERROR(VLOOKUP(Tabla2[[#This Row],[CODIGO]],Tabla1[],6,0),"")</f>
        <v>UNI</v>
      </c>
      <c r="H189" s="26">
        <f>IFERROR(VLOOKUP(Tabla2[[#This Row],[CODIGO]],Tabla1[],10,0),"")</f>
        <v>1</v>
      </c>
      <c r="I189" s="7">
        <v>-1</v>
      </c>
      <c r="J189" s="29" t="s">
        <v>321</v>
      </c>
      <c r="K189" s="26" t="str">
        <f>IFERROR(VLOOKUP(Tabla2[[#This Row],[CODIGO]],Tabla1[],11,0),"")</f>
        <v>COMPRA</v>
      </c>
      <c r="L189" s="67" t="s">
        <v>250</v>
      </c>
      <c r="M189" s="67" t="s">
        <v>245</v>
      </c>
      <c r="N189" s="70">
        <v>4</v>
      </c>
      <c r="O189" s="70">
        <f>Tabla2[[#This Row],[CANTIDAD]]*Tabla2[[#This Row],[PREC. UNITARIO]]</f>
        <v>-4</v>
      </c>
      <c r="R189" t="str">
        <f>Tabla2[[#This Row],[QUIEN RECIBE]]&amp;"-"&amp;TEXT(Tabla2[[#This Row],[FECHA]],"dd/mm/yyyy")</f>
        <v>ROJAS SANDOVAL, JAVIER ELOY-22/09/2025</v>
      </c>
    </row>
    <row r="190" spans="2:18" ht="20.45" hidden="1" customHeight="1" x14ac:dyDescent="0.25">
      <c r="B190" s="5">
        <v>45922</v>
      </c>
      <c r="C190" s="2" t="str">
        <f>IFERROR(_xlfn.XLOOKUP(Tabla2[[#This Row],[PRODUCTO]],Tabla1[PRODUCTO],Tabla1[CODIGO]),"")</f>
        <v>IS-31</v>
      </c>
      <c r="D190" s="31" t="s">
        <v>82</v>
      </c>
      <c r="E190" s="31" t="str">
        <f>IFERROR(VLOOKUP(Tabla2[[#This Row],[CODIGO]],Tabla1[],3,0),"")</f>
        <v>IMPLEMENTOS DE SEGURIDAD</v>
      </c>
      <c r="F190" s="28" t="str">
        <f>IFERROR(VLOOKUP(Tabla2[[#This Row],[CODIGO]],Tabla1[],5,0),"")</f>
        <v>ALMACEN TICAPAMPA</v>
      </c>
      <c r="G190" s="26" t="str">
        <f>IFERROR(VLOOKUP(Tabla2[[#This Row],[CODIGO]],Tabla1[],6,0),"")</f>
        <v>UNI</v>
      </c>
      <c r="H190" s="26">
        <f>IFERROR(VLOOKUP(Tabla2[[#This Row],[CODIGO]],Tabla1[],10,0),"")</f>
        <v>0</v>
      </c>
      <c r="I190" s="7">
        <v>-1</v>
      </c>
      <c r="J190" s="29" t="s">
        <v>321</v>
      </c>
      <c r="K190" s="26" t="str">
        <f>IFERROR(VLOOKUP(Tabla2[[#This Row],[CODIGO]],Tabla1[],11,0),"")</f>
        <v>COMPRA</v>
      </c>
      <c r="L190" s="67" t="s">
        <v>250</v>
      </c>
      <c r="M190" s="67" t="s">
        <v>244</v>
      </c>
      <c r="N190" s="70">
        <v>22</v>
      </c>
      <c r="O190" s="70">
        <f>Tabla2[[#This Row],[CANTIDAD]]*Tabla2[[#This Row],[PREC. UNITARIO]]</f>
        <v>-22</v>
      </c>
      <c r="R190" t="str">
        <f>Tabla2[[#This Row],[QUIEN RECIBE]]&amp;"-"&amp;TEXT(Tabla2[[#This Row],[FECHA]],"dd/mm/yyyy")</f>
        <v>CORDOVA ANGULO, JUAN-22/09/2025</v>
      </c>
    </row>
    <row r="191" spans="2:18" ht="20.45" hidden="1" customHeight="1" x14ac:dyDescent="0.25">
      <c r="B191" s="5">
        <v>45922</v>
      </c>
      <c r="C191" s="2" t="str">
        <f>IFERROR(_xlfn.XLOOKUP(Tabla2[[#This Row],[PRODUCTO]],Tabla1[PRODUCTO],Tabla1[CODIGO]),"")</f>
        <v>IS-14</v>
      </c>
      <c r="D191" s="31" t="s">
        <v>271</v>
      </c>
      <c r="E191" s="31" t="str">
        <f>IFERROR(VLOOKUP(Tabla2[[#This Row],[CODIGO]],Tabla1[],3,0),"")</f>
        <v>IMPLEMENTOS DE SEGURIDAD</v>
      </c>
      <c r="F191" s="28" t="str">
        <f>IFERROR(VLOOKUP(Tabla2[[#This Row],[CODIGO]],Tabla1[],5,0),"")</f>
        <v>ALMACEN TICAPAMPA</v>
      </c>
      <c r="G191" s="26" t="str">
        <f>IFERROR(VLOOKUP(Tabla2[[#This Row],[CODIGO]],Tabla1[],6,0),"")</f>
        <v>UNI</v>
      </c>
      <c r="H191" s="26">
        <f>IFERROR(VLOOKUP(Tabla2[[#This Row],[CODIGO]],Tabla1[],10,0),"")</f>
        <v>1</v>
      </c>
      <c r="I191" s="7">
        <v>-1</v>
      </c>
      <c r="J191" s="29" t="s">
        <v>321</v>
      </c>
      <c r="K191" s="26" t="str">
        <f>IFERROR(VLOOKUP(Tabla2[[#This Row],[CODIGO]],Tabla1[],11,0),"")</f>
        <v>COMPRA</v>
      </c>
      <c r="L191" s="67" t="s">
        <v>250</v>
      </c>
      <c r="M191" s="67" t="s">
        <v>244</v>
      </c>
      <c r="N191" s="70">
        <v>4</v>
      </c>
      <c r="O191" s="70">
        <f>Tabla2[[#This Row],[CANTIDAD]]*Tabla2[[#This Row],[PREC. UNITARIO]]</f>
        <v>-4</v>
      </c>
      <c r="R191" t="str">
        <f>Tabla2[[#This Row],[QUIEN RECIBE]]&amp;"-"&amp;TEXT(Tabla2[[#This Row],[FECHA]],"dd/mm/yyyy")</f>
        <v>CORDOVA ANGULO, JUAN-22/09/2025</v>
      </c>
    </row>
    <row r="192" spans="2:18" ht="20.45" hidden="1" customHeight="1" x14ac:dyDescent="0.25">
      <c r="B192" s="5">
        <v>45922</v>
      </c>
      <c r="C192" s="2" t="str">
        <f>IFERROR(_xlfn.XLOOKUP(Tabla2[[#This Row],[PRODUCTO]],Tabla1[PRODUCTO],Tabla1[CODIGO]),"")</f>
        <v>IS-31</v>
      </c>
      <c r="D192" s="31" t="s">
        <v>82</v>
      </c>
      <c r="E192" s="31" t="str">
        <f>IFERROR(VLOOKUP(Tabla2[[#This Row],[CODIGO]],Tabla1[],3,0),"")</f>
        <v>IMPLEMENTOS DE SEGURIDAD</v>
      </c>
      <c r="F192" s="28" t="str">
        <f>IFERROR(VLOOKUP(Tabla2[[#This Row],[CODIGO]],Tabla1[],5,0),"")</f>
        <v>ALMACEN TICAPAMPA</v>
      </c>
      <c r="G192" s="26" t="str">
        <f>IFERROR(VLOOKUP(Tabla2[[#This Row],[CODIGO]],Tabla1[],6,0),"")</f>
        <v>UNI</v>
      </c>
      <c r="H192" s="26">
        <f>IFERROR(VLOOKUP(Tabla2[[#This Row],[CODIGO]],Tabla1[],10,0),"")</f>
        <v>0</v>
      </c>
      <c r="I192" s="7">
        <v>-1</v>
      </c>
      <c r="J192" s="29" t="s">
        <v>321</v>
      </c>
      <c r="K192" s="26" t="str">
        <f>IFERROR(VLOOKUP(Tabla2[[#This Row],[CODIGO]],Tabla1[],11,0),"")</f>
        <v>COMPRA</v>
      </c>
      <c r="L192" s="67" t="s">
        <v>250</v>
      </c>
      <c r="M192" s="67" t="s">
        <v>240</v>
      </c>
      <c r="N192" s="70">
        <v>22</v>
      </c>
      <c r="O192" s="70">
        <f>Tabla2[[#This Row],[CANTIDAD]]*Tabla2[[#This Row],[PREC. UNITARIO]]</f>
        <v>-22</v>
      </c>
      <c r="R192" t="str">
        <f>Tabla2[[#This Row],[QUIEN RECIBE]]&amp;"-"&amp;TEXT(Tabla2[[#This Row],[FECHA]],"dd/mm/yyyy")</f>
        <v>LOZANO MALDONADO, HERNAN-22/09/2025</v>
      </c>
    </row>
    <row r="193" spans="2:18" ht="20.45" hidden="1" customHeight="1" x14ac:dyDescent="0.25">
      <c r="B193" s="5">
        <v>45922</v>
      </c>
      <c r="C193" s="2" t="str">
        <f>IFERROR(_xlfn.XLOOKUP(Tabla2[[#This Row],[PRODUCTO]],Tabla1[PRODUCTO],Tabla1[CODIGO]),"")</f>
        <v>IS-14</v>
      </c>
      <c r="D193" s="31" t="s">
        <v>271</v>
      </c>
      <c r="E193" s="31" t="str">
        <f>IFERROR(VLOOKUP(Tabla2[[#This Row],[CODIGO]],Tabla1[],3,0),"")</f>
        <v>IMPLEMENTOS DE SEGURIDAD</v>
      </c>
      <c r="F193" s="28" t="str">
        <f>IFERROR(VLOOKUP(Tabla2[[#This Row],[CODIGO]],Tabla1[],5,0),"")</f>
        <v>ALMACEN TICAPAMPA</v>
      </c>
      <c r="G193" s="26" t="str">
        <f>IFERROR(VLOOKUP(Tabla2[[#This Row],[CODIGO]],Tabla1[],6,0),"")</f>
        <v>UNI</v>
      </c>
      <c r="H193" s="26">
        <f>IFERROR(VLOOKUP(Tabla2[[#This Row],[CODIGO]],Tabla1[],10,0),"")</f>
        <v>1</v>
      </c>
      <c r="I193" s="7">
        <v>-1</v>
      </c>
      <c r="J193" s="29" t="s">
        <v>321</v>
      </c>
      <c r="K193" s="26" t="str">
        <f>IFERROR(VLOOKUP(Tabla2[[#This Row],[CODIGO]],Tabla1[],11,0),"")</f>
        <v>COMPRA</v>
      </c>
      <c r="L193" s="67" t="s">
        <v>250</v>
      </c>
      <c r="M193" s="67" t="s">
        <v>240</v>
      </c>
      <c r="N193" s="70">
        <v>4</v>
      </c>
      <c r="O193" s="70">
        <f>Tabla2[[#This Row],[CANTIDAD]]*Tabla2[[#This Row],[PREC. UNITARIO]]</f>
        <v>-4</v>
      </c>
      <c r="R193" t="str">
        <f>Tabla2[[#This Row],[QUIEN RECIBE]]&amp;"-"&amp;TEXT(Tabla2[[#This Row],[FECHA]],"dd/mm/yyyy")</f>
        <v>LOZANO MALDONADO, HERNAN-22/09/2025</v>
      </c>
    </row>
    <row r="194" spans="2:18" ht="20.45" hidden="1" customHeight="1" x14ac:dyDescent="0.25">
      <c r="B194" s="5">
        <v>45922</v>
      </c>
      <c r="C194" s="2" t="str">
        <f>IFERROR(_xlfn.XLOOKUP(Tabla2[[#This Row],[PRODUCTO]],Tabla1[PRODUCTO],Tabla1[CODIGO]),"")</f>
        <v>IS-21</v>
      </c>
      <c r="D194" s="31" t="s">
        <v>70</v>
      </c>
      <c r="E194" s="31" t="str">
        <f>IFERROR(VLOOKUP(Tabla2[[#This Row],[CODIGO]],Tabla1[],3,0),"")</f>
        <v>IMPLEMENTOS DE SEGURIDAD</v>
      </c>
      <c r="F194" s="28" t="str">
        <f>IFERROR(VLOOKUP(Tabla2[[#This Row],[CODIGO]],Tabla1[],5,0),"")</f>
        <v>ALMACEN TICAPAMPA</v>
      </c>
      <c r="G194" s="26" t="str">
        <f>IFERROR(VLOOKUP(Tabla2[[#This Row],[CODIGO]],Tabla1[],6,0),"")</f>
        <v>UNI</v>
      </c>
      <c r="H194" s="26">
        <f>IFERROR(VLOOKUP(Tabla2[[#This Row],[CODIGO]],Tabla1[],10,0),"")</f>
        <v>13</v>
      </c>
      <c r="I194" s="7">
        <v>-1</v>
      </c>
      <c r="J194" s="29" t="s">
        <v>321</v>
      </c>
      <c r="K194" s="26" t="str">
        <f>IFERROR(VLOOKUP(Tabla2[[#This Row],[CODIGO]],Tabla1[],11,0),"")</f>
        <v>COMPRA</v>
      </c>
      <c r="L194" s="67" t="s">
        <v>472</v>
      </c>
      <c r="M194" s="67" t="s">
        <v>240</v>
      </c>
      <c r="N194" s="70">
        <v>6.5</v>
      </c>
      <c r="O194" s="70">
        <f>Tabla2[[#This Row],[CANTIDAD]]*Tabla2[[#This Row],[PREC. UNITARIO]]</f>
        <v>-6.5</v>
      </c>
      <c r="R194" t="str">
        <f>Tabla2[[#This Row],[QUIEN RECIBE]]&amp;"-"&amp;TEXT(Tabla2[[#This Row],[FECHA]],"dd/mm/yyyy")</f>
        <v>LOZANO MALDONADO, HERNAN-22/09/2025</v>
      </c>
    </row>
    <row r="195" spans="2:18" ht="20.45" hidden="1" customHeight="1" x14ac:dyDescent="0.25">
      <c r="B195" s="5">
        <v>45922</v>
      </c>
      <c r="C195" s="2" t="str">
        <f>IFERROR(_xlfn.XLOOKUP(Tabla2[[#This Row],[PRODUCTO]],Tabla1[PRODUCTO],Tabla1[CODIGO]),"")</f>
        <v>IS-31</v>
      </c>
      <c r="D195" s="31" t="s">
        <v>82</v>
      </c>
      <c r="E195" s="31" t="str">
        <f>IFERROR(VLOOKUP(Tabla2[[#This Row],[CODIGO]],Tabla1[],3,0),"")</f>
        <v>IMPLEMENTOS DE SEGURIDAD</v>
      </c>
      <c r="F195" s="28" t="str">
        <f>IFERROR(VLOOKUP(Tabla2[[#This Row],[CODIGO]],Tabla1[],5,0),"")</f>
        <v>ALMACEN TICAPAMPA</v>
      </c>
      <c r="G195" s="26" t="str">
        <f>IFERROR(VLOOKUP(Tabla2[[#This Row],[CODIGO]],Tabla1[],6,0),"")</f>
        <v>UNI</v>
      </c>
      <c r="H195" s="26">
        <f>IFERROR(VLOOKUP(Tabla2[[#This Row],[CODIGO]],Tabla1[],10,0),"")</f>
        <v>0</v>
      </c>
      <c r="I195" s="7">
        <v>-1</v>
      </c>
      <c r="J195" s="29" t="s">
        <v>321</v>
      </c>
      <c r="K195" s="26" t="str">
        <f>IFERROR(VLOOKUP(Tabla2[[#This Row],[CODIGO]],Tabla1[],11,0),"")</f>
        <v>COMPRA</v>
      </c>
      <c r="L195" s="67" t="s">
        <v>250</v>
      </c>
      <c r="M195" s="67" t="s">
        <v>241</v>
      </c>
      <c r="N195" s="70">
        <v>22</v>
      </c>
      <c r="O195" s="70">
        <f>Tabla2[[#This Row],[CANTIDAD]]*Tabla2[[#This Row],[PREC. UNITARIO]]</f>
        <v>-22</v>
      </c>
      <c r="R195" t="str">
        <f>Tabla2[[#This Row],[QUIEN RECIBE]]&amp;"-"&amp;TEXT(Tabla2[[#This Row],[FECHA]],"dd/mm/yyyy")</f>
        <v>PIÑA CHUJANDAMA, KEVIN-22/09/2025</v>
      </c>
    </row>
    <row r="196" spans="2:18" ht="20.45" hidden="1" customHeight="1" x14ac:dyDescent="0.25">
      <c r="B196" s="5">
        <v>45922</v>
      </c>
      <c r="C196" s="2" t="str">
        <f>IFERROR(_xlfn.XLOOKUP(Tabla2[[#This Row],[PRODUCTO]],Tabla1[PRODUCTO],Tabla1[CODIGO]),"")</f>
        <v>IS-14</v>
      </c>
      <c r="D196" s="31" t="s">
        <v>271</v>
      </c>
      <c r="E196" s="31" t="str">
        <f>IFERROR(VLOOKUP(Tabla2[[#This Row],[CODIGO]],Tabla1[],3,0),"")</f>
        <v>IMPLEMENTOS DE SEGURIDAD</v>
      </c>
      <c r="F196" s="28" t="str">
        <f>IFERROR(VLOOKUP(Tabla2[[#This Row],[CODIGO]],Tabla1[],5,0),"")</f>
        <v>ALMACEN TICAPAMPA</v>
      </c>
      <c r="G196" s="26" t="str">
        <f>IFERROR(VLOOKUP(Tabla2[[#This Row],[CODIGO]],Tabla1[],6,0),"")</f>
        <v>UNI</v>
      </c>
      <c r="H196" s="26">
        <f>IFERROR(VLOOKUP(Tabla2[[#This Row],[CODIGO]],Tabla1[],10,0),"")</f>
        <v>1</v>
      </c>
      <c r="I196" s="7">
        <v>-1</v>
      </c>
      <c r="J196" s="29" t="s">
        <v>321</v>
      </c>
      <c r="K196" s="26" t="str">
        <f>IFERROR(VLOOKUP(Tabla2[[#This Row],[CODIGO]],Tabla1[],11,0),"")</f>
        <v>COMPRA</v>
      </c>
      <c r="L196" s="67" t="s">
        <v>250</v>
      </c>
      <c r="M196" s="67" t="s">
        <v>241</v>
      </c>
      <c r="N196" s="70">
        <v>4</v>
      </c>
      <c r="O196" s="70">
        <f>Tabla2[[#This Row],[CANTIDAD]]*Tabla2[[#This Row],[PREC. UNITARIO]]</f>
        <v>-4</v>
      </c>
      <c r="R196" t="str">
        <f>Tabla2[[#This Row],[QUIEN RECIBE]]&amp;"-"&amp;TEXT(Tabla2[[#This Row],[FECHA]],"dd/mm/yyyy")</f>
        <v>PIÑA CHUJANDAMA, KEVIN-22/09/2025</v>
      </c>
    </row>
    <row r="197" spans="2:18" ht="20.45" hidden="1" customHeight="1" x14ac:dyDescent="0.25">
      <c r="B197" s="5">
        <v>45922</v>
      </c>
      <c r="C197" s="2" t="str">
        <f>IFERROR(_xlfn.XLOOKUP(Tabla2[[#This Row],[PRODUCTO]],Tabla1[PRODUCTO],Tabla1[CODIGO]),"")</f>
        <v>IS-31</v>
      </c>
      <c r="D197" s="31" t="s">
        <v>82</v>
      </c>
      <c r="E197" s="31" t="str">
        <f>IFERROR(VLOOKUP(Tabla2[[#This Row],[CODIGO]],Tabla1[],3,0),"")</f>
        <v>IMPLEMENTOS DE SEGURIDAD</v>
      </c>
      <c r="F197" s="28" t="str">
        <f>IFERROR(VLOOKUP(Tabla2[[#This Row],[CODIGO]],Tabla1[],5,0),"")</f>
        <v>ALMACEN TICAPAMPA</v>
      </c>
      <c r="G197" s="26" t="str">
        <f>IFERROR(VLOOKUP(Tabla2[[#This Row],[CODIGO]],Tabla1[],6,0),"")</f>
        <v>UNI</v>
      </c>
      <c r="H197" s="26">
        <f>IFERROR(VLOOKUP(Tabla2[[#This Row],[CODIGO]],Tabla1[],10,0),"")</f>
        <v>0</v>
      </c>
      <c r="I197" s="7">
        <v>-1</v>
      </c>
      <c r="J197" s="29" t="s">
        <v>321</v>
      </c>
      <c r="K197" s="26" t="str">
        <f>IFERROR(VLOOKUP(Tabla2[[#This Row],[CODIGO]],Tabla1[],11,0),"")</f>
        <v>COMPRA</v>
      </c>
      <c r="L197" s="67" t="s">
        <v>250</v>
      </c>
      <c r="M197" s="67" t="s">
        <v>242</v>
      </c>
      <c r="N197" s="70">
        <v>22</v>
      </c>
      <c r="O197" s="70">
        <f>Tabla2[[#This Row],[CANTIDAD]]*Tabla2[[#This Row],[PREC. UNITARIO]]</f>
        <v>-22</v>
      </c>
      <c r="R197" t="str">
        <f>Tabla2[[#This Row],[QUIEN RECIBE]]&amp;"-"&amp;TEXT(Tabla2[[#This Row],[FECHA]],"dd/mm/yyyy")</f>
        <v>MAYTAHUARI ACOSTA, SAMMER AXEL-22/09/2025</v>
      </c>
    </row>
    <row r="198" spans="2:18" ht="20.45" hidden="1" customHeight="1" x14ac:dyDescent="0.25">
      <c r="B198" s="5">
        <v>45922</v>
      </c>
      <c r="C198" s="2" t="str">
        <f>IFERROR(_xlfn.XLOOKUP(Tabla2[[#This Row],[PRODUCTO]],Tabla1[PRODUCTO],Tabla1[CODIGO]),"")</f>
        <v>IS-14</v>
      </c>
      <c r="D198" s="31" t="s">
        <v>271</v>
      </c>
      <c r="E198" s="31" t="str">
        <f>IFERROR(VLOOKUP(Tabla2[[#This Row],[CODIGO]],Tabla1[],3,0),"")</f>
        <v>IMPLEMENTOS DE SEGURIDAD</v>
      </c>
      <c r="F198" s="28" t="str">
        <f>IFERROR(VLOOKUP(Tabla2[[#This Row],[CODIGO]],Tabla1[],5,0),"")</f>
        <v>ALMACEN TICAPAMPA</v>
      </c>
      <c r="G198" s="26" t="str">
        <f>IFERROR(VLOOKUP(Tabla2[[#This Row],[CODIGO]],Tabla1[],6,0),"")</f>
        <v>UNI</v>
      </c>
      <c r="H198" s="26">
        <f>IFERROR(VLOOKUP(Tabla2[[#This Row],[CODIGO]],Tabla1[],10,0),"")</f>
        <v>1</v>
      </c>
      <c r="I198" s="7">
        <v>-1</v>
      </c>
      <c r="J198" s="29" t="s">
        <v>321</v>
      </c>
      <c r="K198" s="26" t="str">
        <f>IFERROR(VLOOKUP(Tabla2[[#This Row],[CODIGO]],Tabla1[],11,0),"")</f>
        <v>COMPRA</v>
      </c>
      <c r="L198" s="67" t="s">
        <v>250</v>
      </c>
      <c r="M198" s="67" t="s">
        <v>242</v>
      </c>
      <c r="N198" s="70">
        <v>4</v>
      </c>
      <c r="O198" s="70">
        <f>Tabla2[[#This Row],[CANTIDAD]]*Tabla2[[#This Row],[PREC. UNITARIO]]</f>
        <v>-4</v>
      </c>
      <c r="R198" t="str">
        <f>Tabla2[[#This Row],[QUIEN RECIBE]]&amp;"-"&amp;TEXT(Tabla2[[#This Row],[FECHA]],"dd/mm/yyyy")</f>
        <v>MAYTAHUARI ACOSTA, SAMMER AXEL-22/09/2025</v>
      </c>
    </row>
    <row r="199" spans="2:18" ht="20.45" hidden="1" customHeight="1" x14ac:dyDescent="0.25">
      <c r="B199" s="5">
        <v>45922</v>
      </c>
      <c r="C199" s="2" t="str">
        <f>IFERROR(_xlfn.XLOOKUP(Tabla2[[#This Row],[PRODUCTO]],Tabla1[PRODUCTO],Tabla1[CODIGO]),"")</f>
        <v>IS-31</v>
      </c>
      <c r="D199" s="31" t="s">
        <v>82</v>
      </c>
      <c r="E199" s="31" t="str">
        <f>IFERROR(VLOOKUP(Tabla2[[#This Row],[CODIGO]],Tabla1[],3,0),"")</f>
        <v>IMPLEMENTOS DE SEGURIDAD</v>
      </c>
      <c r="F199" s="28" t="str">
        <f>IFERROR(VLOOKUP(Tabla2[[#This Row],[CODIGO]],Tabla1[],5,0),"")</f>
        <v>ALMACEN TICAPAMPA</v>
      </c>
      <c r="G199" s="26" t="str">
        <f>IFERROR(VLOOKUP(Tabla2[[#This Row],[CODIGO]],Tabla1[],6,0),"")</f>
        <v>UNI</v>
      </c>
      <c r="H199" s="26">
        <f>IFERROR(VLOOKUP(Tabla2[[#This Row],[CODIGO]],Tabla1[],10,0),"")</f>
        <v>0</v>
      </c>
      <c r="I199" s="7">
        <v>-1</v>
      </c>
      <c r="J199" s="29" t="s">
        <v>321</v>
      </c>
      <c r="K199" s="26" t="str">
        <f>IFERROR(VLOOKUP(Tabla2[[#This Row],[CODIGO]],Tabla1[],11,0),"")</f>
        <v>COMPRA</v>
      </c>
      <c r="L199" s="67" t="s">
        <v>472</v>
      </c>
      <c r="M199" s="67" t="s">
        <v>239</v>
      </c>
      <c r="N199" s="70">
        <v>22</v>
      </c>
      <c r="O199" s="70">
        <f>Tabla2[[#This Row],[CANTIDAD]]*Tabla2[[#This Row],[PREC. UNITARIO]]</f>
        <v>-22</v>
      </c>
      <c r="R199" t="str">
        <f>Tabla2[[#This Row],[QUIEN RECIBE]]&amp;"-"&amp;TEXT(Tabla2[[#This Row],[FECHA]],"dd/mm/yyyy")</f>
        <v>JEREMIAS PALOMINO, NORBERTO LEONCIO-22/09/2025</v>
      </c>
    </row>
    <row r="200" spans="2:18" ht="20.45" hidden="1" customHeight="1" x14ac:dyDescent="0.25">
      <c r="B200" s="5">
        <v>45922</v>
      </c>
      <c r="C200" s="2" t="str">
        <f>IFERROR(_xlfn.XLOOKUP(Tabla2[[#This Row],[PRODUCTO]],Tabla1[PRODUCTO],Tabla1[CODIGO]),"")</f>
        <v>IS-14</v>
      </c>
      <c r="D200" s="31" t="s">
        <v>271</v>
      </c>
      <c r="E200" s="31" t="str">
        <f>IFERROR(VLOOKUP(Tabla2[[#This Row],[CODIGO]],Tabla1[],3,0),"")</f>
        <v>IMPLEMENTOS DE SEGURIDAD</v>
      </c>
      <c r="F200" s="28" t="str">
        <f>IFERROR(VLOOKUP(Tabla2[[#This Row],[CODIGO]],Tabla1[],5,0),"")</f>
        <v>ALMACEN TICAPAMPA</v>
      </c>
      <c r="G200" s="26" t="str">
        <f>IFERROR(VLOOKUP(Tabla2[[#This Row],[CODIGO]],Tabla1[],6,0),"")</f>
        <v>UNI</v>
      </c>
      <c r="H200" s="26">
        <f>IFERROR(VLOOKUP(Tabla2[[#This Row],[CODIGO]],Tabla1[],10,0),"")</f>
        <v>1</v>
      </c>
      <c r="I200" s="7">
        <v>-1</v>
      </c>
      <c r="J200" s="29" t="s">
        <v>321</v>
      </c>
      <c r="K200" s="26" t="str">
        <f>IFERROR(VLOOKUP(Tabla2[[#This Row],[CODIGO]],Tabla1[],11,0),"")</f>
        <v>COMPRA</v>
      </c>
      <c r="L200" s="67" t="s">
        <v>250</v>
      </c>
      <c r="M200" s="67" t="s">
        <v>239</v>
      </c>
      <c r="N200" s="70">
        <v>4</v>
      </c>
      <c r="O200" s="70">
        <f>Tabla2[[#This Row],[CANTIDAD]]*Tabla2[[#This Row],[PREC. UNITARIO]]</f>
        <v>-4</v>
      </c>
      <c r="R200" t="str">
        <f>Tabla2[[#This Row],[QUIEN RECIBE]]&amp;"-"&amp;TEXT(Tabla2[[#This Row],[FECHA]],"dd/mm/yyyy")</f>
        <v>JEREMIAS PALOMINO, NORBERTO LEONCIO-22/09/2025</v>
      </c>
    </row>
    <row r="201" spans="2:18" ht="20.45" hidden="1" customHeight="1" x14ac:dyDescent="0.25">
      <c r="B201" s="5">
        <v>45922</v>
      </c>
      <c r="C201" s="2" t="str">
        <f>IFERROR(_xlfn.XLOOKUP(Tabla2[[#This Row],[PRODUCTO]],Tabla1[PRODUCTO],Tabla1[CODIGO]),"")</f>
        <v>IS-1</v>
      </c>
      <c r="D201" s="31" t="s">
        <v>50</v>
      </c>
      <c r="E201" s="31" t="str">
        <f>IFERROR(VLOOKUP(Tabla2[[#This Row],[CODIGO]],Tabla1[],3,0),"")</f>
        <v>IMPLEMENTOS DE SEGURIDAD</v>
      </c>
      <c r="F201" s="28" t="str">
        <f>IFERROR(VLOOKUP(Tabla2[[#This Row],[CODIGO]],Tabla1[],5,0),"")</f>
        <v>ALMACEN TICAPAMPA</v>
      </c>
      <c r="G201" s="26" t="str">
        <f>IFERROR(VLOOKUP(Tabla2[[#This Row],[CODIGO]],Tabla1[],6,0),"")</f>
        <v>UNI</v>
      </c>
      <c r="H201" s="26">
        <f>IFERROR(VLOOKUP(Tabla2[[#This Row],[CODIGO]],Tabla1[],10,0),"")</f>
        <v>4</v>
      </c>
      <c r="I201" s="7">
        <v>-1</v>
      </c>
      <c r="J201" s="29" t="s">
        <v>321</v>
      </c>
      <c r="K201" s="26" t="str">
        <f>IFERROR(VLOOKUP(Tabla2[[#This Row],[CODIGO]],Tabla1[],11,0),"")</f>
        <v>COMPRA</v>
      </c>
      <c r="L201" s="67" t="s">
        <v>250</v>
      </c>
      <c r="M201" s="67" t="s">
        <v>262</v>
      </c>
      <c r="N201" s="70">
        <v>45</v>
      </c>
      <c r="O201" s="70">
        <f>Tabla2[[#This Row],[CANTIDAD]]*Tabla2[[#This Row],[PREC. UNITARIO]]</f>
        <v>-45</v>
      </c>
      <c r="R201" t="str">
        <f>Tabla2[[#This Row],[QUIEN RECIBE]]&amp;"-"&amp;TEXT(Tabla2[[#This Row],[FECHA]],"dd/mm/yyyy")</f>
        <v>CHACON ORTIZ, JOSE ANTONIO-22/09/2025</v>
      </c>
    </row>
    <row r="202" spans="2:18" ht="20.45" hidden="1" customHeight="1" x14ac:dyDescent="0.25">
      <c r="B202" s="5">
        <v>45922</v>
      </c>
      <c r="C202" s="2" t="str">
        <f>IFERROR(_xlfn.XLOOKUP(Tabla2[[#This Row],[PRODUCTO]],Tabla1[PRODUCTO],Tabla1[CODIGO]),"")</f>
        <v>IS-36</v>
      </c>
      <c r="D202" s="31" t="s">
        <v>300</v>
      </c>
      <c r="E202" s="31" t="str">
        <f>IFERROR(VLOOKUP(Tabla2[[#This Row],[CODIGO]],Tabla1[],3,0),"")</f>
        <v>IMPLEMENTOS DE SEGURIDAD</v>
      </c>
      <c r="F202" s="28" t="str">
        <f>IFERROR(VLOOKUP(Tabla2[[#This Row],[CODIGO]],Tabla1[],5,0),"")</f>
        <v>ALMACEN TICAPAMPA</v>
      </c>
      <c r="G202" s="26" t="str">
        <f>IFERROR(VLOOKUP(Tabla2[[#This Row],[CODIGO]],Tabla1[],6,0),"")</f>
        <v>UNI</v>
      </c>
      <c r="H202" s="26">
        <f>IFERROR(VLOOKUP(Tabla2[[#This Row],[CODIGO]],Tabla1[],10,0),"")</f>
        <v>4</v>
      </c>
      <c r="I202" s="7">
        <v>-1</v>
      </c>
      <c r="J202" s="29" t="s">
        <v>321</v>
      </c>
      <c r="K202" s="26" t="str">
        <f>IFERROR(VLOOKUP(Tabla2[[#This Row],[CODIGO]],Tabla1[],11,0),"")</f>
        <v>COMPRA</v>
      </c>
      <c r="L202" s="67" t="s">
        <v>250</v>
      </c>
      <c r="M202" s="67" t="s">
        <v>262</v>
      </c>
      <c r="N202" s="70"/>
      <c r="O202" s="70">
        <f>Tabla2[[#This Row],[CANTIDAD]]*Tabla2[[#This Row],[PREC. UNITARIO]]</f>
        <v>0</v>
      </c>
      <c r="R202" t="str">
        <f>Tabla2[[#This Row],[QUIEN RECIBE]]&amp;"-"&amp;TEXT(Tabla2[[#This Row],[FECHA]],"dd/mm/yyyy")</f>
        <v>CHACON ORTIZ, JOSE ANTONIO-22/09/2025</v>
      </c>
    </row>
    <row r="203" spans="2:18" ht="20.45" hidden="1" customHeight="1" x14ac:dyDescent="0.25">
      <c r="B203" s="5">
        <v>45922</v>
      </c>
      <c r="C203" s="2" t="str">
        <f>IFERROR(_xlfn.XLOOKUP(Tabla2[[#This Row],[PRODUCTO]],Tabla1[PRODUCTO],Tabla1[CODIGO]),"")</f>
        <v>IS-16</v>
      </c>
      <c r="D203" s="31" t="s">
        <v>65</v>
      </c>
      <c r="E203" s="31" t="str">
        <f>IFERROR(VLOOKUP(Tabla2[[#This Row],[CODIGO]],Tabla1[],3,0),"")</f>
        <v>IMPLEMENTOS DE SEGURIDAD</v>
      </c>
      <c r="F203" s="28" t="str">
        <f>IFERROR(VLOOKUP(Tabla2[[#This Row],[CODIGO]],Tabla1[],5,0),"")</f>
        <v>ALMACEN TICAPAMPA</v>
      </c>
      <c r="G203" s="26" t="str">
        <f>IFERROR(VLOOKUP(Tabla2[[#This Row],[CODIGO]],Tabla1[],6,0),"")</f>
        <v>PAR</v>
      </c>
      <c r="H203" s="26">
        <f>IFERROR(VLOOKUP(Tabla2[[#This Row],[CODIGO]],Tabla1[],10,0),"")</f>
        <v>1</v>
      </c>
      <c r="I203" s="7">
        <v>-1</v>
      </c>
      <c r="J203" s="29" t="s">
        <v>321</v>
      </c>
      <c r="K203" s="26" t="str">
        <f>IFERROR(VLOOKUP(Tabla2[[#This Row],[CODIGO]],Tabla1[],11,0),"")</f>
        <v>COMPRA</v>
      </c>
      <c r="L203" s="67" t="s">
        <v>250</v>
      </c>
      <c r="M203" s="67" t="s">
        <v>262</v>
      </c>
      <c r="N203" s="70">
        <v>63</v>
      </c>
      <c r="O203" s="70">
        <f>Tabla2[[#This Row],[CANTIDAD]]*Tabla2[[#This Row],[PREC. UNITARIO]]</f>
        <v>-63</v>
      </c>
      <c r="R203" t="str">
        <f>Tabla2[[#This Row],[QUIEN RECIBE]]&amp;"-"&amp;TEXT(Tabla2[[#This Row],[FECHA]],"dd/mm/yyyy")</f>
        <v>CHACON ORTIZ, JOSE ANTONIO-22/09/2025</v>
      </c>
    </row>
    <row r="204" spans="2:18" ht="20.45" hidden="1" customHeight="1" x14ac:dyDescent="0.25">
      <c r="B204" s="5">
        <v>45922</v>
      </c>
      <c r="C204" s="2" t="str">
        <f>IFERROR(_xlfn.XLOOKUP(Tabla2[[#This Row],[PRODUCTO]],Tabla1[PRODUCTO],Tabla1[CODIGO]),"")</f>
        <v>IS-20</v>
      </c>
      <c r="D204" s="31" t="s">
        <v>69</v>
      </c>
      <c r="E204" s="31" t="str">
        <f>IFERROR(VLOOKUP(Tabla2[[#This Row],[CODIGO]],Tabla1[],3,0),"")</f>
        <v>IMPLEMENTOS DE SEGURIDAD</v>
      </c>
      <c r="F204" s="28" t="str">
        <f>IFERROR(VLOOKUP(Tabla2[[#This Row],[CODIGO]],Tabla1[],5,0),"")</f>
        <v>ALMACEN TICAPAMPA</v>
      </c>
      <c r="G204" s="26" t="str">
        <f>IFERROR(VLOOKUP(Tabla2[[#This Row],[CODIGO]],Tabla1[],6,0),"")</f>
        <v>UNI</v>
      </c>
      <c r="H204" s="26">
        <f>IFERROR(VLOOKUP(Tabla2[[#This Row],[CODIGO]],Tabla1[],10,0),"")</f>
        <v>5</v>
      </c>
      <c r="I204" s="7">
        <v>-1</v>
      </c>
      <c r="J204" s="29" t="s">
        <v>321</v>
      </c>
      <c r="K204" s="26" t="str">
        <f>IFERROR(VLOOKUP(Tabla2[[#This Row],[CODIGO]],Tabla1[],11,0),"")</f>
        <v>COMPRA</v>
      </c>
      <c r="L204" s="67" t="s">
        <v>472</v>
      </c>
      <c r="M204" s="67" t="s">
        <v>262</v>
      </c>
      <c r="N204" s="70">
        <v>6.5</v>
      </c>
      <c r="O204" s="70">
        <f>Tabla2[[#This Row],[CANTIDAD]]*Tabla2[[#This Row],[PREC. UNITARIO]]</f>
        <v>-6.5</v>
      </c>
      <c r="R204" t="str">
        <f>Tabla2[[#This Row],[QUIEN RECIBE]]&amp;"-"&amp;TEXT(Tabla2[[#This Row],[FECHA]],"dd/mm/yyyy")</f>
        <v>CHACON ORTIZ, JOSE ANTONIO-22/09/2025</v>
      </c>
    </row>
    <row r="205" spans="2:18" ht="20.45" hidden="1" customHeight="1" x14ac:dyDescent="0.25">
      <c r="B205" s="5">
        <v>45922</v>
      </c>
      <c r="C205" s="2" t="str">
        <f>IFERROR(_xlfn.XLOOKUP(Tabla2[[#This Row],[PRODUCTO]],Tabla1[PRODUCTO],Tabla1[CODIGO]),"")</f>
        <v>IS-14</v>
      </c>
      <c r="D205" s="31" t="s">
        <v>271</v>
      </c>
      <c r="E205" s="31" t="str">
        <f>IFERROR(VLOOKUP(Tabla2[[#This Row],[CODIGO]],Tabla1[],3,0),"")</f>
        <v>IMPLEMENTOS DE SEGURIDAD</v>
      </c>
      <c r="F205" s="28" t="str">
        <f>IFERROR(VLOOKUP(Tabla2[[#This Row],[CODIGO]],Tabla1[],5,0),"")</f>
        <v>ALMACEN TICAPAMPA</v>
      </c>
      <c r="G205" s="26" t="str">
        <f>IFERROR(VLOOKUP(Tabla2[[#This Row],[CODIGO]],Tabla1[],6,0),"")</f>
        <v>UNI</v>
      </c>
      <c r="H205" s="26">
        <f>IFERROR(VLOOKUP(Tabla2[[#This Row],[CODIGO]],Tabla1[],10,0),"")</f>
        <v>1</v>
      </c>
      <c r="I205" s="7">
        <v>-1</v>
      </c>
      <c r="J205" s="29" t="s">
        <v>321</v>
      </c>
      <c r="K205" s="26" t="str">
        <f>IFERROR(VLOOKUP(Tabla2[[#This Row],[CODIGO]],Tabla1[],11,0),"")</f>
        <v>COMPRA</v>
      </c>
      <c r="L205" s="67" t="s">
        <v>250</v>
      </c>
      <c r="M205" s="67" t="s">
        <v>262</v>
      </c>
      <c r="N205" s="70">
        <v>4</v>
      </c>
      <c r="O205" s="70">
        <f>Tabla2[[#This Row],[CANTIDAD]]*Tabla2[[#This Row],[PREC. UNITARIO]]</f>
        <v>-4</v>
      </c>
      <c r="R205" t="str">
        <f>Tabla2[[#This Row],[QUIEN RECIBE]]&amp;"-"&amp;TEXT(Tabla2[[#This Row],[FECHA]],"dd/mm/yyyy")</f>
        <v>CHACON ORTIZ, JOSE ANTONIO-22/09/2025</v>
      </c>
    </row>
    <row r="206" spans="2:18" ht="20.45" hidden="1" customHeight="1" x14ac:dyDescent="0.25">
      <c r="B206" s="5">
        <v>45922</v>
      </c>
      <c r="C206" s="2" t="str">
        <f>IFERROR(_xlfn.XLOOKUP(Tabla2[[#This Row],[PRODUCTO]],Tabla1[PRODUCTO],Tabla1[CODIGO]),"")</f>
        <v>IS-33</v>
      </c>
      <c r="D206" s="31" t="s">
        <v>84</v>
      </c>
      <c r="E206" s="31" t="str">
        <f>IFERROR(VLOOKUP(Tabla2[[#This Row],[CODIGO]],Tabla1[],3,0),"")</f>
        <v>IMPLEMENTOS DE SEGURIDAD</v>
      </c>
      <c r="F206" s="28" t="str">
        <f>IFERROR(VLOOKUP(Tabla2[[#This Row],[CODIGO]],Tabla1[],5,0),"")</f>
        <v>ALMACEN TICAPAMPA</v>
      </c>
      <c r="G206" s="26" t="str">
        <f>IFERROR(VLOOKUP(Tabla2[[#This Row],[CODIGO]],Tabla1[],6,0),"")</f>
        <v>UNI</v>
      </c>
      <c r="H206" s="26">
        <f>IFERROR(VLOOKUP(Tabla2[[#This Row],[CODIGO]],Tabla1[],10,0),"")</f>
        <v>1</v>
      </c>
      <c r="I206" s="7">
        <v>-1</v>
      </c>
      <c r="J206" s="29" t="s">
        <v>321</v>
      </c>
      <c r="K206" s="26" t="str">
        <f>IFERROR(VLOOKUP(Tabla2[[#This Row],[CODIGO]],Tabla1[],11,0),"")</f>
        <v>COMPRA</v>
      </c>
      <c r="L206" s="67" t="s">
        <v>472</v>
      </c>
      <c r="M206" s="67" t="s">
        <v>262</v>
      </c>
      <c r="N206" s="70">
        <v>22</v>
      </c>
      <c r="O206" s="70">
        <f>Tabla2[[#This Row],[CANTIDAD]]*Tabla2[[#This Row],[PREC. UNITARIO]]</f>
        <v>-22</v>
      </c>
      <c r="R206" t="str">
        <f>Tabla2[[#This Row],[QUIEN RECIBE]]&amp;"-"&amp;TEXT(Tabla2[[#This Row],[FECHA]],"dd/mm/yyyy")</f>
        <v>CHACON ORTIZ, JOSE ANTONIO-22/09/2025</v>
      </c>
    </row>
    <row r="207" spans="2:18" ht="20.45" hidden="1" customHeight="1" x14ac:dyDescent="0.25">
      <c r="B207" s="5">
        <v>45922</v>
      </c>
      <c r="C207" s="2" t="str">
        <f>IFERROR(_xlfn.XLOOKUP(Tabla2[[#This Row],[PRODUCTO]],Tabla1[PRODUCTO],Tabla1[CODIGO]),"")</f>
        <v>IS-30</v>
      </c>
      <c r="D207" s="31" t="s">
        <v>81</v>
      </c>
      <c r="E207" s="31" t="str">
        <f>IFERROR(VLOOKUP(Tabla2[[#This Row],[CODIGO]],Tabla1[],3,0),"")</f>
        <v>IMPLEMENTOS DE SEGURIDAD</v>
      </c>
      <c r="F207" s="28" t="str">
        <f>IFERROR(VLOOKUP(Tabla2[[#This Row],[CODIGO]],Tabla1[],5,0),"")</f>
        <v>ALMACEN TICAPAMPA</v>
      </c>
      <c r="G207" s="26" t="str">
        <f>IFERROR(VLOOKUP(Tabla2[[#This Row],[CODIGO]],Tabla1[],6,0),"")</f>
        <v>UNI</v>
      </c>
      <c r="H207" s="26">
        <f>IFERROR(VLOOKUP(Tabla2[[#This Row],[CODIGO]],Tabla1[],10,0),"")</f>
        <v>99</v>
      </c>
      <c r="I207" s="7">
        <v>-1</v>
      </c>
      <c r="J207" s="29" t="s">
        <v>321</v>
      </c>
      <c r="K207" s="26" t="str">
        <f>IFERROR(VLOOKUP(Tabla2[[#This Row],[CODIGO]],Tabla1[],11,0),"")</f>
        <v>COMPRA</v>
      </c>
      <c r="L207" s="67" t="s">
        <v>250</v>
      </c>
      <c r="M207" s="67" t="s">
        <v>262</v>
      </c>
      <c r="N207" s="70">
        <v>8</v>
      </c>
      <c r="O207" s="70">
        <f>Tabla2[[#This Row],[CANTIDAD]]*Tabla2[[#This Row],[PREC. UNITARIO]]</f>
        <v>-8</v>
      </c>
      <c r="R207" t="str">
        <f>Tabla2[[#This Row],[QUIEN RECIBE]]&amp;"-"&amp;TEXT(Tabla2[[#This Row],[FECHA]],"dd/mm/yyyy")</f>
        <v>CHACON ORTIZ, JOSE ANTONIO-22/09/2025</v>
      </c>
    </row>
    <row r="208" spans="2:18" ht="20.45" hidden="1" customHeight="1" x14ac:dyDescent="0.25">
      <c r="B208" s="5">
        <v>45922</v>
      </c>
      <c r="C208" s="2" t="str">
        <f>IFERROR(_xlfn.XLOOKUP(Tabla2[[#This Row],[PRODUCTO]],Tabla1[PRODUCTO],Tabla1[CODIGO]),"")</f>
        <v>IS-28</v>
      </c>
      <c r="D208" s="31" t="s">
        <v>79</v>
      </c>
      <c r="E208" s="31" t="str">
        <f>IFERROR(VLOOKUP(Tabla2[[#This Row],[CODIGO]],Tabla1[],3,0),"")</f>
        <v>IMPLEMENTOS DE SEGURIDAD</v>
      </c>
      <c r="F208" s="28" t="str">
        <f>IFERROR(VLOOKUP(Tabla2[[#This Row],[CODIGO]],Tabla1[],5,0),"")</f>
        <v>ALMACEN TICAPAMPA</v>
      </c>
      <c r="G208" s="26" t="str">
        <f>IFERROR(VLOOKUP(Tabla2[[#This Row],[CODIGO]],Tabla1[],6,0),"")</f>
        <v>UNI</v>
      </c>
      <c r="H208" s="26">
        <f>IFERROR(VLOOKUP(Tabla2[[#This Row],[CODIGO]],Tabla1[],10,0),"")</f>
        <v>32</v>
      </c>
      <c r="I208" s="7">
        <v>-1</v>
      </c>
      <c r="J208" s="29" t="s">
        <v>321</v>
      </c>
      <c r="K208" s="26" t="str">
        <f>IFERROR(VLOOKUP(Tabla2[[#This Row],[CODIGO]],Tabla1[],11,0),"")</f>
        <v>COMPRA</v>
      </c>
      <c r="L208" s="67" t="s">
        <v>250</v>
      </c>
      <c r="M208" s="67" t="s">
        <v>262</v>
      </c>
      <c r="N208" s="70">
        <v>4</v>
      </c>
      <c r="O208" s="70">
        <f>Tabla2[[#This Row],[CANTIDAD]]*Tabla2[[#This Row],[PREC. UNITARIO]]</f>
        <v>-4</v>
      </c>
      <c r="R208" t="str">
        <f>Tabla2[[#This Row],[QUIEN RECIBE]]&amp;"-"&amp;TEXT(Tabla2[[#This Row],[FECHA]],"dd/mm/yyyy")</f>
        <v>CHACON ORTIZ, JOSE ANTONIO-22/09/2025</v>
      </c>
    </row>
    <row r="209" spans="2:18" ht="20.45" hidden="1" customHeight="1" x14ac:dyDescent="0.25">
      <c r="B209" s="5">
        <v>45922</v>
      </c>
      <c r="C209" s="2" t="str">
        <f>IFERROR(_xlfn.XLOOKUP(Tabla2[[#This Row],[PRODUCTO]],Tabla1[PRODUCTO],Tabla1[CODIGO]),"")</f>
        <v>IS-1</v>
      </c>
      <c r="D209" s="31" t="s">
        <v>50</v>
      </c>
      <c r="E209" s="31" t="str">
        <f>IFERROR(VLOOKUP(Tabla2[[#This Row],[CODIGO]],Tabla1[],3,0),"")</f>
        <v>IMPLEMENTOS DE SEGURIDAD</v>
      </c>
      <c r="F209" s="28" t="str">
        <f>IFERROR(VLOOKUP(Tabla2[[#This Row],[CODIGO]],Tabla1[],5,0),"")</f>
        <v>ALMACEN TICAPAMPA</v>
      </c>
      <c r="G209" s="26" t="str">
        <f>IFERROR(VLOOKUP(Tabla2[[#This Row],[CODIGO]],Tabla1[],6,0),"")</f>
        <v>UNI</v>
      </c>
      <c r="H209" s="26">
        <f>IFERROR(VLOOKUP(Tabla2[[#This Row],[CODIGO]],Tabla1[],10,0),"")</f>
        <v>4</v>
      </c>
      <c r="I209" s="7">
        <v>-2</v>
      </c>
      <c r="J209" s="29" t="s">
        <v>321</v>
      </c>
      <c r="K209" s="26" t="str">
        <f>IFERROR(VLOOKUP(Tabla2[[#This Row],[CODIGO]],Tabla1[],11,0),"")</f>
        <v>COMPRA</v>
      </c>
      <c r="L209" s="67" t="s">
        <v>250</v>
      </c>
      <c r="M209" s="67" t="s">
        <v>258</v>
      </c>
      <c r="N209" s="70">
        <v>45</v>
      </c>
      <c r="O209" s="70">
        <f>Tabla2[[#This Row],[CANTIDAD]]*Tabla2[[#This Row],[PREC. UNITARIO]]</f>
        <v>-90</v>
      </c>
      <c r="R209" t="str">
        <f>Tabla2[[#This Row],[QUIEN RECIBE]]&amp;"-"&amp;TEXT(Tabla2[[#This Row],[FECHA]],"dd/mm/yyyy")</f>
        <v>ADUVIRE ARGUATA, MARIO ARTURO-22/09/2025</v>
      </c>
    </row>
    <row r="210" spans="2:18" ht="20.45" hidden="1" customHeight="1" x14ac:dyDescent="0.25">
      <c r="B210" s="5">
        <v>45922</v>
      </c>
      <c r="C210" s="2" t="str">
        <f>IFERROR(_xlfn.XLOOKUP(Tabla2[[#This Row],[PRODUCTO]],Tabla1[PRODUCTO],Tabla1[CODIGO]),"")</f>
        <v>IS-36</v>
      </c>
      <c r="D210" s="31" t="s">
        <v>300</v>
      </c>
      <c r="E210" s="31" t="str">
        <f>IFERROR(VLOOKUP(Tabla2[[#This Row],[CODIGO]],Tabla1[],3,0),"")</f>
        <v>IMPLEMENTOS DE SEGURIDAD</v>
      </c>
      <c r="F210" s="28" t="str">
        <f>IFERROR(VLOOKUP(Tabla2[[#This Row],[CODIGO]],Tabla1[],5,0),"")</f>
        <v>ALMACEN TICAPAMPA</v>
      </c>
      <c r="G210" s="26" t="str">
        <f>IFERROR(VLOOKUP(Tabla2[[#This Row],[CODIGO]],Tabla1[],6,0),"")</f>
        <v>UNI</v>
      </c>
      <c r="H210" s="26">
        <f>IFERROR(VLOOKUP(Tabla2[[#This Row],[CODIGO]],Tabla1[],10,0),"")</f>
        <v>4</v>
      </c>
      <c r="I210" s="7">
        <v>-2</v>
      </c>
      <c r="J210" s="29" t="s">
        <v>321</v>
      </c>
      <c r="K210" s="26" t="str">
        <f>IFERROR(VLOOKUP(Tabla2[[#This Row],[CODIGO]],Tabla1[],11,0),"")</f>
        <v>COMPRA</v>
      </c>
      <c r="L210" s="67" t="s">
        <v>250</v>
      </c>
      <c r="M210" s="67" t="s">
        <v>258</v>
      </c>
      <c r="N210" s="70"/>
      <c r="O210" s="70">
        <f>Tabla2[[#This Row],[CANTIDAD]]*Tabla2[[#This Row],[PREC. UNITARIO]]</f>
        <v>0</v>
      </c>
      <c r="R210" t="str">
        <f>Tabla2[[#This Row],[QUIEN RECIBE]]&amp;"-"&amp;TEXT(Tabla2[[#This Row],[FECHA]],"dd/mm/yyyy")</f>
        <v>ADUVIRE ARGUATA, MARIO ARTURO-22/09/2025</v>
      </c>
    </row>
    <row r="211" spans="2:18" ht="20.45" hidden="1" customHeight="1" x14ac:dyDescent="0.25">
      <c r="B211" s="5">
        <v>45922</v>
      </c>
      <c r="C211" s="2" t="str">
        <f>IFERROR(_xlfn.XLOOKUP(Tabla2[[#This Row],[PRODUCTO]],Tabla1[PRODUCTO],Tabla1[CODIGO]),"")</f>
        <v>IS-31</v>
      </c>
      <c r="D211" s="31" t="s">
        <v>82</v>
      </c>
      <c r="E211" s="31" t="str">
        <f>IFERROR(VLOOKUP(Tabla2[[#This Row],[CODIGO]],Tabla1[],3,0),"")</f>
        <v>IMPLEMENTOS DE SEGURIDAD</v>
      </c>
      <c r="F211" s="28" t="str">
        <f>IFERROR(VLOOKUP(Tabla2[[#This Row],[CODIGO]],Tabla1[],5,0),"")</f>
        <v>ALMACEN TICAPAMPA</v>
      </c>
      <c r="G211" s="26" t="str">
        <f>IFERROR(VLOOKUP(Tabla2[[#This Row],[CODIGO]],Tabla1[],6,0),"")</f>
        <v>UNI</v>
      </c>
      <c r="H211" s="26">
        <f>IFERROR(VLOOKUP(Tabla2[[#This Row],[CODIGO]],Tabla1[],10,0),"")</f>
        <v>0</v>
      </c>
      <c r="I211" s="7">
        <v>-1</v>
      </c>
      <c r="J211" s="29" t="s">
        <v>321</v>
      </c>
      <c r="K211" s="26" t="str">
        <f>IFERROR(VLOOKUP(Tabla2[[#This Row],[CODIGO]],Tabla1[],11,0),"")</f>
        <v>COMPRA</v>
      </c>
      <c r="L211" s="67" t="s">
        <v>472</v>
      </c>
      <c r="M211" s="67" t="s">
        <v>258</v>
      </c>
      <c r="N211" s="70">
        <v>22</v>
      </c>
      <c r="O211" s="70">
        <f>Tabla2[[#This Row],[CANTIDAD]]*Tabla2[[#This Row],[PREC. UNITARIO]]</f>
        <v>-22</v>
      </c>
      <c r="R211" t="str">
        <f>Tabla2[[#This Row],[QUIEN RECIBE]]&amp;"-"&amp;TEXT(Tabla2[[#This Row],[FECHA]],"dd/mm/yyyy")</f>
        <v>ADUVIRE ARGUATA, MARIO ARTURO-22/09/2025</v>
      </c>
    </row>
    <row r="212" spans="2:18" ht="20.45" hidden="1" customHeight="1" x14ac:dyDescent="0.25">
      <c r="B212" s="5">
        <v>45922</v>
      </c>
      <c r="C212" s="2" t="str">
        <f>IFERROR(_xlfn.XLOOKUP(Tabla2[[#This Row],[PRODUCTO]],Tabla1[PRODUCTO],Tabla1[CODIGO]),"")</f>
        <v>IS-17</v>
      </c>
      <c r="D212" s="31" t="s">
        <v>66</v>
      </c>
      <c r="E212" s="31" t="str">
        <f>IFERROR(VLOOKUP(Tabla2[[#This Row],[CODIGO]],Tabla1[],3,0),"")</f>
        <v>IMPLEMENTOS DE SEGURIDAD</v>
      </c>
      <c r="F212" s="28" t="str">
        <f>IFERROR(VLOOKUP(Tabla2[[#This Row],[CODIGO]],Tabla1[],5,0),"")</f>
        <v>ALMACEN TICAPAMPA</v>
      </c>
      <c r="G212" s="26" t="str">
        <f>IFERROR(VLOOKUP(Tabla2[[#This Row],[CODIGO]],Tabla1[],6,0),"")</f>
        <v>PAR</v>
      </c>
      <c r="H212" s="26">
        <f>IFERROR(VLOOKUP(Tabla2[[#This Row],[CODIGO]],Tabla1[],10,0),"")</f>
        <v>0</v>
      </c>
      <c r="I212" s="7">
        <v>-1</v>
      </c>
      <c r="J212" s="29" t="s">
        <v>321</v>
      </c>
      <c r="K212" s="26" t="str">
        <f>IFERROR(VLOOKUP(Tabla2[[#This Row],[CODIGO]],Tabla1[],11,0),"")</f>
        <v>COMPRA</v>
      </c>
      <c r="L212" s="67" t="s">
        <v>250</v>
      </c>
      <c r="M212" s="67" t="s">
        <v>258</v>
      </c>
      <c r="N212" s="70">
        <v>63</v>
      </c>
      <c r="O212" s="70">
        <f>Tabla2[[#This Row],[CANTIDAD]]*Tabla2[[#This Row],[PREC. UNITARIO]]</f>
        <v>-63</v>
      </c>
      <c r="R212" t="str">
        <f>Tabla2[[#This Row],[QUIEN RECIBE]]&amp;"-"&amp;TEXT(Tabla2[[#This Row],[FECHA]],"dd/mm/yyyy")</f>
        <v>ADUVIRE ARGUATA, MARIO ARTURO-22/09/2025</v>
      </c>
    </row>
    <row r="213" spans="2:18" ht="20.45" hidden="1" customHeight="1" x14ac:dyDescent="0.25">
      <c r="B213" s="5">
        <v>45922</v>
      </c>
      <c r="C213" s="2" t="str">
        <f>IFERROR(_xlfn.XLOOKUP(Tabla2[[#This Row],[PRODUCTO]],Tabla1[PRODUCTO],Tabla1[CODIGO]),"")</f>
        <v>IS-28</v>
      </c>
      <c r="D213" s="31" t="s">
        <v>79</v>
      </c>
      <c r="E213" s="31" t="str">
        <f>IFERROR(VLOOKUP(Tabla2[[#This Row],[CODIGO]],Tabla1[],3,0),"")</f>
        <v>IMPLEMENTOS DE SEGURIDAD</v>
      </c>
      <c r="F213" s="28" t="str">
        <f>IFERROR(VLOOKUP(Tabla2[[#This Row],[CODIGO]],Tabla1[],5,0),"")</f>
        <v>ALMACEN TICAPAMPA</v>
      </c>
      <c r="G213" s="26" t="str">
        <f>IFERROR(VLOOKUP(Tabla2[[#This Row],[CODIGO]],Tabla1[],6,0),"")</f>
        <v>UNI</v>
      </c>
      <c r="H213" s="26">
        <f>IFERROR(VLOOKUP(Tabla2[[#This Row],[CODIGO]],Tabla1[],10,0),"")</f>
        <v>32</v>
      </c>
      <c r="I213" s="7">
        <v>-1</v>
      </c>
      <c r="J213" s="29" t="s">
        <v>321</v>
      </c>
      <c r="K213" s="26" t="str">
        <f>IFERROR(VLOOKUP(Tabla2[[#This Row],[CODIGO]],Tabla1[],11,0),"")</f>
        <v>COMPRA</v>
      </c>
      <c r="L213" s="67" t="s">
        <v>250</v>
      </c>
      <c r="M213" s="67" t="s">
        <v>258</v>
      </c>
      <c r="N213" s="70">
        <v>4</v>
      </c>
      <c r="O213" s="70">
        <f>Tabla2[[#This Row],[CANTIDAD]]*Tabla2[[#This Row],[PREC. UNITARIO]]</f>
        <v>-4</v>
      </c>
      <c r="R213" t="str">
        <f>Tabla2[[#This Row],[QUIEN RECIBE]]&amp;"-"&amp;TEXT(Tabla2[[#This Row],[FECHA]],"dd/mm/yyyy")</f>
        <v>ADUVIRE ARGUATA, MARIO ARTURO-22/09/2025</v>
      </c>
    </row>
    <row r="214" spans="2:18" ht="20.45" hidden="1" customHeight="1" x14ac:dyDescent="0.25">
      <c r="B214" s="5">
        <v>45922</v>
      </c>
      <c r="C214" s="2" t="str">
        <f>IFERROR(_xlfn.XLOOKUP(Tabla2[[#This Row],[PRODUCTO]],Tabla1[PRODUCTO],Tabla1[CODIGO]),"")</f>
        <v>IS-14</v>
      </c>
      <c r="D214" s="31" t="s">
        <v>271</v>
      </c>
      <c r="E214" s="31" t="str">
        <f>IFERROR(VLOOKUP(Tabla2[[#This Row],[CODIGO]],Tabla1[],3,0),"")</f>
        <v>IMPLEMENTOS DE SEGURIDAD</v>
      </c>
      <c r="F214" s="28" t="str">
        <f>IFERROR(VLOOKUP(Tabla2[[#This Row],[CODIGO]],Tabla1[],5,0),"")</f>
        <v>ALMACEN TICAPAMPA</v>
      </c>
      <c r="G214" s="26" t="str">
        <f>IFERROR(VLOOKUP(Tabla2[[#This Row],[CODIGO]],Tabla1[],6,0),"")</f>
        <v>UNI</v>
      </c>
      <c r="H214" s="26">
        <f>IFERROR(VLOOKUP(Tabla2[[#This Row],[CODIGO]],Tabla1[],10,0),"")</f>
        <v>1</v>
      </c>
      <c r="I214" s="7">
        <v>-1</v>
      </c>
      <c r="J214" s="29" t="s">
        <v>321</v>
      </c>
      <c r="K214" s="26" t="str">
        <f>IFERROR(VLOOKUP(Tabla2[[#This Row],[CODIGO]],Tabla1[],11,0),"")</f>
        <v>COMPRA</v>
      </c>
      <c r="L214" s="67" t="s">
        <v>250</v>
      </c>
      <c r="M214" s="67" t="s">
        <v>258</v>
      </c>
      <c r="N214" s="70">
        <v>4</v>
      </c>
      <c r="O214" s="70">
        <f>Tabla2[[#This Row],[CANTIDAD]]*Tabla2[[#This Row],[PREC. UNITARIO]]</f>
        <v>-4</v>
      </c>
      <c r="R214" t="str">
        <f>Tabla2[[#This Row],[QUIEN RECIBE]]&amp;"-"&amp;TEXT(Tabla2[[#This Row],[FECHA]],"dd/mm/yyyy")</f>
        <v>ADUVIRE ARGUATA, MARIO ARTURO-22/09/2025</v>
      </c>
    </row>
    <row r="215" spans="2:18" ht="20.45" hidden="1" customHeight="1" x14ac:dyDescent="0.25">
      <c r="B215" s="5">
        <v>45922</v>
      </c>
      <c r="C215" s="2" t="str">
        <f>IFERROR(_xlfn.XLOOKUP(Tabla2[[#This Row],[PRODUCTO]],Tabla1[PRODUCTO],Tabla1[CODIGO]),"")</f>
        <v>IS-30</v>
      </c>
      <c r="D215" s="31" t="s">
        <v>81</v>
      </c>
      <c r="E215" s="31" t="str">
        <f>IFERROR(VLOOKUP(Tabla2[[#This Row],[CODIGO]],Tabla1[],3,0),"")</f>
        <v>IMPLEMENTOS DE SEGURIDAD</v>
      </c>
      <c r="F215" s="28" t="str">
        <f>IFERROR(VLOOKUP(Tabla2[[#This Row],[CODIGO]],Tabla1[],5,0),"")</f>
        <v>ALMACEN TICAPAMPA</v>
      </c>
      <c r="G215" s="26" t="str">
        <f>IFERROR(VLOOKUP(Tabla2[[#This Row],[CODIGO]],Tabla1[],6,0),"")</f>
        <v>UNI</v>
      </c>
      <c r="H215" s="26">
        <f>IFERROR(VLOOKUP(Tabla2[[#This Row],[CODIGO]],Tabla1[],10,0),"")</f>
        <v>99</v>
      </c>
      <c r="I215" s="7">
        <v>-1</v>
      </c>
      <c r="J215" s="29" t="s">
        <v>321</v>
      </c>
      <c r="K215" s="26" t="str">
        <f>IFERROR(VLOOKUP(Tabla2[[#This Row],[CODIGO]],Tabla1[],11,0),"")</f>
        <v>COMPRA</v>
      </c>
      <c r="L215" s="67" t="s">
        <v>250</v>
      </c>
      <c r="M215" s="67" t="s">
        <v>258</v>
      </c>
      <c r="N215" s="70">
        <v>8</v>
      </c>
      <c r="O215" s="70">
        <f>Tabla2[[#This Row],[CANTIDAD]]*Tabla2[[#This Row],[PREC. UNITARIO]]</f>
        <v>-8</v>
      </c>
      <c r="R215" t="str">
        <f>Tabla2[[#This Row],[QUIEN RECIBE]]&amp;"-"&amp;TEXT(Tabla2[[#This Row],[FECHA]],"dd/mm/yyyy")</f>
        <v>ADUVIRE ARGUATA, MARIO ARTURO-22/09/2025</v>
      </c>
    </row>
    <row r="216" spans="2:18" ht="20.45" hidden="1" customHeight="1" x14ac:dyDescent="0.25">
      <c r="B216" s="5">
        <v>45922</v>
      </c>
      <c r="C216" s="2" t="str">
        <f>IFERROR(_xlfn.XLOOKUP(Tabla2[[#This Row],[PRODUCTO]],Tabla1[PRODUCTO],Tabla1[CODIGO]),"")</f>
        <v>IS-18</v>
      </c>
      <c r="D216" s="31" t="s">
        <v>67</v>
      </c>
      <c r="E216" s="31" t="str">
        <f>IFERROR(VLOOKUP(Tabla2[[#This Row],[CODIGO]],Tabla1[],3,0),"")</f>
        <v>IMPLEMENTOS DE SEGURIDAD</v>
      </c>
      <c r="F216" s="28" t="str">
        <f>IFERROR(VLOOKUP(Tabla2[[#This Row],[CODIGO]],Tabla1[],5,0),"")</f>
        <v>ALMACEN TICAPAMPA</v>
      </c>
      <c r="G216" s="26" t="str">
        <f>IFERROR(VLOOKUP(Tabla2[[#This Row],[CODIGO]],Tabla1[],6,0),"")</f>
        <v>UNI</v>
      </c>
      <c r="H216" s="26">
        <f>IFERROR(VLOOKUP(Tabla2[[#This Row],[CODIGO]],Tabla1[],10,0),"")</f>
        <v>0</v>
      </c>
      <c r="I216" s="7">
        <v>-1</v>
      </c>
      <c r="J216" s="29" t="s">
        <v>321</v>
      </c>
      <c r="K216" s="26" t="str">
        <f>IFERROR(VLOOKUP(Tabla2[[#This Row],[CODIGO]],Tabla1[],11,0),"")</f>
        <v>COMPRA</v>
      </c>
      <c r="L216" s="67" t="s">
        <v>472</v>
      </c>
      <c r="M216" s="67" t="s">
        <v>258</v>
      </c>
      <c r="N216" s="70">
        <v>6.5</v>
      </c>
      <c r="O216" s="70">
        <f>Tabla2[[#This Row],[CANTIDAD]]*Tabla2[[#This Row],[PREC. UNITARIO]]</f>
        <v>-6.5</v>
      </c>
      <c r="R216" t="str">
        <f>Tabla2[[#This Row],[QUIEN RECIBE]]&amp;"-"&amp;TEXT(Tabla2[[#This Row],[FECHA]],"dd/mm/yyyy")</f>
        <v>ADUVIRE ARGUATA, MARIO ARTURO-22/09/2025</v>
      </c>
    </row>
    <row r="217" spans="2:18" ht="20.45" hidden="1" customHeight="1" x14ac:dyDescent="0.25">
      <c r="B217" s="5">
        <v>45922</v>
      </c>
      <c r="C217" s="2" t="str">
        <f>IFERROR(_xlfn.XLOOKUP(Tabla2[[#This Row],[PRODUCTO]],Tabla1[PRODUCTO],Tabla1[CODIGO]),"")</f>
        <v>IS-1</v>
      </c>
      <c r="D217" s="31" t="s">
        <v>50</v>
      </c>
      <c r="E217" s="31" t="str">
        <f>IFERROR(VLOOKUP(Tabla2[[#This Row],[CODIGO]],Tabla1[],3,0),"")</f>
        <v>IMPLEMENTOS DE SEGURIDAD</v>
      </c>
      <c r="F217" s="28" t="str">
        <f>IFERROR(VLOOKUP(Tabla2[[#This Row],[CODIGO]],Tabla1[],5,0),"")</f>
        <v>ALMACEN TICAPAMPA</v>
      </c>
      <c r="G217" s="26" t="str">
        <f>IFERROR(VLOOKUP(Tabla2[[#This Row],[CODIGO]],Tabla1[],6,0),"")</f>
        <v>UNI</v>
      </c>
      <c r="H217" s="26">
        <f>IFERROR(VLOOKUP(Tabla2[[#This Row],[CODIGO]],Tabla1[],10,0),"")</f>
        <v>4</v>
      </c>
      <c r="I217" s="7">
        <v>-1</v>
      </c>
      <c r="J217" s="29" t="s">
        <v>321</v>
      </c>
      <c r="K217" s="26" t="str">
        <f>IFERROR(VLOOKUP(Tabla2[[#This Row],[CODIGO]],Tabla1[],11,0),"")</f>
        <v>COMPRA</v>
      </c>
      <c r="L217" s="67" t="s">
        <v>250</v>
      </c>
      <c r="M217" s="67" t="s">
        <v>302</v>
      </c>
      <c r="N217" s="70">
        <v>45</v>
      </c>
      <c r="O217" s="70">
        <f>Tabla2[[#This Row],[CANTIDAD]]*Tabla2[[#This Row],[PREC. UNITARIO]]</f>
        <v>-45</v>
      </c>
      <c r="R217" t="str">
        <f>Tabla2[[#This Row],[QUIEN RECIBE]]&amp;"-"&amp;TEXT(Tabla2[[#This Row],[FECHA]],"dd/mm/yyyy")</f>
        <v>QUISPE LIMACHE, ROGELIO -22/09/2025</v>
      </c>
    </row>
    <row r="218" spans="2:18" ht="20.45" hidden="1" customHeight="1" x14ac:dyDescent="0.25">
      <c r="B218" s="5">
        <v>45922</v>
      </c>
      <c r="C218" s="2" t="str">
        <f>IFERROR(_xlfn.XLOOKUP(Tabla2[[#This Row],[PRODUCTO]],Tabla1[PRODUCTO],Tabla1[CODIGO]),"")</f>
        <v>IS-36</v>
      </c>
      <c r="D218" s="31" t="s">
        <v>300</v>
      </c>
      <c r="E218" s="31" t="str">
        <f>IFERROR(VLOOKUP(Tabla2[[#This Row],[CODIGO]],Tabla1[],3,0),"")</f>
        <v>IMPLEMENTOS DE SEGURIDAD</v>
      </c>
      <c r="F218" s="28" t="str">
        <f>IFERROR(VLOOKUP(Tabla2[[#This Row],[CODIGO]],Tabla1[],5,0),"")</f>
        <v>ALMACEN TICAPAMPA</v>
      </c>
      <c r="G218" s="26" t="str">
        <f>IFERROR(VLOOKUP(Tabla2[[#This Row],[CODIGO]],Tabla1[],6,0),"")</f>
        <v>UNI</v>
      </c>
      <c r="H218" s="26">
        <f>IFERROR(VLOOKUP(Tabla2[[#This Row],[CODIGO]],Tabla1[],10,0),"")</f>
        <v>4</v>
      </c>
      <c r="I218" s="7">
        <v>-2</v>
      </c>
      <c r="J218" s="29" t="s">
        <v>321</v>
      </c>
      <c r="K218" s="26" t="str">
        <f>IFERROR(VLOOKUP(Tabla2[[#This Row],[CODIGO]],Tabla1[],11,0),"")</f>
        <v>COMPRA</v>
      </c>
      <c r="L218" s="67" t="s">
        <v>250</v>
      </c>
      <c r="M218" s="67" t="s">
        <v>302</v>
      </c>
      <c r="N218" s="70"/>
      <c r="O218" s="70">
        <f>Tabla2[[#This Row],[CANTIDAD]]*Tabla2[[#This Row],[PREC. UNITARIO]]</f>
        <v>0</v>
      </c>
      <c r="R218" t="str">
        <f>Tabla2[[#This Row],[QUIEN RECIBE]]&amp;"-"&amp;TEXT(Tabla2[[#This Row],[FECHA]],"dd/mm/yyyy")</f>
        <v>QUISPE LIMACHE, ROGELIO -22/09/2025</v>
      </c>
    </row>
    <row r="219" spans="2:18" ht="20.45" hidden="1" customHeight="1" x14ac:dyDescent="0.25">
      <c r="B219" s="5">
        <v>45922</v>
      </c>
      <c r="C219" s="2" t="str">
        <f>IFERROR(_xlfn.XLOOKUP(Tabla2[[#This Row],[PRODUCTO]],Tabla1[PRODUCTO],Tabla1[CODIGO]),"")</f>
        <v>IS-33</v>
      </c>
      <c r="D219" s="31" t="s">
        <v>84</v>
      </c>
      <c r="E219" s="31" t="str">
        <f>IFERROR(VLOOKUP(Tabla2[[#This Row],[CODIGO]],Tabla1[],3,0),"")</f>
        <v>IMPLEMENTOS DE SEGURIDAD</v>
      </c>
      <c r="F219" s="28" t="str">
        <f>IFERROR(VLOOKUP(Tabla2[[#This Row],[CODIGO]],Tabla1[],5,0),"")</f>
        <v>ALMACEN TICAPAMPA</v>
      </c>
      <c r="G219" s="26" t="str">
        <f>IFERROR(VLOOKUP(Tabla2[[#This Row],[CODIGO]],Tabla1[],6,0),"")</f>
        <v>UNI</v>
      </c>
      <c r="H219" s="26">
        <f>IFERROR(VLOOKUP(Tabla2[[#This Row],[CODIGO]],Tabla1[],10,0),"")</f>
        <v>1</v>
      </c>
      <c r="I219" s="7">
        <v>-1</v>
      </c>
      <c r="J219" s="29" t="s">
        <v>321</v>
      </c>
      <c r="K219" s="26" t="str">
        <f>IFERROR(VLOOKUP(Tabla2[[#This Row],[CODIGO]],Tabla1[],11,0),"")</f>
        <v>COMPRA</v>
      </c>
      <c r="L219" s="67" t="s">
        <v>472</v>
      </c>
      <c r="M219" s="67" t="s">
        <v>302</v>
      </c>
      <c r="N219" s="70">
        <v>22</v>
      </c>
      <c r="O219" s="70">
        <f>Tabla2[[#This Row],[CANTIDAD]]*Tabla2[[#This Row],[PREC. UNITARIO]]</f>
        <v>-22</v>
      </c>
      <c r="R219" t="str">
        <f>Tabla2[[#This Row],[QUIEN RECIBE]]&amp;"-"&amp;TEXT(Tabla2[[#This Row],[FECHA]],"dd/mm/yyyy")</f>
        <v>QUISPE LIMACHE, ROGELIO -22/09/2025</v>
      </c>
    </row>
    <row r="220" spans="2:18" ht="20.45" hidden="1" customHeight="1" x14ac:dyDescent="0.25">
      <c r="B220" s="5">
        <v>45922</v>
      </c>
      <c r="C220" s="2" t="str">
        <f>IFERROR(_xlfn.XLOOKUP(Tabla2[[#This Row],[PRODUCTO]],Tabla1[PRODUCTO],Tabla1[CODIGO]),"")</f>
        <v>IS-17</v>
      </c>
      <c r="D220" s="31" t="s">
        <v>66</v>
      </c>
      <c r="E220" s="31" t="str">
        <f>IFERROR(VLOOKUP(Tabla2[[#This Row],[CODIGO]],Tabla1[],3,0),"")</f>
        <v>IMPLEMENTOS DE SEGURIDAD</v>
      </c>
      <c r="F220" s="28" t="str">
        <f>IFERROR(VLOOKUP(Tabla2[[#This Row],[CODIGO]],Tabla1[],5,0),"")</f>
        <v>ALMACEN TICAPAMPA</v>
      </c>
      <c r="G220" s="26" t="str">
        <f>IFERROR(VLOOKUP(Tabla2[[#This Row],[CODIGO]],Tabla1[],6,0),"")</f>
        <v>PAR</v>
      </c>
      <c r="H220" s="26">
        <f>IFERROR(VLOOKUP(Tabla2[[#This Row],[CODIGO]],Tabla1[],10,0),"")</f>
        <v>0</v>
      </c>
      <c r="I220" s="7">
        <v>-1</v>
      </c>
      <c r="J220" s="29" t="s">
        <v>321</v>
      </c>
      <c r="K220" s="26" t="str">
        <f>IFERROR(VLOOKUP(Tabla2[[#This Row],[CODIGO]],Tabla1[],11,0),"")</f>
        <v>COMPRA</v>
      </c>
      <c r="L220" s="67" t="s">
        <v>250</v>
      </c>
      <c r="M220" s="67" t="s">
        <v>302</v>
      </c>
      <c r="N220" s="70">
        <v>63</v>
      </c>
      <c r="O220" s="70">
        <f>Tabla2[[#This Row],[CANTIDAD]]*Tabla2[[#This Row],[PREC. UNITARIO]]</f>
        <v>-63</v>
      </c>
      <c r="R220" t="str">
        <f>Tabla2[[#This Row],[QUIEN RECIBE]]&amp;"-"&amp;TEXT(Tabla2[[#This Row],[FECHA]],"dd/mm/yyyy")</f>
        <v>QUISPE LIMACHE, ROGELIO -22/09/2025</v>
      </c>
    </row>
    <row r="221" spans="2:18" ht="20.45" hidden="1" customHeight="1" x14ac:dyDescent="0.25">
      <c r="B221" s="5">
        <v>45922</v>
      </c>
      <c r="C221" s="2" t="str">
        <f>IFERROR(_xlfn.XLOOKUP(Tabla2[[#This Row],[PRODUCTO]],Tabla1[PRODUCTO],Tabla1[CODIGO]),"")</f>
        <v>IS-28</v>
      </c>
      <c r="D221" s="31" t="s">
        <v>79</v>
      </c>
      <c r="E221" s="31" t="str">
        <f>IFERROR(VLOOKUP(Tabla2[[#This Row],[CODIGO]],Tabla1[],3,0),"")</f>
        <v>IMPLEMENTOS DE SEGURIDAD</v>
      </c>
      <c r="F221" s="28" t="str">
        <f>IFERROR(VLOOKUP(Tabla2[[#This Row],[CODIGO]],Tabla1[],5,0),"")</f>
        <v>ALMACEN TICAPAMPA</v>
      </c>
      <c r="G221" s="26" t="str">
        <f>IFERROR(VLOOKUP(Tabla2[[#This Row],[CODIGO]],Tabla1[],6,0),"")</f>
        <v>UNI</v>
      </c>
      <c r="H221" s="26">
        <f>IFERROR(VLOOKUP(Tabla2[[#This Row],[CODIGO]],Tabla1[],10,0),"")</f>
        <v>32</v>
      </c>
      <c r="I221" s="7">
        <v>-1</v>
      </c>
      <c r="J221" s="29" t="s">
        <v>321</v>
      </c>
      <c r="K221" s="26" t="str">
        <f>IFERROR(VLOOKUP(Tabla2[[#This Row],[CODIGO]],Tabla1[],11,0),"")</f>
        <v>COMPRA</v>
      </c>
      <c r="L221" s="67" t="s">
        <v>250</v>
      </c>
      <c r="M221" s="67" t="s">
        <v>302</v>
      </c>
      <c r="N221" s="70">
        <v>4</v>
      </c>
      <c r="O221" s="70">
        <f>Tabla2[[#This Row],[CANTIDAD]]*Tabla2[[#This Row],[PREC. UNITARIO]]</f>
        <v>-4</v>
      </c>
      <c r="R221" t="str">
        <f>Tabla2[[#This Row],[QUIEN RECIBE]]&amp;"-"&amp;TEXT(Tabla2[[#This Row],[FECHA]],"dd/mm/yyyy")</f>
        <v>QUISPE LIMACHE, ROGELIO -22/09/2025</v>
      </c>
    </row>
    <row r="222" spans="2:18" ht="20.45" hidden="1" customHeight="1" x14ac:dyDescent="0.25">
      <c r="B222" s="5">
        <v>45922</v>
      </c>
      <c r="C222" s="2" t="str">
        <f>IFERROR(_xlfn.XLOOKUP(Tabla2[[#This Row],[PRODUCTO]],Tabla1[PRODUCTO],Tabla1[CODIGO]),"")</f>
        <v>IS-30</v>
      </c>
      <c r="D222" s="31" t="s">
        <v>81</v>
      </c>
      <c r="E222" s="31" t="str">
        <f>IFERROR(VLOOKUP(Tabla2[[#This Row],[CODIGO]],Tabla1[],3,0),"")</f>
        <v>IMPLEMENTOS DE SEGURIDAD</v>
      </c>
      <c r="F222" s="28" t="str">
        <f>IFERROR(VLOOKUP(Tabla2[[#This Row],[CODIGO]],Tabla1[],5,0),"")</f>
        <v>ALMACEN TICAPAMPA</v>
      </c>
      <c r="G222" s="26" t="str">
        <f>IFERROR(VLOOKUP(Tabla2[[#This Row],[CODIGO]],Tabla1[],6,0),"")</f>
        <v>UNI</v>
      </c>
      <c r="H222" s="26">
        <f>IFERROR(VLOOKUP(Tabla2[[#This Row],[CODIGO]],Tabla1[],10,0),"")</f>
        <v>99</v>
      </c>
      <c r="I222" s="7">
        <v>-1</v>
      </c>
      <c r="J222" s="29" t="s">
        <v>321</v>
      </c>
      <c r="K222" s="26" t="str">
        <f>IFERROR(VLOOKUP(Tabla2[[#This Row],[CODIGO]],Tabla1[],11,0),"")</f>
        <v>COMPRA</v>
      </c>
      <c r="L222" s="67" t="s">
        <v>250</v>
      </c>
      <c r="M222" s="67" t="s">
        <v>302</v>
      </c>
      <c r="N222" s="70">
        <v>8</v>
      </c>
      <c r="O222" s="70">
        <f>Tabla2[[#This Row],[CANTIDAD]]*Tabla2[[#This Row],[PREC. UNITARIO]]</f>
        <v>-8</v>
      </c>
      <c r="R222" t="str">
        <f>Tabla2[[#This Row],[QUIEN RECIBE]]&amp;"-"&amp;TEXT(Tabla2[[#This Row],[FECHA]],"dd/mm/yyyy")</f>
        <v>QUISPE LIMACHE, ROGELIO -22/09/2025</v>
      </c>
    </row>
    <row r="223" spans="2:18" ht="20.45" hidden="1" customHeight="1" x14ac:dyDescent="0.25">
      <c r="B223" s="5">
        <v>45922</v>
      </c>
      <c r="C223" s="2" t="str">
        <f>IFERROR(_xlfn.XLOOKUP(Tabla2[[#This Row],[PRODUCTO]],Tabla1[PRODUCTO],Tabla1[CODIGO]),"")</f>
        <v>IS-20</v>
      </c>
      <c r="D223" s="31" t="s">
        <v>69</v>
      </c>
      <c r="E223" s="31" t="str">
        <f>IFERROR(VLOOKUP(Tabla2[[#This Row],[CODIGO]],Tabla1[],3,0),"")</f>
        <v>IMPLEMENTOS DE SEGURIDAD</v>
      </c>
      <c r="F223" s="28" t="str">
        <f>IFERROR(VLOOKUP(Tabla2[[#This Row],[CODIGO]],Tabla1[],5,0),"")</f>
        <v>ALMACEN TICAPAMPA</v>
      </c>
      <c r="G223" s="26" t="str">
        <f>IFERROR(VLOOKUP(Tabla2[[#This Row],[CODIGO]],Tabla1[],6,0),"")</f>
        <v>UNI</v>
      </c>
      <c r="H223" s="26">
        <f>IFERROR(VLOOKUP(Tabla2[[#This Row],[CODIGO]],Tabla1[],10,0),"")</f>
        <v>5</v>
      </c>
      <c r="I223" s="7">
        <v>-1</v>
      </c>
      <c r="J223" s="29" t="s">
        <v>321</v>
      </c>
      <c r="K223" s="26" t="str">
        <f>IFERROR(VLOOKUP(Tabla2[[#This Row],[CODIGO]],Tabla1[],11,0),"")</f>
        <v>COMPRA</v>
      </c>
      <c r="L223" s="67" t="s">
        <v>472</v>
      </c>
      <c r="M223" s="67" t="s">
        <v>302</v>
      </c>
      <c r="N223" s="70">
        <v>6.5</v>
      </c>
      <c r="O223" s="70">
        <f>Tabla2[[#This Row],[CANTIDAD]]*Tabla2[[#This Row],[PREC. UNITARIO]]</f>
        <v>-6.5</v>
      </c>
      <c r="R223" t="str">
        <f>Tabla2[[#This Row],[QUIEN RECIBE]]&amp;"-"&amp;TEXT(Tabla2[[#This Row],[FECHA]],"dd/mm/yyyy")</f>
        <v>QUISPE LIMACHE, ROGELIO -22/09/2025</v>
      </c>
    </row>
    <row r="224" spans="2:18" ht="20.45" hidden="1" customHeight="1" x14ac:dyDescent="0.25">
      <c r="B224" s="5">
        <v>45922</v>
      </c>
      <c r="C224" s="2" t="str">
        <f>IFERROR(_xlfn.XLOOKUP(Tabla2[[#This Row],[PRODUCTO]],Tabla1[PRODUCTO],Tabla1[CODIGO]),"")</f>
        <v>IS-14</v>
      </c>
      <c r="D224" s="31" t="s">
        <v>271</v>
      </c>
      <c r="E224" s="31" t="str">
        <f>IFERROR(VLOOKUP(Tabla2[[#This Row],[CODIGO]],Tabla1[],3,0),"")</f>
        <v>IMPLEMENTOS DE SEGURIDAD</v>
      </c>
      <c r="F224" s="28" t="str">
        <f>IFERROR(VLOOKUP(Tabla2[[#This Row],[CODIGO]],Tabla1[],5,0),"")</f>
        <v>ALMACEN TICAPAMPA</v>
      </c>
      <c r="G224" s="26" t="str">
        <f>IFERROR(VLOOKUP(Tabla2[[#This Row],[CODIGO]],Tabla1[],6,0),"")</f>
        <v>UNI</v>
      </c>
      <c r="H224" s="26">
        <f>IFERROR(VLOOKUP(Tabla2[[#This Row],[CODIGO]],Tabla1[],10,0),"")</f>
        <v>1</v>
      </c>
      <c r="I224" s="7">
        <v>-1</v>
      </c>
      <c r="J224" s="29" t="s">
        <v>321</v>
      </c>
      <c r="K224" s="26" t="str">
        <f>IFERROR(VLOOKUP(Tabla2[[#This Row],[CODIGO]],Tabla1[],11,0),"")</f>
        <v>COMPRA</v>
      </c>
      <c r="L224" s="67" t="s">
        <v>250</v>
      </c>
      <c r="M224" s="67" t="s">
        <v>302</v>
      </c>
      <c r="N224" s="70">
        <v>4</v>
      </c>
      <c r="O224" s="70">
        <f>Tabla2[[#This Row],[CANTIDAD]]*Tabla2[[#This Row],[PREC. UNITARIO]]</f>
        <v>-4</v>
      </c>
      <c r="R224" t="str">
        <f>Tabla2[[#This Row],[QUIEN RECIBE]]&amp;"-"&amp;TEXT(Tabla2[[#This Row],[FECHA]],"dd/mm/yyyy")</f>
        <v>QUISPE LIMACHE, ROGELIO -22/09/2025</v>
      </c>
    </row>
    <row r="225" spans="2:18" ht="20.45" hidden="1" customHeight="1" x14ac:dyDescent="0.25">
      <c r="B225" s="5">
        <v>45922</v>
      </c>
      <c r="C225" s="2" t="str">
        <f>IFERROR(_xlfn.XLOOKUP(Tabla2[[#This Row],[PRODUCTO]],Tabla1[PRODUCTO],Tabla1[CODIGO]),"")</f>
        <v>IS-2</v>
      </c>
      <c r="D225" s="31" t="s">
        <v>52</v>
      </c>
      <c r="E225" s="31" t="str">
        <f>IFERROR(VLOOKUP(Tabla2[[#This Row],[CODIGO]],Tabla1[],3,0),"")</f>
        <v>IMPLEMENTOS DE SEGURIDAD</v>
      </c>
      <c r="F225" s="28" t="str">
        <f>IFERROR(VLOOKUP(Tabla2[[#This Row],[CODIGO]],Tabla1[],5,0),"")</f>
        <v>ALMACEN TICAPAMPA</v>
      </c>
      <c r="G225" s="26" t="str">
        <f>IFERROR(VLOOKUP(Tabla2[[#This Row],[CODIGO]],Tabla1[],6,0),"")</f>
        <v>UNI</v>
      </c>
      <c r="H225" s="26">
        <f>IFERROR(VLOOKUP(Tabla2[[#This Row],[CODIGO]],Tabla1[],10,0),"")</f>
        <v>5</v>
      </c>
      <c r="I225" s="7">
        <v>-1</v>
      </c>
      <c r="J225" s="29" t="s">
        <v>321</v>
      </c>
      <c r="K225" s="26" t="str">
        <f>IFERROR(VLOOKUP(Tabla2[[#This Row],[CODIGO]],Tabla1[],11,0),"")</f>
        <v>COMPRA</v>
      </c>
      <c r="L225" s="67" t="s">
        <v>250</v>
      </c>
      <c r="M225" s="67" t="s">
        <v>265</v>
      </c>
      <c r="N225" s="70">
        <v>45</v>
      </c>
      <c r="O225" s="70">
        <f>Tabla2[[#This Row],[CANTIDAD]]*Tabla2[[#This Row],[PREC. UNITARIO]]</f>
        <v>-45</v>
      </c>
      <c r="R225" t="str">
        <f>Tabla2[[#This Row],[QUIEN RECIBE]]&amp;"-"&amp;TEXT(Tabla2[[#This Row],[FECHA]],"dd/mm/yyyy")</f>
        <v>ORDOÑEZ CONDORI, GILBERTO -22/09/2025</v>
      </c>
    </row>
    <row r="226" spans="2:18" ht="20.45" hidden="1" customHeight="1" x14ac:dyDescent="0.25">
      <c r="B226" s="5">
        <v>45922</v>
      </c>
      <c r="C226" s="2" t="str">
        <f>IFERROR(_xlfn.XLOOKUP(Tabla2[[#This Row],[PRODUCTO]],Tabla1[PRODUCTO],Tabla1[CODIGO]),"")</f>
        <v>IS-36</v>
      </c>
      <c r="D226" s="31" t="s">
        <v>300</v>
      </c>
      <c r="E226" s="31" t="str">
        <f>IFERROR(VLOOKUP(Tabla2[[#This Row],[CODIGO]],Tabla1[],3,0),"")</f>
        <v>IMPLEMENTOS DE SEGURIDAD</v>
      </c>
      <c r="F226" s="28" t="str">
        <f>IFERROR(VLOOKUP(Tabla2[[#This Row],[CODIGO]],Tabla1[],5,0),"")</f>
        <v>ALMACEN TICAPAMPA</v>
      </c>
      <c r="G226" s="26" t="str">
        <f>IFERROR(VLOOKUP(Tabla2[[#This Row],[CODIGO]],Tabla1[],6,0),"")</f>
        <v>UNI</v>
      </c>
      <c r="H226" s="26">
        <f>IFERROR(VLOOKUP(Tabla2[[#This Row],[CODIGO]],Tabla1[],10,0),"")</f>
        <v>4</v>
      </c>
      <c r="I226" s="7">
        <v>-2</v>
      </c>
      <c r="J226" s="29" t="s">
        <v>321</v>
      </c>
      <c r="K226" s="26" t="str">
        <f>IFERROR(VLOOKUP(Tabla2[[#This Row],[CODIGO]],Tabla1[],11,0),"")</f>
        <v>COMPRA</v>
      </c>
      <c r="L226" s="67" t="s">
        <v>250</v>
      </c>
      <c r="M226" s="67" t="s">
        <v>265</v>
      </c>
      <c r="N226" s="70"/>
      <c r="O226" s="70">
        <f>Tabla2[[#This Row],[CANTIDAD]]*Tabla2[[#This Row],[PREC. UNITARIO]]</f>
        <v>0</v>
      </c>
      <c r="R226" t="str">
        <f>Tabla2[[#This Row],[QUIEN RECIBE]]&amp;"-"&amp;TEXT(Tabla2[[#This Row],[FECHA]],"dd/mm/yyyy")</f>
        <v>ORDOÑEZ CONDORI, GILBERTO -22/09/2025</v>
      </c>
    </row>
    <row r="227" spans="2:18" ht="20.45" hidden="1" customHeight="1" x14ac:dyDescent="0.25">
      <c r="B227" s="5">
        <v>45922</v>
      </c>
      <c r="C227" s="2" t="str">
        <f>IFERROR(_xlfn.XLOOKUP(Tabla2[[#This Row],[PRODUCTO]],Tabla1[PRODUCTO],Tabla1[CODIGO]),"")</f>
        <v>IS-31</v>
      </c>
      <c r="D227" s="31" t="s">
        <v>82</v>
      </c>
      <c r="E227" s="31" t="str">
        <f>IFERROR(VLOOKUP(Tabla2[[#This Row],[CODIGO]],Tabla1[],3,0),"")</f>
        <v>IMPLEMENTOS DE SEGURIDAD</v>
      </c>
      <c r="F227" s="28" t="str">
        <f>IFERROR(VLOOKUP(Tabla2[[#This Row],[CODIGO]],Tabla1[],5,0),"")</f>
        <v>ALMACEN TICAPAMPA</v>
      </c>
      <c r="G227" s="26" t="str">
        <f>IFERROR(VLOOKUP(Tabla2[[#This Row],[CODIGO]],Tabla1[],6,0),"")</f>
        <v>UNI</v>
      </c>
      <c r="H227" s="26">
        <f>IFERROR(VLOOKUP(Tabla2[[#This Row],[CODIGO]],Tabla1[],10,0),"")</f>
        <v>0</v>
      </c>
      <c r="I227" s="7">
        <v>-1</v>
      </c>
      <c r="J227" s="29" t="s">
        <v>321</v>
      </c>
      <c r="K227" s="26" t="str">
        <f>IFERROR(VLOOKUP(Tabla2[[#This Row],[CODIGO]],Tabla1[],11,0),"")</f>
        <v>COMPRA</v>
      </c>
      <c r="L227" s="67" t="s">
        <v>472</v>
      </c>
      <c r="M227" s="67" t="s">
        <v>265</v>
      </c>
      <c r="N227" s="70">
        <v>22</v>
      </c>
      <c r="O227" s="70">
        <f>Tabla2[[#This Row],[CANTIDAD]]*Tabla2[[#This Row],[PREC. UNITARIO]]</f>
        <v>-22</v>
      </c>
      <c r="R227" t="str">
        <f>Tabla2[[#This Row],[QUIEN RECIBE]]&amp;"-"&amp;TEXT(Tabla2[[#This Row],[FECHA]],"dd/mm/yyyy")</f>
        <v>ORDOÑEZ CONDORI, GILBERTO -22/09/2025</v>
      </c>
    </row>
    <row r="228" spans="2:18" ht="20.45" hidden="1" customHeight="1" x14ac:dyDescent="0.25">
      <c r="B228" s="5">
        <v>45922</v>
      </c>
      <c r="C228" s="2" t="str">
        <f>IFERROR(_xlfn.XLOOKUP(Tabla2[[#This Row],[PRODUCTO]],Tabla1[PRODUCTO],Tabla1[CODIGO]),"")</f>
        <v>IS-30</v>
      </c>
      <c r="D228" s="31" t="s">
        <v>81</v>
      </c>
      <c r="E228" s="31" t="str">
        <f>IFERROR(VLOOKUP(Tabla2[[#This Row],[CODIGO]],Tabla1[],3,0),"")</f>
        <v>IMPLEMENTOS DE SEGURIDAD</v>
      </c>
      <c r="F228" s="28" t="str">
        <f>IFERROR(VLOOKUP(Tabla2[[#This Row],[CODIGO]],Tabla1[],5,0),"")</f>
        <v>ALMACEN TICAPAMPA</v>
      </c>
      <c r="G228" s="26" t="str">
        <f>IFERROR(VLOOKUP(Tabla2[[#This Row],[CODIGO]],Tabla1[],6,0),"")</f>
        <v>UNI</v>
      </c>
      <c r="H228" s="26">
        <f>IFERROR(VLOOKUP(Tabla2[[#This Row],[CODIGO]],Tabla1[],10,0),"")</f>
        <v>99</v>
      </c>
      <c r="I228" s="7">
        <v>-1</v>
      </c>
      <c r="J228" s="29" t="s">
        <v>321</v>
      </c>
      <c r="K228" s="26" t="str">
        <f>IFERROR(VLOOKUP(Tabla2[[#This Row],[CODIGO]],Tabla1[],11,0),"")</f>
        <v>COMPRA</v>
      </c>
      <c r="L228" s="67" t="s">
        <v>250</v>
      </c>
      <c r="M228" s="67" t="s">
        <v>265</v>
      </c>
      <c r="N228" s="70">
        <v>8</v>
      </c>
      <c r="O228" s="70">
        <f>Tabla2[[#This Row],[CANTIDAD]]*Tabla2[[#This Row],[PREC. UNITARIO]]</f>
        <v>-8</v>
      </c>
      <c r="R228" t="str">
        <f>Tabla2[[#This Row],[QUIEN RECIBE]]&amp;"-"&amp;TEXT(Tabla2[[#This Row],[FECHA]],"dd/mm/yyyy")</f>
        <v>ORDOÑEZ CONDORI, GILBERTO -22/09/2025</v>
      </c>
    </row>
    <row r="229" spans="2:18" ht="20.45" hidden="1" customHeight="1" x14ac:dyDescent="0.25">
      <c r="B229" s="5">
        <v>45922</v>
      </c>
      <c r="C229" s="2" t="str">
        <f>IFERROR(_xlfn.XLOOKUP(Tabla2[[#This Row],[PRODUCTO]],Tabla1[PRODUCTO],Tabla1[CODIGO]),"")</f>
        <v>IS-30</v>
      </c>
      <c r="D229" s="31" t="s">
        <v>81</v>
      </c>
      <c r="E229" s="31" t="str">
        <f>IFERROR(VLOOKUP(Tabla2[[#This Row],[CODIGO]],Tabla1[],3,0),"")</f>
        <v>IMPLEMENTOS DE SEGURIDAD</v>
      </c>
      <c r="F229" s="28" t="str">
        <f>IFERROR(VLOOKUP(Tabla2[[#This Row],[CODIGO]],Tabla1[],5,0),"")</f>
        <v>ALMACEN TICAPAMPA</v>
      </c>
      <c r="G229" s="26" t="str">
        <f>IFERROR(VLOOKUP(Tabla2[[#This Row],[CODIGO]],Tabla1[],6,0),"")</f>
        <v>UNI</v>
      </c>
      <c r="H229" s="26">
        <f>IFERROR(VLOOKUP(Tabla2[[#This Row],[CODIGO]],Tabla1[],10,0),"")</f>
        <v>99</v>
      </c>
      <c r="I229" s="7">
        <v>-1</v>
      </c>
      <c r="J229" s="29" t="s">
        <v>321</v>
      </c>
      <c r="K229" s="26" t="str">
        <f>IFERROR(VLOOKUP(Tabla2[[#This Row],[CODIGO]],Tabla1[],11,0),"")</f>
        <v>COMPRA</v>
      </c>
      <c r="L229" s="67" t="s">
        <v>250</v>
      </c>
      <c r="M229" s="67" t="s">
        <v>236</v>
      </c>
      <c r="N229" s="70">
        <v>8</v>
      </c>
      <c r="O229" s="70">
        <f>Tabla2[[#This Row],[CANTIDAD]]*Tabla2[[#This Row],[PREC. UNITARIO]]</f>
        <v>-8</v>
      </c>
      <c r="R229" t="str">
        <f>Tabla2[[#This Row],[QUIEN RECIBE]]&amp;"-"&amp;TEXT(Tabla2[[#This Row],[FECHA]],"dd/mm/yyyy")</f>
        <v>NAVARRO LOZANO, ANGEL JAROL-22/09/2025</v>
      </c>
    </row>
    <row r="230" spans="2:18" ht="20.45" hidden="1" customHeight="1" x14ac:dyDescent="0.25">
      <c r="B230" s="5">
        <v>45922</v>
      </c>
      <c r="C230" s="2" t="str">
        <f>IFERROR(_xlfn.XLOOKUP(Tabla2[[#This Row],[PRODUCTO]],Tabla1[PRODUCTO],Tabla1[CODIGO]),"")</f>
        <v>IS-14</v>
      </c>
      <c r="D230" s="31" t="s">
        <v>271</v>
      </c>
      <c r="E230" s="31" t="str">
        <f>IFERROR(VLOOKUP(Tabla2[[#This Row],[CODIGO]],Tabla1[],3,0),"")</f>
        <v>IMPLEMENTOS DE SEGURIDAD</v>
      </c>
      <c r="F230" s="28" t="str">
        <f>IFERROR(VLOOKUP(Tabla2[[#This Row],[CODIGO]],Tabla1[],5,0),"")</f>
        <v>ALMACEN TICAPAMPA</v>
      </c>
      <c r="G230" s="26" t="str">
        <f>IFERROR(VLOOKUP(Tabla2[[#This Row],[CODIGO]],Tabla1[],6,0),"")</f>
        <v>UNI</v>
      </c>
      <c r="H230" s="26">
        <f>IFERROR(VLOOKUP(Tabla2[[#This Row],[CODIGO]],Tabla1[],10,0),"")</f>
        <v>1</v>
      </c>
      <c r="I230" s="7">
        <v>-1</v>
      </c>
      <c r="J230" s="29" t="s">
        <v>321</v>
      </c>
      <c r="K230" s="26" t="str">
        <f>IFERROR(VLOOKUP(Tabla2[[#This Row],[CODIGO]],Tabla1[],11,0),"")</f>
        <v>COMPRA</v>
      </c>
      <c r="L230" s="67" t="s">
        <v>250</v>
      </c>
      <c r="M230" s="67" t="s">
        <v>265</v>
      </c>
      <c r="N230" s="70">
        <v>4</v>
      </c>
      <c r="O230" s="70">
        <f>Tabla2[[#This Row],[CANTIDAD]]*Tabla2[[#This Row],[PREC. UNITARIO]]</f>
        <v>-4</v>
      </c>
      <c r="R230" t="str">
        <f>Tabla2[[#This Row],[QUIEN RECIBE]]&amp;"-"&amp;TEXT(Tabla2[[#This Row],[FECHA]],"dd/mm/yyyy")</f>
        <v>ORDOÑEZ CONDORI, GILBERTO -22/09/2025</v>
      </c>
    </row>
    <row r="231" spans="2:18" ht="20.45" hidden="1" customHeight="1" x14ac:dyDescent="0.25">
      <c r="B231" s="5">
        <v>45922</v>
      </c>
      <c r="C231" s="2" t="str">
        <f>IFERROR(_xlfn.XLOOKUP(Tabla2[[#This Row],[PRODUCTO]],Tabla1[PRODUCTO],Tabla1[CODIGO]),"")</f>
        <v>IS-28</v>
      </c>
      <c r="D231" s="31" t="s">
        <v>79</v>
      </c>
      <c r="E231" s="31" t="str">
        <f>IFERROR(VLOOKUP(Tabla2[[#This Row],[CODIGO]],Tabla1[],3,0),"")</f>
        <v>IMPLEMENTOS DE SEGURIDAD</v>
      </c>
      <c r="F231" s="28" t="str">
        <f>IFERROR(VLOOKUP(Tabla2[[#This Row],[CODIGO]],Tabla1[],5,0),"")</f>
        <v>ALMACEN TICAPAMPA</v>
      </c>
      <c r="G231" s="26" t="str">
        <f>IFERROR(VLOOKUP(Tabla2[[#This Row],[CODIGO]],Tabla1[],6,0),"")</f>
        <v>UNI</v>
      </c>
      <c r="H231" s="26">
        <f>IFERROR(VLOOKUP(Tabla2[[#This Row],[CODIGO]],Tabla1[],10,0),"")</f>
        <v>32</v>
      </c>
      <c r="I231" s="7">
        <v>-1</v>
      </c>
      <c r="J231" s="29" t="s">
        <v>321</v>
      </c>
      <c r="K231" s="26" t="str">
        <f>IFERROR(VLOOKUP(Tabla2[[#This Row],[CODIGO]],Tabla1[],11,0),"")</f>
        <v>COMPRA</v>
      </c>
      <c r="L231" s="67" t="s">
        <v>250</v>
      </c>
      <c r="M231" s="67" t="s">
        <v>265</v>
      </c>
      <c r="N231" s="70">
        <v>4</v>
      </c>
      <c r="O231" s="70">
        <f>Tabla2[[#This Row],[CANTIDAD]]*Tabla2[[#This Row],[PREC. UNITARIO]]</f>
        <v>-4</v>
      </c>
      <c r="R231" t="str">
        <f>Tabla2[[#This Row],[QUIEN RECIBE]]&amp;"-"&amp;TEXT(Tabla2[[#This Row],[FECHA]],"dd/mm/yyyy")</f>
        <v>ORDOÑEZ CONDORI, GILBERTO -22/09/2025</v>
      </c>
    </row>
    <row r="232" spans="2:18" ht="20.45" hidden="1" customHeight="1" x14ac:dyDescent="0.25">
      <c r="B232" s="5">
        <v>45922</v>
      </c>
      <c r="C232" s="2" t="str">
        <f>IFERROR(_xlfn.XLOOKUP(Tabla2[[#This Row],[PRODUCTO]],Tabla1[PRODUCTO],Tabla1[CODIGO]),"")</f>
        <v>IS-21</v>
      </c>
      <c r="D232" s="31" t="s">
        <v>70</v>
      </c>
      <c r="E232" s="31" t="str">
        <f>IFERROR(VLOOKUP(Tabla2[[#This Row],[CODIGO]],Tabla1[],3,0),"")</f>
        <v>IMPLEMENTOS DE SEGURIDAD</v>
      </c>
      <c r="F232" s="28" t="str">
        <f>IFERROR(VLOOKUP(Tabla2[[#This Row],[CODIGO]],Tabla1[],5,0),"")</f>
        <v>ALMACEN TICAPAMPA</v>
      </c>
      <c r="G232" s="26" t="str">
        <f>IFERROR(VLOOKUP(Tabla2[[#This Row],[CODIGO]],Tabla1[],6,0),"")</f>
        <v>UNI</v>
      </c>
      <c r="H232" s="26">
        <f>IFERROR(VLOOKUP(Tabla2[[#This Row],[CODIGO]],Tabla1[],10,0),"")</f>
        <v>13</v>
      </c>
      <c r="I232" s="7">
        <v>-1</v>
      </c>
      <c r="J232" s="29" t="s">
        <v>321</v>
      </c>
      <c r="K232" s="26" t="str">
        <f>IFERROR(VLOOKUP(Tabla2[[#This Row],[CODIGO]],Tabla1[],11,0),"")</f>
        <v>COMPRA</v>
      </c>
      <c r="L232" s="67" t="s">
        <v>472</v>
      </c>
      <c r="M232" s="67" t="s">
        <v>265</v>
      </c>
      <c r="N232" s="70">
        <v>6.5</v>
      </c>
      <c r="O232" s="70">
        <f>Tabla2[[#This Row],[CANTIDAD]]*Tabla2[[#This Row],[PREC. UNITARIO]]</f>
        <v>-6.5</v>
      </c>
      <c r="R232" t="str">
        <f>Tabla2[[#This Row],[QUIEN RECIBE]]&amp;"-"&amp;TEXT(Tabla2[[#This Row],[FECHA]],"dd/mm/yyyy")</f>
        <v>ORDOÑEZ CONDORI, GILBERTO -22/09/2025</v>
      </c>
    </row>
    <row r="233" spans="2:18" ht="20.45" hidden="1" customHeight="1" x14ac:dyDescent="0.25">
      <c r="B233" s="5">
        <v>45922</v>
      </c>
      <c r="C233" s="2" t="str">
        <f>IFERROR(_xlfn.XLOOKUP(Tabla2[[#This Row],[PRODUCTO]],Tabla1[PRODUCTO],Tabla1[CODIGO]),"")</f>
        <v>IS-2</v>
      </c>
      <c r="D233" s="31" t="s">
        <v>52</v>
      </c>
      <c r="E233" s="31" t="str">
        <f>IFERROR(VLOOKUP(Tabla2[[#This Row],[CODIGO]],Tabla1[],3,0),"")</f>
        <v>IMPLEMENTOS DE SEGURIDAD</v>
      </c>
      <c r="F233" s="28" t="str">
        <f>IFERROR(VLOOKUP(Tabla2[[#This Row],[CODIGO]],Tabla1[],5,0),"")</f>
        <v>ALMACEN TICAPAMPA</v>
      </c>
      <c r="G233" s="26" t="str">
        <f>IFERROR(VLOOKUP(Tabla2[[#This Row],[CODIGO]],Tabla1[],6,0),"")</f>
        <v>UNI</v>
      </c>
      <c r="H233" s="26">
        <f>IFERROR(VLOOKUP(Tabla2[[#This Row],[CODIGO]],Tabla1[],10,0),"")</f>
        <v>5</v>
      </c>
      <c r="I233" s="7">
        <v>-1</v>
      </c>
      <c r="J233" s="29" t="s">
        <v>321</v>
      </c>
      <c r="K233" s="26" t="str">
        <f>IFERROR(VLOOKUP(Tabla2[[#This Row],[CODIGO]],Tabla1[],11,0),"")</f>
        <v>COMPRA</v>
      </c>
      <c r="L233" s="67" t="s">
        <v>250</v>
      </c>
      <c r="M233" s="67" t="s">
        <v>323</v>
      </c>
      <c r="N233" s="70">
        <v>45</v>
      </c>
      <c r="O233" s="70">
        <f>Tabla2[[#This Row],[CANTIDAD]]*Tabla2[[#This Row],[PREC. UNITARIO]]</f>
        <v>-45</v>
      </c>
      <c r="R233" t="str">
        <f>Tabla2[[#This Row],[QUIEN RECIBE]]&amp;"-"&amp;TEXT(Tabla2[[#This Row],[FECHA]],"dd/mm/yyyy")</f>
        <v>TUANAMA PILCO, CRHIS-22/09/2025</v>
      </c>
    </row>
    <row r="234" spans="2:18" ht="20.45" hidden="1" customHeight="1" x14ac:dyDescent="0.25">
      <c r="B234" s="5">
        <v>45922</v>
      </c>
      <c r="C234" s="2" t="str">
        <f>IFERROR(_xlfn.XLOOKUP(Tabla2[[#This Row],[PRODUCTO]],Tabla1[PRODUCTO],Tabla1[CODIGO]),"")</f>
        <v>IS-36</v>
      </c>
      <c r="D234" s="31" t="s">
        <v>300</v>
      </c>
      <c r="E234" s="31" t="str">
        <f>IFERROR(VLOOKUP(Tabla2[[#This Row],[CODIGO]],Tabla1[],3,0),"")</f>
        <v>IMPLEMENTOS DE SEGURIDAD</v>
      </c>
      <c r="F234" s="28" t="str">
        <f>IFERROR(VLOOKUP(Tabla2[[#This Row],[CODIGO]],Tabla1[],5,0),"")</f>
        <v>ALMACEN TICAPAMPA</v>
      </c>
      <c r="G234" s="26" t="str">
        <f>IFERROR(VLOOKUP(Tabla2[[#This Row],[CODIGO]],Tabla1[],6,0),"")</f>
        <v>UNI</v>
      </c>
      <c r="H234" s="26">
        <f>IFERROR(VLOOKUP(Tabla2[[#This Row],[CODIGO]],Tabla1[],10,0),"")</f>
        <v>4</v>
      </c>
      <c r="I234" s="7">
        <v>-2</v>
      </c>
      <c r="J234" s="29" t="s">
        <v>321</v>
      </c>
      <c r="K234" s="26" t="str">
        <f>IFERROR(VLOOKUP(Tabla2[[#This Row],[CODIGO]],Tabla1[],11,0),"")</f>
        <v>COMPRA</v>
      </c>
      <c r="L234" s="67" t="s">
        <v>250</v>
      </c>
      <c r="M234" s="67" t="s">
        <v>323</v>
      </c>
      <c r="N234" s="70"/>
      <c r="O234" s="70">
        <f>Tabla2[[#This Row],[CANTIDAD]]*Tabla2[[#This Row],[PREC. UNITARIO]]</f>
        <v>0</v>
      </c>
      <c r="R234" t="str">
        <f>Tabla2[[#This Row],[QUIEN RECIBE]]&amp;"-"&amp;TEXT(Tabla2[[#This Row],[FECHA]],"dd/mm/yyyy")</f>
        <v>TUANAMA PILCO, CRHIS-22/09/2025</v>
      </c>
    </row>
    <row r="235" spans="2:18" ht="20.45" hidden="1" customHeight="1" x14ac:dyDescent="0.25">
      <c r="B235" s="5">
        <v>45922</v>
      </c>
      <c r="C235" s="2" t="str">
        <f>IFERROR(_xlfn.XLOOKUP(Tabla2[[#This Row],[PRODUCTO]],Tabla1[PRODUCTO],Tabla1[CODIGO]),"")</f>
        <v>IS-31</v>
      </c>
      <c r="D235" s="31" t="s">
        <v>82</v>
      </c>
      <c r="E235" s="31" t="str">
        <f>IFERROR(VLOOKUP(Tabla2[[#This Row],[CODIGO]],Tabla1[],3,0),"")</f>
        <v>IMPLEMENTOS DE SEGURIDAD</v>
      </c>
      <c r="F235" s="28" t="str">
        <f>IFERROR(VLOOKUP(Tabla2[[#This Row],[CODIGO]],Tabla1[],5,0),"")</f>
        <v>ALMACEN TICAPAMPA</v>
      </c>
      <c r="G235" s="26" t="str">
        <f>IFERROR(VLOOKUP(Tabla2[[#This Row],[CODIGO]],Tabla1[],6,0),"")</f>
        <v>UNI</v>
      </c>
      <c r="H235" s="26">
        <f>IFERROR(VLOOKUP(Tabla2[[#This Row],[CODIGO]],Tabla1[],10,0),"")</f>
        <v>0</v>
      </c>
      <c r="I235" s="7">
        <v>-1</v>
      </c>
      <c r="J235" s="29" t="s">
        <v>319</v>
      </c>
      <c r="K235" s="26" t="str">
        <f>IFERROR(VLOOKUP(Tabla2[[#This Row],[CODIGO]],Tabla1[],11,0),"")</f>
        <v>COMPRA</v>
      </c>
      <c r="L235" s="67" t="s">
        <v>472</v>
      </c>
      <c r="M235" s="67" t="s">
        <v>323</v>
      </c>
      <c r="N235" s="70">
        <v>22</v>
      </c>
      <c r="O235" s="70">
        <f>Tabla2[[#This Row],[CANTIDAD]]*Tabla2[[#This Row],[PREC. UNITARIO]]</f>
        <v>-22</v>
      </c>
      <c r="R235" t="str">
        <f>Tabla2[[#This Row],[QUIEN RECIBE]]&amp;"-"&amp;TEXT(Tabla2[[#This Row],[FECHA]],"dd/mm/yyyy")</f>
        <v>TUANAMA PILCO, CRHIS-22/09/2025</v>
      </c>
    </row>
    <row r="236" spans="2:18" ht="20.45" hidden="1" customHeight="1" x14ac:dyDescent="0.25">
      <c r="B236" s="5">
        <v>45922</v>
      </c>
      <c r="C236" s="2" t="str">
        <f>IFERROR(_xlfn.XLOOKUP(Tabla2[[#This Row],[PRODUCTO]],Tabla1[PRODUCTO],Tabla1[CODIGO]),"")</f>
        <v>IS-15</v>
      </c>
      <c r="D236" s="31" t="s">
        <v>64</v>
      </c>
      <c r="E236" s="31" t="str">
        <f>IFERROR(VLOOKUP(Tabla2[[#This Row],[CODIGO]],Tabla1[],3,0),"")</f>
        <v>IMPLEMENTOS DE SEGURIDAD</v>
      </c>
      <c r="F236" s="28" t="str">
        <f>IFERROR(VLOOKUP(Tabla2[[#This Row],[CODIGO]],Tabla1[],5,0),"")</f>
        <v>ALMACEN TICAPAMPA</v>
      </c>
      <c r="G236" s="26" t="str">
        <f>IFERROR(VLOOKUP(Tabla2[[#This Row],[CODIGO]],Tabla1[],6,0),"")</f>
        <v>PAR</v>
      </c>
      <c r="H236" s="26">
        <f>IFERROR(VLOOKUP(Tabla2[[#This Row],[CODIGO]],Tabla1[],10,0),"")</f>
        <v>0</v>
      </c>
      <c r="I236" s="7">
        <v>-1</v>
      </c>
      <c r="J236" s="29" t="s">
        <v>321</v>
      </c>
      <c r="K236" s="26" t="str">
        <f>IFERROR(VLOOKUP(Tabla2[[#This Row],[CODIGO]],Tabla1[],11,0),"")</f>
        <v>COMPRA</v>
      </c>
      <c r="L236" s="67" t="s">
        <v>250</v>
      </c>
      <c r="M236" s="67" t="s">
        <v>323</v>
      </c>
      <c r="N236" s="70">
        <v>63</v>
      </c>
      <c r="O236" s="70">
        <f>Tabla2[[#This Row],[CANTIDAD]]*Tabla2[[#This Row],[PREC. UNITARIO]]</f>
        <v>-63</v>
      </c>
      <c r="R236" t="str">
        <f>Tabla2[[#This Row],[QUIEN RECIBE]]&amp;"-"&amp;TEXT(Tabla2[[#This Row],[FECHA]],"dd/mm/yyyy")</f>
        <v>TUANAMA PILCO, CRHIS-22/09/2025</v>
      </c>
    </row>
    <row r="237" spans="2:18" ht="20.45" hidden="1" customHeight="1" x14ac:dyDescent="0.25">
      <c r="B237" s="5">
        <v>45922</v>
      </c>
      <c r="C237" s="2" t="str">
        <f>IFERROR(_xlfn.XLOOKUP(Tabla2[[#This Row],[PRODUCTO]],Tabla1[PRODUCTO],Tabla1[CODIGO]),"")</f>
        <v>IS-30</v>
      </c>
      <c r="D237" s="31" t="s">
        <v>81</v>
      </c>
      <c r="E237" s="31" t="str">
        <f>IFERROR(VLOOKUP(Tabla2[[#This Row],[CODIGO]],Tabla1[],3,0),"")</f>
        <v>IMPLEMENTOS DE SEGURIDAD</v>
      </c>
      <c r="F237" s="28" t="str">
        <f>IFERROR(VLOOKUP(Tabla2[[#This Row],[CODIGO]],Tabla1[],5,0),"")</f>
        <v>ALMACEN TICAPAMPA</v>
      </c>
      <c r="G237" s="26" t="str">
        <f>IFERROR(VLOOKUP(Tabla2[[#This Row],[CODIGO]],Tabla1[],6,0),"")</f>
        <v>UNI</v>
      </c>
      <c r="H237" s="26">
        <f>IFERROR(VLOOKUP(Tabla2[[#This Row],[CODIGO]],Tabla1[],10,0),"")</f>
        <v>99</v>
      </c>
      <c r="I237" s="7">
        <v>-1</v>
      </c>
      <c r="J237" s="29" t="s">
        <v>321</v>
      </c>
      <c r="K237" s="26" t="str">
        <f>IFERROR(VLOOKUP(Tabla2[[#This Row],[CODIGO]],Tabla1[],11,0),"")</f>
        <v>COMPRA</v>
      </c>
      <c r="L237" s="67" t="s">
        <v>250</v>
      </c>
      <c r="M237" s="67" t="s">
        <v>323</v>
      </c>
      <c r="N237" s="70">
        <v>8</v>
      </c>
      <c r="O237" s="70">
        <f>Tabla2[[#This Row],[CANTIDAD]]*Tabla2[[#This Row],[PREC. UNITARIO]]</f>
        <v>-8</v>
      </c>
      <c r="R237" t="str">
        <f>Tabla2[[#This Row],[QUIEN RECIBE]]&amp;"-"&amp;TEXT(Tabla2[[#This Row],[FECHA]],"dd/mm/yyyy")</f>
        <v>TUANAMA PILCO, CRHIS-22/09/2025</v>
      </c>
    </row>
    <row r="238" spans="2:18" ht="20.45" hidden="1" customHeight="1" x14ac:dyDescent="0.25">
      <c r="B238" s="5">
        <v>45922</v>
      </c>
      <c r="C238" s="2" t="str">
        <f>IFERROR(_xlfn.XLOOKUP(Tabla2[[#This Row],[PRODUCTO]],Tabla1[PRODUCTO],Tabla1[CODIGO]),"")</f>
        <v>IS-28</v>
      </c>
      <c r="D238" s="31" t="s">
        <v>79</v>
      </c>
      <c r="E238" s="31" t="str">
        <f>IFERROR(VLOOKUP(Tabla2[[#This Row],[CODIGO]],Tabla1[],3,0),"")</f>
        <v>IMPLEMENTOS DE SEGURIDAD</v>
      </c>
      <c r="F238" s="28" t="str">
        <f>IFERROR(VLOOKUP(Tabla2[[#This Row],[CODIGO]],Tabla1[],5,0),"")</f>
        <v>ALMACEN TICAPAMPA</v>
      </c>
      <c r="G238" s="26" t="str">
        <f>IFERROR(VLOOKUP(Tabla2[[#This Row],[CODIGO]],Tabla1[],6,0),"")</f>
        <v>UNI</v>
      </c>
      <c r="H238" s="26">
        <f>IFERROR(VLOOKUP(Tabla2[[#This Row],[CODIGO]],Tabla1[],10,0),"")</f>
        <v>32</v>
      </c>
      <c r="I238" s="7">
        <v>-1</v>
      </c>
      <c r="J238" s="29" t="s">
        <v>321</v>
      </c>
      <c r="K238" s="26" t="str">
        <f>IFERROR(VLOOKUP(Tabla2[[#This Row],[CODIGO]],Tabla1[],11,0),"")</f>
        <v>COMPRA</v>
      </c>
      <c r="L238" s="67" t="s">
        <v>250</v>
      </c>
      <c r="M238" s="67" t="s">
        <v>323</v>
      </c>
      <c r="N238" s="70">
        <v>4</v>
      </c>
      <c r="O238" s="70">
        <f>Tabla2[[#This Row],[CANTIDAD]]*Tabla2[[#This Row],[PREC. UNITARIO]]</f>
        <v>-4</v>
      </c>
      <c r="R238" t="str">
        <f>Tabla2[[#This Row],[QUIEN RECIBE]]&amp;"-"&amp;TEXT(Tabla2[[#This Row],[FECHA]],"dd/mm/yyyy")</f>
        <v>TUANAMA PILCO, CRHIS-22/09/2025</v>
      </c>
    </row>
    <row r="239" spans="2:18" ht="20.45" hidden="1" customHeight="1" x14ac:dyDescent="0.25">
      <c r="B239" s="5">
        <v>45922</v>
      </c>
      <c r="C239" s="2" t="str">
        <f>IFERROR(_xlfn.XLOOKUP(Tabla2[[#This Row],[PRODUCTO]],Tabla1[PRODUCTO],Tabla1[CODIGO]),"")</f>
        <v>IS-21</v>
      </c>
      <c r="D239" s="31" t="s">
        <v>70</v>
      </c>
      <c r="E239" s="31" t="str">
        <f>IFERROR(VLOOKUP(Tabla2[[#This Row],[CODIGO]],Tabla1[],3,0),"")</f>
        <v>IMPLEMENTOS DE SEGURIDAD</v>
      </c>
      <c r="F239" s="28" t="str">
        <f>IFERROR(VLOOKUP(Tabla2[[#This Row],[CODIGO]],Tabla1[],5,0),"")</f>
        <v>ALMACEN TICAPAMPA</v>
      </c>
      <c r="G239" s="26" t="str">
        <f>IFERROR(VLOOKUP(Tabla2[[#This Row],[CODIGO]],Tabla1[],6,0),"")</f>
        <v>UNI</v>
      </c>
      <c r="H239" s="26">
        <f>IFERROR(VLOOKUP(Tabla2[[#This Row],[CODIGO]],Tabla1[],10,0),"")</f>
        <v>13</v>
      </c>
      <c r="I239" s="7">
        <v>-1</v>
      </c>
      <c r="J239" s="29" t="s">
        <v>321</v>
      </c>
      <c r="K239" s="26" t="str">
        <f>IFERROR(VLOOKUP(Tabla2[[#This Row],[CODIGO]],Tabla1[],11,0),"")</f>
        <v>COMPRA</v>
      </c>
      <c r="L239" s="67" t="s">
        <v>472</v>
      </c>
      <c r="M239" s="67" t="s">
        <v>323</v>
      </c>
      <c r="N239" s="70">
        <v>6.5</v>
      </c>
      <c r="O239" s="70">
        <f>Tabla2[[#This Row],[CANTIDAD]]*Tabla2[[#This Row],[PREC. UNITARIO]]</f>
        <v>-6.5</v>
      </c>
      <c r="R239" t="str">
        <f>Tabla2[[#This Row],[QUIEN RECIBE]]&amp;"-"&amp;TEXT(Tabla2[[#This Row],[FECHA]],"dd/mm/yyyy")</f>
        <v>TUANAMA PILCO, CRHIS-22/09/2025</v>
      </c>
    </row>
    <row r="240" spans="2:18" ht="20.45" hidden="1" customHeight="1" x14ac:dyDescent="0.25">
      <c r="B240" s="5">
        <v>45922</v>
      </c>
      <c r="C240" s="2" t="str">
        <f>IFERROR(_xlfn.XLOOKUP(Tabla2[[#This Row],[PRODUCTO]],Tabla1[PRODUCTO],Tabla1[CODIGO]),"")</f>
        <v>IS-14</v>
      </c>
      <c r="D240" s="31" t="s">
        <v>271</v>
      </c>
      <c r="E240" s="31" t="str">
        <f>IFERROR(VLOOKUP(Tabla2[[#This Row],[CODIGO]],Tabla1[],3,0),"")</f>
        <v>IMPLEMENTOS DE SEGURIDAD</v>
      </c>
      <c r="F240" s="28" t="str">
        <f>IFERROR(VLOOKUP(Tabla2[[#This Row],[CODIGO]],Tabla1[],5,0),"")</f>
        <v>ALMACEN TICAPAMPA</v>
      </c>
      <c r="G240" s="26" t="str">
        <f>IFERROR(VLOOKUP(Tabla2[[#This Row],[CODIGO]],Tabla1[],6,0),"")</f>
        <v>UNI</v>
      </c>
      <c r="H240" s="26">
        <f>IFERROR(VLOOKUP(Tabla2[[#This Row],[CODIGO]],Tabla1[],10,0),"")</f>
        <v>1</v>
      </c>
      <c r="I240" s="7">
        <v>-1</v>
      </c>
      <c r="J240" s="29" t="s">
        <v>321</v>
      </c>
      <c r="K240" s="26" t="str">
        <f>IFERROR(VLOOKUP(Tabla2[[#This Row],[CODIGO]],Tabla1[],11,0),"")</f>
        <v>COMPRA</v>
      </c>
      <c r="L240" s="67" t="s">
        <v>250</v>
      </c>
      <c r="M240" s="67" t="s">
        <v>323</v>
      </c>
      <c r="N240" s="70">
        <v>4</v>
      </c>
      <c r="O240" s="70">
        <f>Tabla2[[#This Row],[CANTIDAD]]*Tabla2[[#This Row],[PREC. UNITARIO]]</f>
        <v>-4</v>
      </c>
      <c r="R240" t="str">
        <f>Tabla2[[#This Row],[QUIEN RECIBE]]&amp;"-"&amp;TEXT(Tabla2[[#This Row],[FECHA]],"dd/mm/yyyy")</f>
        <v>TUANAMA PILCO, CRHIS-22/09/2025</v>
      </c>
    </row>
    <row r="241" spans="2:18" ht="20.45" hidden="1" customHeight="1" x14ac:dyDescent="0.25">
      <c r="B241" s="5">
        <v>45922</v>
      </c>
      <c r="C241" s="2" t="str">
        <f>IFERROR(_xlfn.XLOOKUP(Tabla2[[#This Row],[PRODUCTO]],Tabla1[PRODUCTO],Tabla1[CODIGO]),"")</f>
        <v>IS-33</v>
      </c>
      <c r="D241" s="31" t="s">
        <v>84</v>
      </c>
      <c r="E241" s="31" t="str">
        <f>IFERROR(VLOOKUP(Tabla2[[#This Row],[CODIGO]],Tabla1[],3,0),"")</f>
        <v>IMPLEMENTOS DE SEGURIDAD</v>
      </c>
      <c r="F241" s="28" t="str">
        <f>IFERROR(VLOOKUP(Tabla2[[#This Row],[CODIGO]],Tabla1[],5,0),"")</f>
        <v>ALMACEN TICAPAMPA</v>
      </c>
      <c r="G241" s="26" t="str">
        <f>IFERROR(VLOOKUP(Tabla2[[#This Row],[CODIGO]],Tabla1[],6,0),"")</f>
        <v>UNI</v>
      </c>
      <c r="H241" s="26">
        <f>IFERROR(VLOOKUP(Tabla2[[#This Row],[CODIGO]],Tabla1[],10,0),"")</f>
        <v>1</v>
      </c>
      <c r="I241" s="7">
        <v>-1</v>
      </c>
      <c r="J241" s="29" t="s">
        <v>321</v>
      </c>
      <c r="K241" s="26" t="str">
        <f>IFERROR(VLOOKUP(Tabla2[[#This Row],[CODIGO]],Tabla1[],11,0),"")</f>
        <v>COMPRA</v>
      </c>
      <c r="L241" s="67" t="s">
        <v>472</v>
      </c>
      <c r="M241" s="67" t="s">
        <v>299</v>
      </c>
      <c r="N241" s="70">
        <v>22</v>
      </c>
      <c r="O241" s="70">
        <f>Tabla2[[#This Row],[CANTIDAD]]*Tabla2[[#This Row],[PREC. UNITARIO]]</f>
        <v>-22</v>
      </c>
      <c r="R241" t="str">
        <f>Tabla2[[#This Row],[QUIEN RECIBE]]&amp;"-"&amp;TEXT(Tabla2[[#This Row],[FECHA]],"dd/mm/yyyy")</f>
        <v>VILLEGAS ROGER-22/09/2025</v>
      </c>
    </row>
    <row r="242" spans="2:18" ht="20.45" hidden="1" customHeight="1" x14ac:dyDescent="0.25">
      <c r="B242" s="5">
        <v>45922</v>
      </c>
      <c r="C242" s="2" t="str">
        <f>IFERROR(_xlfn.XLOOKUP(Tabla2[[#This Row],[PRODUCTO]],Tabla1[PRODUCTO],Tabla1[CODIGO]),"")</f>
        <v>HM-3</v>
      </c>
      <c r="D242" s="31" t="s">
        <v>294</v>
      </c>
      <c r="E242" s="31" t="str">
        <f>IFERROR(VLOOKUP(Tabla2[[#This Row],[CODIGO]],Tabla1[],3,0),"")</f>
        <v>HERRAMIENTAS</v>
      </c>
      <c r="F242" s="28" t="str">
        <f>IFERROR(VLOOKUP(Tabla2[[#This Row],[CODIGO]],Tabla1[],5,0),"")</f>
        <v>ALMACEN TICAPAMPA</v>
      </c>
      <c r="G242" s="26" t="str">
        <f>IFERROR(VLOOKUP(Tabla2[[#This Row],[CODIGO]],Tabla1[],6,0),"")</f>
        <v>UNI</v>
      </c>
      <c r="H242" s="26">
        <f>IFERROR(VLOOKUP(Tabla2[[#This Row],[CODIGO]],Tabla1[],10,0),"")</f>
        <v>0</v>
      </c>
      <c r="I242" s="7">
        <v>-3</v>
      </c>
      <c r="J242" s="29" t="s">
        <v>278</v>
      </c>
      <c r="K242" s="26" t="str">
        <f>IFERROR(VLOOKUP(Tabla2[[#This Row],[CODIGO]],Tabla1[],11,0),"")</f>
        <v>COMPRA</v>
      </c>
      <c r="L242" s="67" t="s">
        <v>236</v>
      </c>
      <c r="M242" s="67" t="s">
        <v>244</v>
      </c>
      <c r="N242" s="70"/>
      <c r="O242" s="70">
        <f>Tabla2[[#This Row],[CANTIDAD]]*Tabla2[[#This Row],[PREC. UNITARIO]]</f>
        <v>0</v>
      </c>
      <c r="R242" t="str">
        <f>Tabla2[[#This Row],[QUIEN RECIBE]]&amp;"-"&amp;TEXT(Tabla2[[#This Row],[FECHA]],"dd/mm/yyyy")</f>
        <v>CORDOVA ANGULO, JUAN-22/09/2025</v>
      </c>
    </row>
    <row r="243" spans="2:18" ht="20.45" hidden="1" customHeight="1" x14ac:dyDescent="0.25">
      <c r="B243" s="5">
        <v>45923</v>
      </c>
      <c r="C243" s="2" t="str">
        <f>IFERROR(_xlfn.XLOOKUP(Tabla2[[#This Row],[PRODUCTO]],Tabla1[PRODUCTO],Tabla1[CODIGO]),"")</f>
        <v>HM-3</v>
      </c>
      <c r="D243" s="31" t="s">
        <v>294</v>
      </c>
      <c r="E243" s="31" t="str">
        <f>IFERROR(VLOOKUP(Tabla2[[#This Row],[CODIGO]],Tabla1[],3,0),"")</f>
        <v>HERRAMIENTAS</v>
      </c>
      <c r="F243" s="28" t="str">
        <f>IFERROR(VLOOKUP(Tabla2[[#This Row],[CODIGO]],Tabla1[],5,0),"")</f>
        <v>ALMACEN TICAPAMPA</v>
      </c>
      <c r="G243" s="26" t="str">
        <f>IFERROR(VLOOKUP(Tabla2[[#This Row],[CODIGO]],Tabla1[],6,0),"")</f>
        <v>UNI</v>
      </c>
      <c r="H243" s="26">
        <f>IFERROR(VLOOKUP(Tabla2[[#This Row],[CODIGO]],Tabla1[],10,0),"")</f>
        <v>0</v>
      </c>
      <c r="I243" s="7">
        <v>-8</v>
      </c>
      <c r="J243" s="29" t="s">
        <v>278</v>
      </c>
      <c r="K243" s="26" t="str">
        <f>IFERROR(VLOOKUP(Tabla2[[#This Row],[CODIGO]],Tabla1[],11,0),"")</f>
        <v>COMPRA</v>
      </c>
      <c r="L243" s="67" t="s">
        <v>236</v>
      </c>
      <c r="M243" s="67" t="s">
        <v>244</v>
      </c>
      <c r="N243" s="70"/>
      <c r="O243" s="70">
        <f>Tabla2[[#This Row],[CANTIDAD]]*Tabla2[[#This Row],[PREC. UNITARIO]]</f>
        <v>0</v>
      </c>
      <c r="R243" t="str">
        <f>Tabla2[[#This Row],[QUIEN RECIBE]]&amp;"-"&amp;TEXT(Tabla2[[#This Row],[FECHA]],"dd/mm/yyyy")</f>
        <v>CORDOVA ANGULO, JUAN-23/09/2025</v>
      </c>
    </row>
    <row r="244" spans="2:18" ht="20.45" hidden="1" customHeight="1" x14ac:dyDescent="0.25">
      <c r="B244" s="5">
        <v>45923</v>
      </c>
      <c r="C244" s="2" t="str">
        <f>IFERROR(_xlfn.XLOOKUP(Tabla2[[#This Row],[PRODUCTO]],Tabla1[PRODUCTO],Tabla1[CODIGO]),"")</f>
        <v>HM-3</v>
      </c>
      <c r="D244" s="31" t="s">
        <v>294</v>
      </c>
      <c r="E244" s="31" t="str">
        <f>IFERROR(VLOOKUP(Tabla2[[#This Row],[CODIGO]],Tabla1[],3,0),"")</f>
        <v>HERRAMIENTAS</v>
      </c>
      <c r="F244" s="28" t="str">
        <f>IFERROR(VLOOKUP(Tabla2[[#This Row],[CODIGO]],Tabla1[],5,0),"")</f>
        <v>ALMACEN TICAPAMPA</v>
      </c>
      <c r="G244" s="26" t="str">
        <f>IFERROR(VLOOKUP(Tabla2[[#This Row],[CODIGO]],Tabla1[],6,0),"")</f>
        <v>UNI</v>
      </c>
      <c r="H244" s="26">
        <f>IFERROR(VLOOKUP(Tabla2[[#This Row],[CODIGO]],Tabla1[],10,0),"")</f>
        <v>0</v>
      </c>
      <c r="I244" s="7">
        <v>-1</v>
      </c>
      <c r="J244" s="29" t="s">
        <v>334</v>
      </c>
      <c r="K244" s="26" t="str">
        <f>IFERROR(VLOOKUP(Tabla2[[#This Row],[CODIGO]],Tabla1[],11,0),"")</f>
        <v>COMPRA</v>
      </c>
      <c r="L244" s="67" t="s">
        <v>236</v>
      </c>
      <c r="M244" s="67" t="s">
        <v>239</v>
      </c>
      <c r="N244" s="70"/>
      <c r="O244" s="70">
        <f>Tabla2[[#This Row],[CANTIDAD]]*Tabla2[[#This Row],[PREC. UNITARIO]]</f>
        <v>0</v>
      </c>
      <c r="R244" t="str">
        <f>Tabla2[[#This Row],[QUIEN RECIBE]]&amp;"-"&amp;TEXT(Tabla2[[#This Row],[FECHA]],"dd/mm/yyyy")</f>
        <v>JEREMIAS PALOMINO, NORBERTO LEONCIO-23/09/2025</v>
      </c>
    </row>
    <row r="245" spans="2:18" ht="20.45" hidden="1" customHeight="1" x14ac:dyDescent="0.25">
      <c r="B245" s="5">
        <v>45923</v>
      </c>
      <c r="C245" s="2" t="str">
        <f>IFERROR(_xlfn.XLOOKUP(Tabla2[[#This Row],[PRODUCTO]],Tabla1[PRODUCTO],Tabla1[CODIGO]),"")</f>
        <v>HM-11</v>
      </c>
      <c r="D245" s="31" t="s">
        <v>337</v>
      </c>
      <c r="E245" s="31" t="str">
        <f>IFERROR(VLOOKUP(Tabla2[[#This Row],[CODIGO]],Tabla1[],3,0),"")</f>
        <v>HERRAMIENTAS</v>
      </c>
      <c r="F245" s="28" t="str">
        <f>IFERROR(VLOOKUP(Tabla2[[#This Row],[CODIGO]],Tabla1[],5,0),"")</f>
        <v>ALMACEN TICAPAMPA</v>
      </c>
      <c r="G245" s="26" t="str">
        <f>IFERROR(VLOOKUP(Tabla2[[#This Row],[CODIGO]],Tabla1[],6,0),"")</f>
        <v>UNI</v>
      </c>
      <c r="H245" s="26">
        <f>IFERROR(VLOOKUP(Tabla2[[#This Row],[CODIGO]],Tabla1[],10,0),"")</f>
        <v>5</v>
      </c>
      <c r="I245" s="7">
        <v>5</v>
      </c>
      <c r="J245" s="29" t="s">
        <v>320</v>
      </c>
      <c r="K245" s="26" t="str">
        <f>IFERROR(VLOOKUP(Tabla2[[#This Row],[CODIGO]],Tabla1[],11,0),"")</f>
        <v>ALMACEN CENTRAL</v>
      </c>
      <c r="L245" s="67"/>
      <c r="M245" s="67"/>
      <c r="N245" s="70"/>
      <c r="O245" s="70">
        <f>Tabla2[[#This Row],[CANTIDAD]]*Tabla2[[#This Row],[PREC. UNITARIO]]</f>
        <v>0</v>
      </c>
      <c r="R245" t="str">
        <f>Tabla2[[#This Row],[QUIEN RECIBE]]&amp;"-"&amp;TEXT(Tabla2[[#This Row],[FECHA]],"dd/mm/yyyy")</f>
        <v>-23/09/2025</v>
      </c>
    </row>
    <row r="246" spans="2:18" ht="20.45" hidden="1" customHeight="1" x14ac:dyDescent="0.25">
      <c r="B246" s="5">
        <v>45917</v>
      </c>
      <c r="C246" s="2" t="str">
        <f>IFERROR(_xlfn.XLOOKUP(Tabla2[[#This Row],[PRODUCTO]],Tabla1[PRODUCTO],Tabla1[CODIGO]),"")</f>
        <v>IS-5</v>
      </c>
      <c r="D246" s="31" t="s">
        <v>55</v>
      </c>
      <c r="E246" s="31" t="str">
        <f>IFERROR(VLOOKUP(Tabla2[[#This Row],[CODIGO]],Tabla1[],3,0),"")</f>
        <v>IMPLEMENTOS DE SEGURIDAD</v>
      </c>
      <c r="F246" s="28" t="str">
        <f>IFERROR(VLOOKUP(Tabla2[[#This Row],[CODIGO]],Tabla1[],5,0),"")</f>
        <v>ALMACEN TICAPAMPA</v>
      </c>
      <c r="G246" s="26" t="str">
        <f>IFERROR(VLOOKUP(Tabla2[[#This Row],[CODIGO]],Tabla1[],6,0),"")</f>
        <v>UNI</v>
      </c>
      <c r="H246" s="26">
        <f>IFERROR(VLOOKUP(Tabla2[[#This Row],[CODIGO]],Tabla1[],10,0),"")</f>
        <v>0</v>
      </c>
      <c r="I246" s="7">
        <v>-1</v>
      </c>
      <c r="J246" s="29" t="s">
        <v>321</v>
      </c>
      <c r="K246" s="26" t="str">
        <f>IFERROR(VLOOKUP(Tabla2[[#This Row],[CODIGO]],Tabla1[],11,0),"")</f>
        <v>COMPRA</v>
      </c>
      <c r="L246" s="67" t="s">
        <v>250</v>
      </c>
      <c r="M246" s="67" t="s">
        <v>256</v>
      </c>
      <c r="N246" s="70">
        <v>45</v>
      </c>
      <c r="O246" s="70">
        <f>Tabla2[[#This Row],[CANTIDAD]]*Tabla2[[#This Row],[PREC. UNITARIO]]</f>
        <v>-45</v>
      </c>
      <c r="R246" t="str">
        <f>Tabla2[[#This Row],[QUIEN RECIBE]]&amp;"-"&amp;TEXT(Tabla2[[#This Row],[FECHA]],"dd/mm/yyyy")</f>
        <v>SILVA BORDA, ARLETTE NINOSKA-17/09/2025</v>
      </c>
    </row>
    <row r="247" spans="2:18" ht="20.45" hidden="1" customHeight="1" x14ac:dyDescent="0.25">
      <c r="B247" s="5">
        <v>45917</v>
      </c>
      <c r="C247" s="2" t="str">
        <f>IFERROR(_xlfn.XLOOKUP(Tabla2[[#This Row],[PRODUCTO]],Tabla1[PRODUCTO],Tabla1[CODIGO]),"")</f>
        <v>IS-11</v>
      </c>
      <c r="D247" s="31" t="s">
        <v>61</v>
      </c>
      <c r="E247" s="31" t="str">
        <f>IFERROR(VLOOKUP(Tabla2[[#This Row],[CODIGO]],Tabla1[],3,0),"")</f>
        <v>IMPLEMENTOS DE SEGURIDAD</v>
      </c>
      <c r="F247" s="28" t="str">
        <f>IFERROR(VLOOKUP(Tabla2[[#This Row],[CODIGO]],Tabla1[],5,0),"")</f>
        <v>ALMACEN TICAPAMPA</v>
      </c>
      <c r="G247" s="26" t="str">
        <f>IFERROR(VLOOKUP(Tabla2[[#This Row],[CODIGO]],Tabla1[],6,0),"")</f>
        <v>UNI</v>
      </c>
      <c r="H247" s="26">
        <f>IFERROR(VLOOKUP(Tabla2[[#This Row],[CODIGO]],Tabla1[],10,0),"")</f>
        <v>0</v>
      </c>
      <c r="I247" s="7">
        <v>-1</v>
      </c>
      <c r="J247" s="29" t="s">
        <v>321</v>
      </c>
      <c r="K247" s="26" t="str">
        <f>IFERROR(VLOOKUP(Tabla2[[#This Row],[CODIGO]],Tabla1[],11,0),"")</f>
        <v>COMPRA</v>
      </c>
      <c r="L247" s="67" t="s">
        <v>472</v>
      </c>
      <c r="M247" s="67" t="s">
        <v>256</v>
      </c>
      <c r="N247" s="70">
        <v>38</v>
      </c>
      <c r="O247" s="70">
        <f>Tabla2[[#This Row],[CANTIDAD]]*Tabla2[[#This Row],[PREC. UNITARIO]]</f>
        <v>-38</v>
      </c>
      <c r="R247" t="str">
        <f>Tabla2[[#This Row],[QUIEN RECIBE]]&amp;"-"&amp;TEXT(Tabla2[[#This Row],[FECHA]],"dd/mm/yyyy")</f>
        <v>SILVA BORDA, ARLETTE NINOSKA-17/09/2025</v>
      </c>
    </row>
    <row r="248" spans="2:18" ht="20.45" hidden="1" customHeight="1" x14ac:dyDescent="0.25">
      <c r="B248" s="5">
        <v>45917</v>
      </c>
      <c r="C248" s="2" t="str">
        <f>IFERROR(_xlfn.XLOOKUP(Tabla2[[#This Row],[PRODUCTO]],Tabla1[PRODUCTO],Tabla1[CODIGO]),"")</f>
        <v>IS-12</v>
      </c>
      <c r="D248" s="31" t="s">
        <v>62</v>
      </c>
      <c r="E248" s="31" t="str">
        <f>IFERROR(VLOOKUP(Tabla2[[#This Row],[CODIGO]],Tabla1[],3,0),"")</f>
        <v>IMPLEMENTOS DE SEGURIDAD</v>
      </c>
      <c r="F248" s="28" t="str">
        <f>IFERROR(VLOOKUP(Tabla2[[#This Row],[CODIGO]],Tabla1[],5,0),"")</f>
        <v>ALMACEN TICAPAMPA</v>
      </c>
      <c r="G248" s="26" t="str">
        <f>IFERROR(VLOOKUP(Tabla2[[#This Row],[CODIGO]],Tabla1[],6,0),"")</f>
        <v>UNI</v>
      </c>
      <c r="H248" s="26">
        <f>IFERROR(VLOOKUP(Tabla2[[#This Row],[CODIGO]],Tabla1[],10,0),"")</f>
        <v>0</v>
      </c>
      <c r="I248" s="7">
        <v>-1</v>
      </c>
      <c r="J248" s="29" t="s">
        <v>321</v>
      </c>
      <c r="K248" s="26" t="str">
        <f>IFERROR(VLOOKUP(Tabla2[[#This Row],[CODIGO]],Tabla1[],11,0),"")</f>
        <v>COMPRA</v>
      </c>
      <c r="L248" s="67" t="s">
        <v>472</v>
      </c>
      <c r="M248" s="67" t="s">
        <v>256</v>
      </c>
      <c r="N248" s="70">
        <v>38</v>
      </c>
      <c r="O248" s="70">
        <f>Tabla2[[#This Row],[CANTIDAD]]*Tabla2[[#This Row],[PREC. UNITARIO]]</f>
        <v>-38</v>
      </c>
      <c r="R248" t="str">
        <f>Tabla2[[#This Row],[QUIEN RECIBE]]&amp;"-"&amp;TEXT(Tabla2[[#This Row],[FECHA]],"dd/mm/yyyy")</f>
        <v>SILVA BORDA, ARLETTE NINOSKA-17/09/2025</v>
      </c>
    </row>
    <row r="249" spans="2:18" ht="20.45" hidden="1" customHeight="1" x14ac:dyDescent="0.25">
      <c r="B249" s="5">
        <v>45917</v>
      </c>
      <c r="C249" s="2" t="str">
        <f>IFERROR(_xlfn.XLOOKUP(Tabla2[[#This Row],[PRODUCTO]],Tabla1[PRODUCTO],Tabla1[CODIGO]),"")</f>
        <v>IS-18</v>
      </c>
      <c r="D249" s="31" t="s">
        <v>67</v>
      </c>
      <c r="E249" s="31" t="str">
        <f>IFERROR(VLOOKUP(Tabla2[[#This Row],[CODIGO]],Tabla1[],3,0),"")</f>
        <v>IMPLEMENTOS DE SEGURIDAD</v>
      </c>
      <c r="F249" s="28" t="str">
        <f>IFERROR(VLOOKUP(Tabla2[[#This Row],[CODIGO]],Tabla1[],5,0),"")</f>
        <v>ALMACEN TICAPAMPA</v>
      </c>
      <c r="G249" s="26" t="str">
        <f>IFERROR(VLOOKUP(Tabla2[[#This Row],[CODIGO]],Tabla1[],6,0),"")</f>
        <v>UNI</v>
      </c>
      <c r="H249" s="26">
        <f>IFERROR(VLOOKUP(Tabla2[[#This Row],[CODIGO]],Tabla1[],10,0),"")</f>
        <v>0</v>
      </c>
      <c r="I249" s="7">
        <v>-1</v>
      </c>
      <c r="J249" s="29" t="s">
        <v>321</v>
      </c>
      <c r="K249" s="26" t="str">
        <f>IFERROR(VLOOKUP(Tabla2[[#This Row],[CODIGO]],Tabla1[],11,0),"")</f>
        <v>COMPRA</v>
      </c>
      <c r="L249" s="67" t="s">
        <v>472</v>
      </c>
      <c r="M249" s="67" t="s">
        <v>256</v>
      </c>
      <c r="N249" s="70">
        <v>45</v>
      </c>
      <c r="O249" s="70">
        <f>Tabla2[[#This Row],[CANTIDAD]]*Tabla2[[#This Row],[PREC. UNITARIO]]</f>
        <v>-45</v>
      </c>
      <c r="R249" t="str">
        <f>Tabla2[[#This Row],[QUIEN RECIBE]]&amp;"-"&amp;TEXT(Tabla2[[#This Row],[FECHA]],"dd/mm/yyyy")</f>
        <v>SILVA BORDA, ARLETTE NINOSKA-17/09/2025</v>
      </c>
    </row>
    <row r="250" spans="2:18" ht="20.45" hidden="1" customHeight="1" x14ac:dyDescent="0.25">
      <c r="B250" s="5">
        <v>45917</v>
      </c>
      <c r="C250" s="2" t="str">
        <f>IFERROR(_xlfn.XLOOKUP(Tabla2[[#This Row],[PRODUCTO]],Tabla1[PRODUCTO],Tabla1[CODIGO]),"")</f>
        <v>IS-8</v>
      </c>
      <c r="D250" s="31" t="s">
        <v>58</v>
      </c>
      <c r="E250" s="31" t="str">
        <f>IFERROR(VLOOKUP(Tabla2[[#This Row],[CODIGO]],Tabla1[],3,0),"")</f>
        <v>IMPLEMENTOS DE SEGURIDAD</v>
      </c>
      <c r="F250" s="28" t="str">
        <f>IFERROR(VLOOKUP(Tabla2[[#This Row],[CODIGO]],Tabla1[],5,0),"")</f>
        <v>ALMACEN TICAPAMPA</v>
      </c>
      <c r="G250" s="26" t="str">
        <f>IFERROR(VLOOKUP(Tabla2[[#This Row],[CODIGO]],Tabla1[],6,0),"")</f>
        <v>UNI</v>
      </c>
      <c r="H250" s="26">
        <f>IFERROR(VLOOKUP(Tabla2[[#This Row],[CODIGO]],Tabla1[],10,0),"")</f>
        <v>0</v>
      </c>
      <c r="I250" s="7">
        <v>-1</v>
      </c>
      <c r="J250" s="29" t="s">
        <v>321</v>
      </c>
      <c r="K250" s="26" t="str">
        <f>IFERROR(VLOOKUP(Tabla2[[#This Row],[CODIGO]],Tabla1[],11,0),"")</f>
        <v>COMPRA</v>
      </c>
      <c r="L250" s="67" t="s">
        <v>472</v>
      </c>
      <c r="M250" s="67" t="s">
        <v>256</v>
      </c>
      <c r="N250" s="70">
        <v>75</v>
      </c>
      <c r="O250" s="70">
        <f>Tabla2[[#This Row],[CANTIDAD]]*Tabla2[[#This Row],[PREC. UNITARIO]]</f>
        <v>-75</v>
      </c>
      <c r="R250" t="str">
        <f>Tabla2[[#This Row],[QUIEN RECIBE]]&amp;"-"&amp;TEXT(Tabla2[[#This Row],[FECHA]],"dd/mm/yyyy")</f>
        <v>SILVA BORDA, ARLETTE NINOSKA-17/09/2025</v>
      </c>
    </row>
    <row r="251" spans="2:18" ht="20.45" hidden="1" customHeight="1" x14ac:dyDescent="0.25">
      <c r="B251" s="5">
        <v>45917</v>
      </c>
      <c r="C251" s="2" t="str">
        <f>IFERROR(_xlfn.XLOOKUP(Tabla2[[#This Row],[PRODUCTO]],Tabla1[PRODUCTO],Tabla1[CODIGO]),"")</f>
        <v>IS-23</v>
      </c>
      <c r="D251" s="31" t="s">
        <v>75</v>
      </c>
      <c r="E251" s="31" t="str">
        <f>IFERROR(VLOOKUP(Tabla2[[#This Row],[CODIGO]],Tabla1[],3,0),"")</f>
        <v>IMPLEMENTOS DE SEGURIDAD</v>
      </c>
      <c r="F251" s="28" t="str">
        <f>IFERROR(VLOOKUP(Tabla2[[#This Row],[CODIGO]],Tabla1[],5,0),"")</f>
        <v>ALMACEN TICAPAMPA</v>
      </c>
      <c r="G251" s="26" t="str">
        <f>IFERROR(VLOOKUP(Tabla2[[#This Row],[CODIGO]],Tabla1[],6,0),"")</f>
        <v>UNI</v>
      </c>
      <c r="H251" s="26">
        <f>IFERROR(VLOOKUP(Tabla2[[#This Row],[CODIGO]],Tabla1[],10,0),"")</f>
        <v>34</v>
      </c>
      <c r="I251" s="7">
        <v>-1</v>
      </c>
      <c r="J251" s="29" t="s">
        <v>321</v>
      </c>
      <c r="K251" s="26" t="str">
        <f>IFERROR(VLOOKUP(Tabla2[[#This Row],[CODIGO]],Tabla1[],11,0),"")</f>
        <v>COMPRA</v>
      </c>
      <c r="L251" s="67" t="s">
        <v>250</v>
      </c>
      <c r="M251" s="67" t="s">
        <v>256</v>
      </c>
      <c r="N251" s="70">
        <v>4</v>
      </c>
      <c r="O251" s="70">
        <f>Tabla2[[#This Row],[CANTIDAD]]*Tabla2[[#This Row],[PREC. UNITARIO]]</f>
        <v>-4</v>
      </c>
      <c r="R251" t="str">
        <f>Tabla2[[#This Row],[QUIEN RECIBE]]&amp;"-"&amp;TEXT(Tabla2[[#This Row],[FECHA]],"dd/mm/yyyy")</f>
        <v>SILVA BORDA, ARLETTE NINOSKA-17/09/2025</v>
      </c>
    </row>
    <row r="252" spans="2:18" ht="20.45" hidden="1" customHeight="1" x14ac:dyDescent="0.25">
      <c r="B252" s="5">
        <v>45917</v>
      </c>
      <c r="C252" s="2" t="str">
        <f>IFERROR(_xlfn.XLOOKUP(Tabla2[[#This Row],[PRODUCTO]],Tabla1[PRODUCTO],Tabla1[CODIGO]),"")</f>
        <v>IS-28</v>
      </c>
      <c r="D252" s="31" t="s">
        <v>79</v>
      </c>
      <c r="E252" s="31" t="str">
        <f>IFERROR(VLOOKUP(Tabla2[[#This Row],[CODIGO]],Tabla1[],3,0),"")</f>
        <v>IMPLEMENTOS DE SEGURIDAD</v>
      </c>
      <c r="F252" s="28" t="str">
        <f>IFERROR(VLOOKUP(Tabla2[[#This Row],[CODIGO]],Tabla1[],5,0),"")</f>
        <v>ALMACEN TICAPAMPA</v>
      </c>
      <c r="G252" s="26" t="str">
        <f>IFERROR(VLOOKUP(Tabla2[[#This Row],[CODIGO]],Tabla1[],6,0),"")</f>
        <v>UNI</v>
      </c>
      <c r="H252" s="26">
        <f>IFERROR(VLOOKUP(Tabla2[[#This Row],[CODIGO]],Tabla1[],10,0),"")</f>
        <v>32</v>
      </c>
      <c r="I252" s="7">
        <v>-1</v>
      </c>
      <c r="J252" s="29" t="s">
        <v>321</v>
      </c>
      <c r="K252" s="26" t="str">
        <f>IFERROR(VLOOKUP(Tabla2[[#This Row],[CODIGO]],Tabla1[],11,0),"")</f>
        <v>COMPRA</v>
      </c>
      <c r="L252" s="67" t="s">
        <v>250</v>
      </c>
      <c r="M252" s="67" t="s">
        <v>256</v>
      </c>
      <c r="N252" s="70">
        <v>4</v>
      </c>
      <c r="O252" s="70">
        <f>Tabla2[[#This Row],[CANTIDAD]]*Tabla2[[#This Row],[PREC. UNITARIO]]</f>
        <v>-4</v>
      </c>
      <c r="R252" t="str">
        <f>Tabla2[[#This Row],[QUIEN RECIBE]]&amp;"-"&amp;TEXT(Tabla2[[#This Row],[FECHA]],"dd/mm/yyyy")</f>
        <v>SILVA BORDA, ARLETTE NINOSKA-17/09/2025</v>
      </c>
    </row>
    <row r="253" spans="2:18" ht="20.45" hidden="1" customHeight="1" x14ac:dyDescent="0.25">
      <c r="B253" s="5">
        <v>45917</v>
      </c>
      <c r="C253" s="2" t="str">
        <f>IFERROR(_xlfn.XLOOKUP(Tabla2[[#This Row],[PRODUCTO]],Tabla1[PRODUCTO],Tabla1[CODIGO]),"")</f>
        <v>IS-25</v>
      </c>
      <c r="D253" s="31" t="s">
        <v>77</v>
      </c>
      <c r="E253" s="31" t="str">
        <f>IFERROR(VLOOKUP(Tabla2[[#This Row],[CODIGO]],Tabla1[],3,0),"")</f>
        <v>IMPLEMENTOS DE SEGURIDAD</v>
      </c>
      <c r="F253" s="28" t="str">
        <f>IFERROR(VLOOKUP(Tabla2[[#This Row],[CODIGO]],Tabla1[],5,0),"")</f>
        <v>ALMACEN TICAPAMPA</v>
      </c>
      <c r="G253" s="26" t="str">
        <f>IFERROR(VLOOKUP(Tabla2[[#This Row],[CODIGO]],Tabla1[],6,0),"")</f>
        <v>UNI</v>
      </c>
      <c r="H253" s="26">
        <f>IFERROR(VLOOKUP(Tabla2[[#This Row],[CODIGO]],Tabla1[],10,0),"")</f>
        <v>25</v>
      </c>
      <c r="I253" s="7">
        <v>-1</v>
      </c>
      <c r="J253" s="29" t="s">
        <v>321</v>
      </c>
      <c r="K253" s="26" t="str">
        <f>IFERROR(VLOOKUP(Tabla2[[#This Row],[CODIGO]],Tabla1[],11,0),"")</f>
        <v>COMPRA</v>
      </c>
      <c r="L253" s="67" t="s">
        <v>250</v>
      </c>
      <c r="M253" s="67" t="s">
        <v>256</v>
      </c>
      <c r="N253" s="70"/>
      <c r="O253" s="70">
        <f>Tabla2[[#This Row],[CANTIDAD]]*Tabla2[[#This Row],[PREC. UNITARIO]]</f>
        <v>0</v>
      </c>
      <c r="R253" t="str">
        <f>Tabla2[[#This Row],[QUIEN RECIBE]]&amp;"-"&amp;TEXT(Tabla2[[#This Row],[FECHA]],"dd/mm/yyyy")</f>
        <v>SILVA BORDA, ARLETTE NINOSKA-17/09/2025</v>
      </c>
    </row>
    <row r="254" spans="2:18" ht="20.45" hidden="1" customHeight="1" x14ac:dyDescent="0.25">
      <c r="B254" s="5">
        <v>45917</v>
      </c>
      <c r="C254" s="2" t="str">
        <f>IFERROR(_xlfn.XLOOKUP(Tabla2[[#This Row],[PRODUCTO]],Tabla1[PRODUCTO],Tabla1[CODIGO]),"")</f>
        <v>IS-14</v>
      </c>
      <c r="D254" s="31" t="s">
        <v>271</v>
      </c>
      <c r="E254" s="31" t="str">
        <f>IFERROR(VLOOKUP(Tabla2[[#This Row],[CODIGO]],Tabla1[],3,0),"")</f>
        <v>IMPLEMENTOS DE SEGURIDAD</v>
      </c>
      <c r="F254" s="28" t="str">
        <f>IFERROR(VLOOKUP(Tabla2[[#This Row],[CODIGO]],Tabla1[],5,0),"")</f>
        <v>ALMACEN TICAPAMPA</v>
      </c>
      <c r="G254" s="26" t="str">
        <f>IFERROR(VLOOKUP(Tabla2[[#This Row],[CODIGO]],Tabla1[],6,0),"")</f>
        <v>UNI</v>
      </c>
      <c r="H254" s="26">
        <f>IFERROR(VLOOKUP(Tabla2[[#This Row],[CODIGO]],Tabla1[],10,0),"")</f>
        <v>1</v>
      </c>
      <c r="I254" s="7">
        <v>-1</v>
      </c>
      <c r="J254" s="29" t="s">
        <v>321</v>
      </c>
      <c r="K254" s="26" t="str">
        <f>IFERROR(VLOOKUP(Tabla2[[#This Row],[CODIGO]],Tabla1[],11,0),"")</f>
        <v>COMPRA</v>
      </c>
      <c r="L254" s="67" t="s">
        <v>250</v>
      </c>
      <c r="M254" s="67" t="s">
        <v>256</v>
      </c>
      <c r="N254" s="70">
        <v>4</v>
      </c>
      <c r="O254" s="70">
        <f>Tabla2[[#This Row],[CANTIDAD]]*Tabla2[[#This Row],[PREC. UNITARIO]]</f>
        <v>-4</v>
      </c>
      <c r="R254" t="str">
        <f>Tabla2[[#This Row],[QUIEN RECIBE]]&amp;"-"&amp;TEXT(Tabla2[[#This Row],[FECHA]],"dd/mm/yyyy")</f>
        <v>SILVA BORDA, ARLETTE NINOSKA-17/09/2025</v>
      </c>
    </row>
    <row r="255" spans="2:18" ht="20.45" hidden="1" customHeight="1" x14ac:dyDescent="0.25">
      <c r="B255" s="5">
        <v>45917</v>
      </c>
      <c r="C255" s="2" t="str">
        <f>IFERROR(_xlfn.XLOOKUP(Tabla2[[#This Row],[PRODUCTO]],Tabla1[PRODUCTO],Tabla1[CODIGO]),"")</f>
        <v>IS-3</v>
      </c>
      <c r="D255" s="31" t="s">
        <v>53</v>
      </c>
      <c r="E255" s="31" t="str">
        <f>IFERROR(VLOOKUP(Tabla2[[#This Row],[CODIGO]],Tabla1[],3,0),"")</f>
        <v>IMPLEMENTOS DE SEGURIDAD</v>
      </c>
      <c r="F255" s="28" t="str">
        <f>IFERROR(VLOOKUP(Tabla2[[#This Row],[CODIGO]],Tabla1[],5,0),"")</f>
        <v>ALMACEN TICAPAMPA</v>
      </c>
      <c r="G255" s="26" t="str">
        <f>IFERROR(VLOOKUP(Tabla2[[#This Row],[CODIGO]],Tabla1[],6,0),"")</f>
        <v>UNI</v>
      </c>
      <c r="H255" s="26">
        <f>IFERROR(VLOOKUP(Tabla2[[#This Row],[CODIGO]],Tabla1[],10,0),"")</f>
        <v>0</v>
      </c>
      <c r="I255" s="7">
        <v>-1</v>
      </c>
      <c r="J255" s="29" t="s">
        <v>321</v>
      </c>
      <c r="K255" s="26" t="str">
        <f>IFERROR(VLOOKUP(Tabla2[[#This Row],[CODIGO]],Tabla1[],11,0),"")</f>
        <v>COMPRA</v>
      </c>
      <c r="L255" s="67" t="s">
        <v>250</v>
      </c>
      <c r="M255" s="67" t="s">
        <v>253</v>
      </c>
      <c r="N255" s="70">
        <v>45</v>
      </c>
      <c r="O255" s="70">
        <f>Tabla2[[#This Row],[CANTIDAD]]*Tabla2[[#This Row],[PREC. UNITARIO]]</f>
        <v>-45</v>
      </c>
      <c r="R255" t="str">
        <f>Tabla2[[#This Row],[QUIEN RECIBE]]&amp;"-"&amp;TEXT(Tabla2[[#This Row],[FECHA]],"dd/mm/yyyy")</f>
        <v>ALEJO CHARCA, DENNYS MIRIAM-17/09/2025</v>
      </c>
    </row>
    <row r="256" spans="2:18" ht="20.45" hidden="1" customHeight="1" x14ac:dyDescent="0.25">
      <c r="B256" s="5">
        <v>45917</v>
      </c>
      <c r="C256" s="2" t="str">
        <f>IFERROR(_xlfn.XLOOKUP(Tabla2[[#This Row],[PRODUCTO]],Tabla1[PRODUCTO],Tabla1[CODIGO]),"")</f>
        <v>IS-11</v>
      </c>
      <c r="D256" s="31" t="s">
        <v>61</v>
      </c>
      <c r="E256" s="31" t="str">
        <f>IFERROR(VLOOKUP(Tabla2[[#This Row],[CODIGO]],Tabla1[],3,0),"")</f>
        <v>IMPLEMENTOS DE SEGURIDAD</v>
      </c>
      <c r="F256" s="28" t="str">
        <f>IFERROR(VLOOKUP(Tabla2[[#This Row],[CODIGO]],Tabla1[],5,0),"")</f>
        <v>ALMACEN TICAPAMPA</v>
      </c>
      <c r="G256" s="26" t="str">
        <f>IFERROR(VLOOKUP(Tabla2[[#This Row],[CODIGO]],Tabla1[],6,0),"")</f>
        <v>UNI</v>
      </c>
      <c r="H256" s="26">
        <f>IFERROR(VLOOKUP(Tabla2[[#This Row],[CODIGO]],Tabla1[],10,0),"")</f>
        <v>0</v>
      </c>
      <c r="I256" s="7">
        <v>-2</v>
      </c>
      <c r="J256" s="29" t="s">
        <v>321</v>
      </c>
      <c r="K256" s="26" t="str">
        <f>IFERROR(VLOOKUP(Tabla2[[#This Row],[CODIGO]],Tabla1[],11,0),"")</f>
        <v>COMPRA</v>
      </c>
      <c r="L256" s="67" t="s">
        <v>472</v>
      </c>
      <c r="M256" s="67" t="s">
        <v>253</v>
      </c>
      <c r="N256" s="70">
        <v>38</v>
      </c>
      <c r="O256" s="70">
        <f>Tabla2[[#This Row],[CANTIDAD]]*Tabla2[[#This Row],[PREC. UNITARIO]]</f>
        <v>-76</v>
      </c>
      <c r="R256" t="str">
        <f>Tabla2[[#This Row],[QUIEN RECIBE]]&amp;"-"&amp;TEXT(Tabla2[[#This Row],[FECHA]],"dd/mm/yyyy")</f>
        <v>ALEJO CHARCA, DENNYS MIRIAM-17/09/2025</v>
      </c>
    </row>
    <row r="257" spans="2:18" ht="20.45" hidden="1" customHeight="1" x14ac:dyDescent="0.25">
      <c r="B257" s="5">
        <v>45917</v>
      </c>
      <c r="C257" s="2" t="str">
        <f>IFERROR(_xlfn.XLOOKUP(Tabla2[[#This Row],[PRODUCTO]],Tabla1[PRODUCTO],Tabla1[CODIGO]),"")</f>
        <v>IS-18</v>
      </c>
      <c r="D257" s="31" t="s">
        <v>67</v>
      </c>
      <c r="E257" s="31" t="str">
        <f>IFERROR(VLOOKUP(Tabla2[[#This Row],[CODIGO]],Tabla1[],3,0),"")</f>
        <v>IMPLEMENTOS DE SEGURIDAD</v>
      </c>
      <c r="F257" s="28" t="str">
        <f>IFERROR(VLOOKUP(Tabla2[[#This Row],[CODIGO]],Tabla1[],5,0),"")</f>
        <v>ALMACEN TICAPAMPA</v>
      </c>
      <c r="G257" s="26" t="str">
        <f>IFERROR(VLOOKUP(Tabla2[[#This Row],[CODIGO]],Tabla1[],6,0),"")</f>
        <v>UNI</v>
      </c>
      <c r="H257" s="26">
        <f>IFERROR(VLOOKUP(Tabla2[[#This Row],[CODIGO]],Tabla1[],10,0),"")</f>
        <v>0</v>
      </c>
      <c r="I257" s="7">
        <v>-1</v>
      </c>
      <c r="J257" s="29" t="s">
        <v>321</v>
      </c>
      <c r="K257" s="26" t="str">
        <f>IFERROR(VLOOKUP(Tabla2[[#This Row],[CODIGO]],Tabla1[],11,0),"")</f>
        <v>COMPRA</v>
      </c>
      <c r="L257" s="67" t="s">
        <v>472</v>
      </c>
      <c r="M257" s="67" t="s">
        <v>253</v>
      </c>
      <c r="N257" s="70">
        <v>45</v>
      </c>
      <c r="O257" s="70">
        <f>Tabla2[[#This Row],[CANTIDAD]]*Tabla2[[#This Row],[PREC. UNITARIO]]</f>
        <v>-45</v>
      </c>
      <c r="R257" t="str">
        <f>Tabla2[[#This Row],[QUIEN RECIBE]]&amp;"-"&amp;TEXT(Tabla2[[#This Row],[FECHA]],"dd/mm/yyyy")</f>
        <v>ALEJO CHARCA, DENNYS MIRIAM-17/09/2025</v>
      </c>
    </row>
    <row r="258" spans="2:18" ht="20.45" hidden="1" customHeight="1" x14ac:dyDescent="0.25">
      <c r="B258" s="5">
        <v>45917</v>
      </c>
      <c r="C258" s="2" t="str">
        <f>IFERROR(_xlfn.XLOOKUP(Tabla2[[#This Row],[PRODUCTO]],Tabla1[PRODUCTO],Tabla1[CODIGO]),"")</f>
        <v>IS-8</v>
      </c>
      <c r="D258" s="31" t="s">
        <v>58</v>
      </c>
      <c r="E258" s="31" t="str">
        <f>IFERROR(VLOOKUP(Tabla2[[#This Row],[CODIGO]],Tabla1[],3,0),"")</f>
        <v>IMPLEMENTOS DE SEGURIDAD</v>
      </c>
      <c r="F258" s="28" t="str">
        <f>IFERROR(VLOOKUP(Tabla2[[#This Row],[CODIGO]],Tabla1[],5,0),"")</f>
        <v>ALMACEN TICAPAMPA</v>
      </c>
      <c r="G258" s="26" t="str">
        <f>IFERROR(VLOOKUP(Tabla2[[#This Row],[CODIGO]],Tabla1[],6,0),"")</f>
        <v>UNI</v>
      </c>
      <c r="H258" s="26">
        <f>IFERROR(VLOOKUP(Tabla2[[#This Row],[CODIGO]],Tabla1[],10,0),"")</f>
        <v>0</v>
      </c>
      <c r="I258" s="7">
        <v>-1</v>
      </c>
      <c r="J258" s="29" t="s">
        <v>321</v>
      </c>
      <c r="K258" s="26" t="str">
        <f>IFERROR(VLOOKUP(Tabla2[[#This Row],[CODIGO]],Tabla1[],11,0),"")</f>
        <v>COMPRA</v>
      </c>
      <c r="L258" s="67" t="s">
        <v>472</v>
      </c>
      <c r="M258" s="67" t="s">
        <v>253</v>
      </c>
      <c r="N258" s="70">
        <v>75</v>
      </c>
      <c r="O258" s="70">
        <f>Tabla2[[#This Row],[CANTIDAD]]*Tabla2[[#This Row],[PREC. UNITARIO]]</f>
        <v>-75</v>
      </c>
      <c r="R258" t="str">
        <f>Tabla2[[#This Row],[QUIEN RECIBE]]&amp;"-"&amp;TEXT(Tabla2[[#This Row],[FECHA]],"dd/mm/yyyy")</f>
        <v>ALEJO CHARCA, DENNYS MIRIAM-17/09/2025</v>
      </c>
    </row>
    <row r="259" spans="2:18" ht="20.45" hidden="1" customHeight="1" x14ac:dyDescent="0.25">
      <c r="B259" s="5">
        <v>45917</v>
      </c>
      <c r="C259" s="2" t="str">
        <f>IFERROR(_xlfn.XLOOKUP(Tabla2[[#This Row],[PRODUCTO]],Tabla1[PRODUCTO],Tabla1[CODIGO]),"")</f>
        <v>IS-23</v>
      </c>
      <c r="D259" s="31" t="s">
        <v>75</v>
      </c>
      <c r="E259" s="31" t="str">
        <f>IFERROR(VLOOKUP(Tabla2[[#This Row],[CODIGO]],Tabla1[],3,0),"")</f>
        <v>IMPLEMENTOS DE SEGURIDAD</v>
      </c>
      <c r="F259" s="28" t="str">
        <f>IFERROR(VLOOKUP(Tabla2[[#This Row],[CODIGO]],Tabla1[],5,0),"")</f>
        <v>ALMACEN TICAPAMPA</v>
      </c>
      <c r="G259" s="26" t="str">
        <f>IFERROR(VLOOKUP(Tabla2[[#This Row],[CODIGO]],Tabla1[],6,0),"")</f>
        <v>UNI</v>
      </c>
      <c r="H259" s="26">
        <f>IFERROR(VLOOKUP(Tabla2[[#This Row],[CODIGO]],Tabla1[],10,0),"")</f>
        <v>34</v>
      </c>
      <c r="I259" s="7">
        <v>-1</v>
      </c>
      <c r="J259" s="29" t="s">
        <v>321</v>
      </c>
      <c r="K259" s="26" t="str">
        <f>IFERROR(VLOOKUP(Tabla2[[#This Row],[CODIGO]],Tabla1[],11,0),"")</f>
        <v>COMPRA</v>
      </c>
      <c r="L259" s="67" t="s">
        <v>250</v>
      </c>
      <c r="M259" s="67" t="s">
        <v>253</v>
      </c>
      <c r="N259" s="70">
        <v>4</v>
      </c>
      <c r="O259" s="70">
        <f>Tabla2[[#This Row],[CANTIDAD]]*Tabla2[[#This Row],[PREC. UNITARIO]]</f>
        <v>-4</v>
      </c>
      <c r="R259" t="str">
        <f>Tabla2[[#This Row],[QUIEN RECIBE]]&amp;"-"&amp;TEXT(Tabla2[[#This Row],[FECHA]],"dd/mm/yyyy")</f>
        <v>ALEJO CHARCA, DENNYS MIRIAM-17/09/2025</v>
      </c>
    </row>
    <row r="260" spans="2:18" ht="20.45" hidden="1" customHeight="1" x14ac:dyDescent="0.25">
      <c r="B260" s="5">
        <v>45917</v>
      </c>
      <c r="C260" s="2" t="str">
        <f>IFERROR(_xlfn.XLOOKUP(Tabla2[[#This Row],[PRODUCTO]],Tabla1[PRODUCTO],Tabla1[CODIGO]),"")</f>
        <v>IS-28</v>
      </c>
      <c r="D260" s="31" t="s">
        <v>79</v>
      </c>
      <c r="E260" s="31" t="str">
        <f>IFERROR(VLOOKUP(Tabla2[[#This Row],[CODIGO]],Tabla1[],3,0),"")</f>
        <v>IMPLEMENTOS DE SEGURIDAD</v>
      </c>
      <c r="F260" s="28" t="str">
        <f>IFERROR(VLOOKUP(Tabla2[[#This Row],[CODIGO]],Tabla1[],5,0),"")</f>
        <v>ALMACEN TICAPAMPA</v>
      </c>
      <c r="G260" s="26" t="str">
        <f>IFERROR(VLOOKUP(Tabla2[[#This Row],[CODIGO]],Tabla1[],6,0),"")</f>
        <v>UNI</v>
      </c>
      <c r="H260" s="26">
        <f>IFERROR(VLOOKUP(Tabla2[[#This Row],[CODIGO]],Tabla1[],10,0),"")</f>
        <v>32</v>
      </c>
      <c r="I260" s="7">
        <v>-1</v>
      </c>
      <c r="J260" s="29" t="s">
        <v>321</v>
      </c>
      <c r="K260" s="26" t="str">
        <f>IFERROR(VLOOKUP(Tabla2[[#This Row],[CODIGO]],Tabla1[],11,0),"")</f>
        <v>COMPRA</v>
      </c>
      <c r="L260" s="67" t="s">
        <v>250</v>
      </c>
      <c r="M260" s="67" t="s">
        <v>253</v>
      </c>
      <c r="N260" s="70">
        <v>4</v>
      </c>
      <c r="O260" s="70">
        <f>Tabla2[[#This Row],[CANTIDAD]]*Tabla2[[#This Row],[PREC. UNITARIO]]</f>
        <v>-4</v>
      </c>
      <c r="R260" t="str">
        <f>Tabla2[[#This Row],[QUIEN RECIBE]]&amp;"-"&amp;TEXT(Tabla2[[#This Row],[FECHA]],"dd/mm/yyyy")</f>
        <v>ALEJO CHARCA, DENNYS MIRIAM-17/09/2025</v>
      </c>
    </row>
    <row r="261" spans="2:18" ht="20.45" hidden="1" customHeight="1" x14ac:dyDescent="0.25">
      <c r="B261" s="5">
        <v>45917</v>
      </c>
      <c r="C261" s="2" t="str">
        <f>IFERROR(_xlfn.XLOOKUP(Tabla2[[#This Row],[PRODUCTO]],Tabla1[PRODUCTO],Tabla1[CODIGO]),"")</f>
        <v>IS-25</v>
      </c>
      <c r="D261" s="31" t="s">
        <v>77</v>
      </c>
      <c r="E261" s="31" t="str">
        <f>IFERROR(VLOOKUP(Tabla2[[#This Row],[CODIGO]],Tabla1[],3,0),"")</f>
        <v>IMPLEMENTOS DE SEGURIDAD</v>
      </c>
      <c r="F261" s="28" t="str">
        <f>IFERROR(VLOOKUP(Tabla2[[#This Row],[CODIGO]],Tabla1[],5,0),"")</f>
        <v>ALMACEN TICAPAMPA</v>
      </c>
      <c r="G261" s="26" t="str">
        <f>IFERROR(VLOOKUP(Tabla2[[#This Row],[CODIGO]],Tabla1[],6,0),"")</f>
        <v>UNI</v>
      </c>
      <c r="H261" s="26">
        <f>IFERROR(VLOOKUP(Tabla2[[#This Row],[CODIGO]],Tabla1[],10,0),"")</f>
        <v>25</v>
      </c>
      <c r="I261" s="7">
        <v>-1</v>
      </c>
      <c r="J261" s="29" t="s">
        <v>321</v>
      </c>
      <c r="K261" s="26" t="str">
        <f>IFERROR(VLOOKUP(Tabla2[[#This Row],[CODIGO]],Tabla1[],11,0),"")</f>
        <v>COMPRA</v>
      </c>
      <c r="L261" s="67" t="s">
        <v>250</v>
      </c>
      <c r="M261" s="67" t="s">
        <v>253</v>
      </c>
      <c r="N261" s="70"/>
      <c r="O261" s="70">
        <f>Tabla2[[#This Row],[CANTIDAD]]*Tabla2[[#This Row],[PREC. UNITARIO]]</f>
        <v>0</v>
      </c>
      <c r="R261" t="str">
        <f>Tabla2[[#This Row],[QUIEN RECIBE]]&amp;"-"&amp;TEXT(Tabla2[[#This Row],[FECHA]],"dd/mm/yyyy")</f>
        <v>ALEJO CHARCA, DENNYS MIRIAM-17/09/2025</v>
      </c>
    </row>
    <row r="262" spans="2:18" ht="20.45" hidden="1" customHeight="1" x14ac:dyDescent="0.25">
      <c r="B262" s="5">
        <v>45917</v>
      </c>
      <c r="C262" s="2" t="str">
        <f>IFERROR(_xlfn.XLOOKUP(Tabla2[[#This Row],[PRODUCTO]],Tabla1[PRODUCTO],Tabla1[CODIGO]),"")</f>
        <v>IS-14</v>
      </c>
      <c r="D262" s="31" t="s">
        <v>271</v>
      </c>
      <c r="E262" s="31" t="str">
        <f>IFERROR(VLOOKUP(Tabla2[[#This Row],[CODIGO]],Tabla1[],3,0),"")</f>
        <v>IMPLEMENTOS DE SEGURIDAD</v>
      </c>
      <c r="F262" s="28" t="str">
        <f>IFERROR(VLOOKUP(Tabla2[[#This Row],[CODIGO]],Tabla1[],5,0),"")</f>
        <v>ALMACEN TICAPAMPA</v>
      </c>
      <c r="G262" s="26" t="str">
        <f>IFERROR(VLOOKUP(Tabla2[[#This Row],[CODIGO]],Tabla1[],6,0),"")</f>
        <v>UNI</v>
      </c>
      <c r="H262" s="26">
        <f>IFERROR(VLOOKUP(Tabla2[[#This Row],[CODIGO]],Tabla1[],10,0),"")</f>
        <v>1</v>
      </c>
      <c r="I262" s="7">
        <v>-1</v>
      </c>
      <c r="J262" s="29" t="s">
        <v>321</v>
      </c>
      <c r="K262" s="26" t="str">
        <f>IFERROR(VLOOKUP(Tabla2[[#This Row],[CODIGO]],Tabla1[],11,0),"")</f>
        <v>COMPRA</v>
      </c>
      <c r="L262" s="67" t="s">
        <v>250</v>
      </c>
      <c r="M262" s="67" t="s">
        <v>253</v>
      </c>
      <c r="N262" s="70">
        <v>4</v>
      </c>
      <c r="O262" s="70">
        <f>Tabla2[[#This Row],[CANTIDAD]]*Tabla2[[#This Row],[PREC. UNITARIO]]</f>
        <v>-4</v>
      </c>
      <c r="R262" t="str">
        <f>Tabla2[[#This Row],[QUIEN RECIBE]]&amp;"-"&amp;TEXT(Tabla2[[#This Row],[FECHA]],"dd/mm/yyyy")</f>
        <v>ALEJO CHARCA, DENNYS MIRIAM-17/09/2025</v>
      </c>
    </row>
    <row r="263" spans="2:18" ht="20.45" hidden="1" customHeight="1" x14ac:dyDescent="0.25">
      <c r="B263" s="5">
        <v>45917</v>
      </c>
      <c r="C263" s="2" t="str">
        <f>IFERROR(_xlfn.XLOOKUP(Tabla2[[#This Row],[PRODUCTO]],Tabla1[PRODUCTO],Tabla1[CODIGO]),"")</f>
        <v>IS-4</v>
      </c>
      <c r="D263" s="31" t="s">
        <v>54</v>
      </c>
      <c r="E263" s="31" t="str">
        <f>IFERROR(VLOOKUP(Tabla2[[#This Row],[CODIGO]],Tabla1[],3,0),"")</f>
        <v>IMPLEMENTOS DE SEGURIDAD</v>
      </c>
      <c r="F263" s="28" t="str">
        <f>IFERROR(VLOOKUP(Tabla2[[#This Row],[CODIGO]],Tabla1[],5,0),"")</f>
        <v>ALMACEN TICAPAMPA</v>
      </c>
      <c r="G263" s="26" t="str">
        <f>IFERROR(VLOOKUP(Tabla2[[#This Row],[CODIGO]],Tabla1[],6,0),"")</f>
        <v>UNI</v>
      </c>
      <c r="H263" s="26">
        <f>IFERROR(VLOOKUP(Tabla2[[#This Row],[CODIGO]],Tabla1[],10,0),"")</f>
        <v>0</v>
      </c>
      <c r="I263" s="7">
        <v>-1</v>
      </c>
      <c r="J263" s="29" t="s">
        <v>321</v>
      </c>
      <c r="K263" s="26" t="str">
        <f>IFERROR(VLOOKUP(Tabla2[[#This Row],[CODIGO]],Tabla1[],11,0),"")</f>
        <v>COMPRA</v>
      </c>
      <c r="L263" s="67" t="s">
        <v>250</v>
      </c>
      <c r="M263" s="67" t="s">
        <v>260</v>
      </c>
      <c r="N263" s="70">
        <v>45</v>
      </c>
      <c r="O263" s="70">
        <f>Tabla2[[#This Row],[CANTIDAD]]*Tabla2[[#This Row],[PREC. UNITARIO]]</f>
        <v>-45</v>
      </c>
      <c r="R263" t="str">
        <f>Tabla2[[#This Row],[QUIEN RECIBE]]&amp;"-"&amp;TEXT(Tabla2[[#This Row],[FECHA]],"dd/mm/yyyy")</f>
        <v>SALAZAR BAZAN, ROCÍO DALILA-17/09/2025</v>
      </c>
    </row>
    <row r="264" spans="2:18" ht="20.45" hidden="1" customHeight="1" x14ac:dyDescent="0.25">
      <c r="B264" s="5">
        <v>45917</v>
      </c>
      <c r="C264" s="2" t="str">
        <f>IFERROR(_xlfn.XLOOKUP(Tabla2[[#This Row],[PRODUCTO]],Tabla1[PRODUCTO],Tabla1[CODIGO]),"")</f>
        <v>IS-11</v>
      </c>
      <c r="D264" s="31" t="s">
        <v>61</v>
      </c>
      <c r="E264" s="31" t="str">
        <f>IFERROR(VLOOKUP(Tabla2[[#This Row],[CODIGO]],Tabla1[],3,0),"")</f>
        <v>IMPLEMENTOS DE SEGURIDAD</v>
      </c>
      <c r="F264" s="28" t="str">
        <f>IFERROR(VLOOKUP(Tabla2[[#This Row],[CODIGO]],Tabla1[],5,0),"")</f>
        <v>ALMACEN TICAPAMPA</v>
      </c>
      <c r="G264" s="26" t="str">
        <f>IFERROR(VLOOKUP(Tabla2[[#This Row],[CODIGO]],Tabla1[],6,0),"")</f>
        <v>UNI</v>
      </c>
      <c r="H264" s="26">
        <f>IFERROR(VLOOKUP(Tabla2[[#This Row],[CODIGO]],Tabla1[],10,0),"")</f>
        <v>0</v>
      </c>
      <c r="I264" s="7">
        <v>-2</v>
      </c>
      <c r="J264" s="29" t="s">
        <v>321</v>
      </c>
      <c r="K264" s="26" t="str">
        <f>IFERROR(VLOOKUP(Tabla2[[#This Row],[CODIGO]],Tabla1[],11,0),"")</f>
        <v>COMPRA</v>
      </c>
      <c r="L264" s="67" t="s">
        <v>472</v>
      </c>
      <c r="M264" s="67" t="s">
        <v>260</v>
      </c>
      <c r="N264" s="70">
        <v>38</v>
      </c>
      <c r="O264" s="70">
        <f>Tabla2[[#This Row],[CANTIDAD]]*Tabla2[[#This Row],[PREC. UNITARIO]]</f>
        <v>-76</v>
      </c>
      <c r="R264" t="str">
        <f>Tabla2[[#This Row],[QUIEN RECIBE]]&amp;"-"&amp;TEXT(Tabla2[[#This Row],[FECHA]],"dd/mm/yyyy")</f>
        <v>SALAZAR BAZAN, ROCÍO DALILA-17/09/2025</v>
      </c>
    </row>
    <row r="265" spans="2:18" ht="20.45" hidden="1" customHeight="1" x14ac:dyDescent="0.25">
      <c r="B265" s="5">
        <v>45917</v>
      </c>
      <c r="C265" s="2" t="str">
        <f>IFERROR(_xlfn.XLOOKUP(Tabla2[[#This Row],[PRODUCTO]],Tabla1[PRODUCTO],Tabla1[CODIGO]),"")</f>
        <v>IS-18</v>
      </c>
      <c r="D265" s="31" t="s">
        <v>67</v>
      </c>
      <c r="E265" s="31" t="str">
        <f>IFERROR(VLOOKUP(Tabla2[[#This Row],[CODIGO]],Tabla1[],3,0),"")</f>
        <v>IMPLEMENTOS DE SEGURIDAD</v>
      </c>
      <c r="F265" s="28" t="str">
        <f>IFERROR(VLOOKUP(Tabla2[[#This Row],[CODIGO]],Tabla1[],5,0),"")</f>
        <v>ALMACEN TICAPAMPA</v>
      </c>
      <c r="G265" s="26" t="str">
        <f>IFERROR(VLOOKUP(Tabla2[[#This Row],[CODIGO]],Tabla1[],6,0),"")</f>
        <v>UNI</v>
      </c>
      <c r="H265" s="26">
        <f>IFERROR(VLOOKUP(Tabla2[[#This Row],[CODIGO]],Tabla1[],10,0),"")</f>
        <v>0</v>
      </c>
      <c r="I265" s="7">
        <v>-1</v>
      </c>
      <c r="J265" s="29" t="s">
        <v>321</v>
      </c>
      <c r="K265" s="26" t="str">
        <f>IFERROR(VLOOKUP(Tabla2[[#This Row],[CODIGO]],Tabla1[],11,0),"")</f>
        <v>COMPRA</v>
      </c>
      <c r="L265" s="67" t="s">
        <v>472</v>
      </c>
      <c r="M265" s="67" t="s">
        <v>260</v>
      </c>
      <c r="N265" s="70">
        <v>45</v>
      </c>
      <c r="O265" s="70">
        <f>Tabla2[[#This Row],[CANTIDAD]]*Tabla2[[#This Row],[PREC. UNITARIO]]</f>
        <v>-45</v>
      </c>
      <c r="R265" t="str">
        <f>Tabla2[[#This Row],[QUIEN RECIBE]]&amp;"-"&amp;TEXT(Tabla2[[#This Row],[FECHA]],"dd/mm/yyyy")</f>
        <v>SALAZAR BAZAN, ROCÍO DALILA-17/09/2025</v>
      </c>
    </row>
    <row r="266" spans="2:18" ht="20.45" hidden="1" customHeight="1" x14ac:dyDescent="0.25">
      <c r="B266" s="5">
        <v>45917</v>
      </c>
      <c r="C266" s="2" t="str">
        <f>IFERROR(_xlfn.XLOOKUP(Tabla2[[#This Row],[PRODUCTO]],Tabla1[PRODUCTO],Tabla1[CODIGO]),"")</f>
        <v>IS-8</v>
      </c>
      <c r="D266" s="31" t="s">
        <v>58</v>
      </c>
      <c r="E266" s="31" t="str">
        <f>IFERROR(VLOOKUP(Tabla2[[#This Row],[CODIGO]],Tabla1[],3,0),"")</f>
        <v>IMPLEMENTOS DE SEGURIDAD</v>
      </c>
      <c r="F266" s="28" t="str">
        <f>IFERROR(VLOOKUP(Tabla2[[#This Row],[CODIGO]],Tabla1[],5,0),"")</f>
        <v>ALMACEN TICAPAMPA</v>
      </c>
      <c r="G266" s="26" t="str">
        <f>IFERROR(VLOOKUP(Tabla2[[#This Row],[CODIGO]],Tabla1[],6,0),"")</f>
        <v>UNI</v>
      </c>
      <c r="H266" s="26">
        <f>IFERROR(VLOOKUP(Tabla2[[#This Row],[CODIGO]],Tabla1[],10,0),"")</f>
        <v>0</v>
      </c>
      <c r="I266" s="7">
        <v>-1</v>
      </c>
      <c r="J266" s="29" t="s">
        <v>321</v>
      </c>
      <c r="K266" s="26" t="str">
        <f>IFERROR(VLOOKUP(Tabla2[[#This Row],[CODIGO]],Tabla1[],11,0),"")</f>
        <v>COMPRA</v>
      </c>
      <c r="L266" s="67" t="s">
        <v>472</v>
      </c>
      <c r="M266" s="67" t="s">
        <v>260</v>
      </c>
      <c r="N266" s="70">
        <v>75</v>
      </c>
      <c r="O266" s="70">
        <f>Tabla2[[#This Row],[CANTIDAD]]*Tabla2[[#This Row],[PREC. UNITARIO]]</f>
        <v>-75</v>
      </c>
      <c r="R266" t="str">
        <f>Tabla2[[#This Row],[QUIEN RECIBE]]&amp;"-"&amp;TEXT(Tabla2[[#This Row],[FECHA]],"dd/mm/yyyy")</f>
        <v>SALAZAR BAZAN, ROCÍO DALILA-17/09/2025</v>
      </c>
    </row>
    <row r="267" spans="2:18" ht="20.45" hidden="1" customHeight="1" x14ac:dyDescent="0.25">
      <c r="B267" s="5">
        <v>45917</v>
      </c>
      <c r="C267" s="2" t="str">
        <f>IFERROR(_xlfn.XLOOKUP(Tabla2[[#This Row],[PRODUCTO]],Tabla1[PRODUCTO],Tabla1[CODIGO]),"")</f>
        <v>IS-23</v>
      </c>
      <c r="D267" s="31" t="s">
        <v>75</v>
      </c>
      <c r="E267" s="31" t="str">
        <f>IFERROR(VLOOKUP(Tabla2[[#This Row],[CODIGO]],Tabla1[],3,0),"")</f>
        <v>IMPLEMENTOS DE SEGURIDAD</v>
      </c>
      <c r="F267" s="28" t="str">
        <f>IFERROR(VLOOKUP(Tabla2[[#This Row],[CODIGO]],Tabla1[],5,0),"")</f>
        <v>ALMACEN TICAPAMPA</v>
      </c>
      <c r="G267" s="26" t="str">
        <f>IFERROR(VLOOKUP(Tabla2[[#This Row],[CODIGO]],Tabla1[],6,0),"")</f>
        <v>UNI</v>
      </c>
      <c r="H267" s="26">
        <f>IFERROR(VLOOKUP(Tabla2[[#This Row],[CODIGO]],Tabla1[],10,0),"")</f>
        <v>34</v>
      </c>
      <c r="I267" s="7">
        <v>-1</v>
      </c>
      <c r="J267" s="29" t="s">
        <v>321</v>
      </c>
      <c r="K267" s="26" t="str">
        <f>IFERROR(VLOOKUP(Tabla2[[#This Row],[CODIGO]],Tabla1[],11,0),"")</f>
        <v>COMPRA</v>
      </c>
      <c r="L267" s="67" t="s">
        <v>250</v>
      </c>
      <c r="M267" s="67" t="s">
        <v>260</v>
      </c>
      <c r="N267" s="70">
        <v>4</v>
      </c>
      <c r="O267" s="70">
        <f>Tabla2[[#This Row],[CANTIDAD]]*Tabla2[[#This Row],[PREC. UNITARIO]]</f>
        <v>-4</v>
      </c>
      <c r="R267" t="str">
        <f>Tabla2[[#This Row],[QUIEN RECIBE]]&amp;"-"&amp;TEXT(Tabla2[[#This Row],[FECHA]],"dd/mm/yyyy")</f>
        <v>SALAZAR BAZAN, ROCÍO DALILA-17/09/2025</v>
      </c>
    </row>
    <row r="268" spans="2:18" ht="20.45" hidden="1" customHeight="1" x14ac:dyDescent="0.25">
      <c r="B268" s="5">
        <v>45917</v>
      </c>
      <c r="C268" s="2" t="str">
        <f>IFERROR(_xlfn.XLOOKUP(Tabla2[[#This Row],[PRODUCTO]],Tabla1[PRODUCTO],Tabla1[CODIGO]),"")</f>
        <v>IS-28</v>
      </c>
      <c r="D268" s="31" t="s">
        <v>79</v>
      </c>
      <c r="E268" s="31" t="str">
        <f>IFERROR(VLOOKUP(Tabla2[[#This Row],[CODIGO]],Tabla1[],3,0),"")</f>
        <v>IMPLEMENTOS DE SEGURIDAD</v>
      </c>
      <c r="F268" s="28" t="str">
        <f>IFERROR(VLOOKUP(Tabla2[[#This Row],[CODIGO]],Tabla1[],5,0),"")</f>
        <v>ALMACEN TICAPAMPA</v>
      </c>
      <c r="G268" s="26" t="str">
        <f>IFERROR(VLOOKUP(Tabla2[[#This Row],[CODIGO]],Tabla1[],6,0),"")</f>
        <v>UNI</v>
      </c>
      <c r="H268" s="26">
        <f>IFERROR(VLOOKUP(Tabla2[[#This Row],[CODIGO]],Tabla1[],10,0),"")</f>
        <v>32</v>
      </c>
      <c r="I268" s="7">
        <v>-1</v>
      </c>
      <c r="J268" s="29" t="s">
        <v>321</v>
      </c>
      <c r="K268" s="26" t="str">
        <f>IFERROR(VLOOKUP(Tabla2[[#This Row],[CODIGO]],Tabla1[],11,0),"")</f>
        <v>COMPRA</v>
      </c>
      <c r="L268" s="67" t="s">
        <v>250</v>
      </c>
      <c r="M268" s="67" t="s">
        <v>260</v>
      </c>
      <c r="N268" s="70">
        <v>4</v>
      </c>
      <c r="O268" s="70">
        <f>Tabla2[[#This Row],[CANTIDAD]]*Tabla2[[#This Row],[PREC. UNITARIO]]</f>
        <v>-4</v>
      </c>
      <c r="R268" t="str">
        <f>Tabla2[[#This Row],[QUIEN RECIBE]]&amp;"-"&amp;TEXT(Tabla2[[#This Row],[FECHA]],"dd/mm/yyyy")</f>
        <v>SALAZAR BAZAN, ROCÍO DALILA-17/09/2025</v>
      </c>
    </row>
    <row r="269" spans="2:18" ht="20.45" hidden="1" customHeight="1" x14ac:dyDescent="0.25">
      <c r="B269" s="5">
        <v>45917</v>
      </c>
      <c r="C269" s="2" t="str">
        <f>IFERROR(_xlfn.XLOOKUP(Tabla2[[#This Row],[PRODUCTO]],Tabla1[PRODUCTO],Tabla1[CODIGO]),"")</f>
        <v>IS-25</v>
      </c>
      <c r="D269" s="31" t="s">
        <v>77</v>
      </c>
      <c r="E269" s="31" t="str">
        <f>IFERROR(VLOOKUP(Tabla2[[#This Row],[CODIGO]],Tabla1[],3,0),"")</f>
        <v>IMPLEMENTOS DE SEGURIDAD</v>
      </c>
      <c r="F269" s="28" t="str">
        <f>IFERROR(VLOOKUP(Tabla2[[#This Row],[CODIGO]],Tabla1[],5,0),"")</f>
        <v>ALMACEN TICAPAMPA</v>
      </c>
      <c r="G269" s="26" t="str">
        <f>IFERROR(VLOOKUP(Tabla2[[#This Row],[CODIGO]],Tabla1[],6,0),"")</f>
        <v>UNI</v>
      </c>
      <c r="H269" s="26">
        <f>IFERROR(VLOOKUP(Tabla2[[#This Row],[CODIGO]],Tabla1[],10,0),"")</f>
        <v>25</v>
      </c>
      <c r="I269" s="7">
        <v>-1</v>
      </c>
      <c r="J269" s="29" t="s">
        <v>321</v>
      </c>
      <c r="K269" s="26" t="str">
        <f>IFERROR(VLOOKUP(Tabla2[[#This Row],[CODIGO]],Tabla1[],11,0),"")</f>
        <v>COMPRA</v>
      </c>
      <c r="L269" s="67" t="s">
        <v>250</v>
      </c>
      <c r="M269" s="67" t="s">
        <v>260</v>
      </c>
      <c r="N269" s="70"/>
      <c r="O269" s="70">
        <f>Tabla2[[#This Row],[CANTIDAD]]*Tabla2[[#This Row],[PREC. UNITARIO]]</f>
        <v>0</v>
      </c>
      <c r="R269" t="str">
        <f>Tabla2[[#This Row],[QUIEN RECIBE]]&amp;"-"&amp;TEXT(Tabla2[[#This Row],[FECHA]],"dd/mm/yyyy")</f>
        <v>SALAZAR BAZAN, ROCÍO DALILA-17/09/2025</v>
      </c>
    </row>
    <row r="270" spans="2:18" ht="20.45" hidden="1" customHeight="1" x14ac:dyDescent="0.25">
      <c r="B270" s="5">
        <v>45917</v>
      </c>
      <c r="C270" s="2" t="str">
        <f>IFERROR(_xlfn.XLOOKUP(Tabla2[[#This Row],[PRODUCTO]],Tabla1[PRODUCTO],Tabla1[CODIGO]),"")</f>
        <v>IS-14</v>
      </c>
      <c r="D270" s="31" t="s">
        <v>271</v>
      </c>
      <c r="E270" s="31" t="str">
        <f>IFERROR(VLOOKUP(Tabla2[[#This Row],[CODIGO]],Tabla1[],3,0),"")</f>
        <v>IMPLEMENTOS DE SEGURIDAD</v>
      </c>
      <c r="F270" s="28" t="str">
        <f>IFERROR(VLOOKUP(Tabla2[[#This Row],[CODIGO]],Tabla1[],5,0),"")</f>
        <v>ALMACEN TICAPAMPA</v>
      </c>
      <c r="G270" s="26" t="str">
        <f>IFERROR(VLOOKUP(Tabla2[[#This Row],[CODIGO]],Tabla1[],6,0),"")</f>
        <v>UNI</v>
      </c>
      <c r="H270" s="26">
        <f>IFERROR(VLOOKUP(Tabla2[[#This Row],[CODIGO]],Tabla1[],10,0),"")</f>
        <v>1</v>
      </c>
      <c r="I270" s="7">
        <v>-1</v>
      </c>
      <c r="J270" s="29" t="s">
        <v>321</v>
      </c>
      <c r="K270" s="26" t="str">
        <f>IFERROR(VLOOKUP(Tabla2[[#This Row],[CODIGO]],Tabla1[],11,0),"")</f>
        <v>COMPRA</v>
      </c>
      <c r="L270" s="67" t="s">
        <v>250</v>
      </c>
      <c r="M270" s="67" t="s">
        <v>260</v>
      </c>
      <c r="N270" s="70">
        <v>4</v>
      </c>
      <c r="O270" s="70">
        <f>Tabla2[[#This Row],[CANTIDAD]]*Tabla2[[#This Row],[PREC. UNITARIO]]</f>
        <v>-4</v>
      </c>
      <c r="R270" t="str">
        <f>Tabla2[[#This Row],[QUIEN RECIBE]]&amp;"-"&amp;TEXT(Tabla2[[#This Row],[FECHA]],"dd/mm/yyyy")</f>
        <v>SALAZAR BAZAN, ROCÍO DALILA-17/09/2025</v>
      </c>
    </row>
    <row r="271" spans="2:18" ht="20.45" hidden="1" customHeight="1" x14ac:dyDescent="0.25">
      <c r="B271" s="5">
        <v>45917</v>
      </c>
      <c r="C271" s="2" t="str">
        <f>IFERROR(_xlfn.XLOOKUP(Tabla2[[#This Row],[PRODUCTO]],Tabla1[PRODUCTO],Tabla1[CODIGO]),"")</f>
        <v>IS-9</v>
      </c>
      <c r="D271" s="31" t="s">
        <v>59</v>
      </c>
      <c r="E271" s="31" t="str">
        <f>IFERROR(VLOOKUP(Tabla2[[#This Row],[CODIGO]],Tabla1[],3,0),"")</f>
        <v>IMPLEMENTOS DE SEGURIDAD</v>
      </c>
      <c r="F271" s="28" t="str">
        <f>IFERROR(VLOOKUP(Tabla2[[#This Row],[CODIGO]],Tabla1[],5,0),"")</f>
        <v>ALMACEN TICAPAMPA</v>
      </c>
      <c r="G271" s="26" t="str">
        <f>IFERROR(VLOOKUP(Tabla2[[#This Row],[CODIGO]],Tabla1[],6,0),"")</f>
        <v>UNI</v>
      </c>
      <c r="H271" s="26">
        <f>IFERROR(VLOOKUP(Tabla2[[#This Row],[CODIGO]],Tabla1[],10,0),"")</f>
        <v>0</v>
      </c>
      <c r="I271" s="7">
        <v>-2</v>
      </c>
      <c r="J271" s="29" t="s">
        <v>319</v>
      </c>
      <c r="K271" s="26" t="str">
        <f>IFERROR(VLOOKUP(Tabla2[[#This Row],[CODIGO]],Tabla1[],11,0),"")</f>
        <v>COMPRA</v>
      </c>
      <c r="L271" s="67" t="s">
        <v>472</v>
      </c>
      <c r="M271" s="67" t="s">
        <v>338</v>
      </c>
      <c r="N271" s="70">
        <v>38</v>
      </c>
      <c r="O271" s="70">
        <f>Tabla2[[#This Row],[CANTIDAD]]*Tabla2[[#This Row],[PREC. UNITARIO]]</f>
        <v>-76</v>
      </c>
      <c r="R271" t="str">
        <f>Tabla2[[#This Row],[QUIEN RECIBE]]&amp;"-"&amp;TEXT(Tabla2[[#This Row],[FECHA]],"dd/mm/yyyy")</f>
        <v>YEANCARLO -17/09/2025</v>
      </c>
    </row>
    <row r="272" spans="2:18" ht="20.45" hidden="1" customHeight="1" x14ac:dyDescent="0.25">
      <c r="B272" s="5">
        <v>45917</v>
      </c>
      <c r="C272" s="2" t="str">
        <f>IFERROR(_xlfn.XLOOKUP(Tabla2[[#This Row],[PRODUCTO]],Tabla1[PRODUCTO],Tabla1[CODIGO]),"")</f>
        <v>IS-7</v>
      </c>
      <c r="D272" s="31" t="s">
        <v>57</v>
      </c>
      <c r="E272" s="31" t="str">
        <f>IFERROR(VLOOKUP(Tabla2[[#This Row],[CODIGO]],Tabla1[],3,0),"")</f>
        <v>IMPLEMENTOS DE SEGURIDAD</v>
      </c>
      <c r="F272" s="28" t="str">
        <f>IFERROR(VLOOKUP(Tabla2[[#This Row],[CODIGO]],Tabla1[],5,0),"")</f>
        <v>ALMACEN TICAPAMPA</v>
      </c>
      <c r="G272" s="26" t="str">
        <f>IFERROR(VLOOKUP(Tabla2[[#This Row],[CODIGO]],Tabla1[],6,0),"")</f>
        <v>UNI</v>
      </c>
      <c r="H272" s="26">
        <f>IFERROR(VLOOKUP(Tabla2[[#This Row],[CODIGO]],Tabla1[],10,0),"")</f>
        <v>0</v>
      </c>
      <c r="I272" s="7">
        <v>-1</v>
      </c>
      <c r="J272" s="29" t="s">
        <v>321</v>
      </c>
      <c r="K272" s="26" t="str">
        <f>IFERROR(VLOOKUP(Tabla2[[#This Row],[CODIGO]],Tabla1[],11,0),"")</f>
        <v>COMPRA</v>
      </c>
      <c r="L272" s="67" t="s">
        <v>472</v>
      </c>
      <c r="M272" s="67" t="s">
        <v>338</v>
      </c>
      <c r="N272" s="70">
        <v>75</v>
      </c>
      <c r="O272" s="70">
        <f>Tabla2[[#This Row],[CANTIDAD]]*Tabla2[[#This Row],[PREC. UNITARIO]]</f>
        <v>-75</v>
      </c>
      <c r="R272" t="str">
        <f>Tabla2[[#This Row],[QUIEN RECIBE]]&amp;"-"&amp;TEXT(Tabla2[[#This Row],[FECHA]],"dd/mm/yyyy")</f>
        <v>YEANCARLO -17/09/2025</v>
      </c>
    </row>
    <row r="273" spans="2:18" ht="20.45" hidden="1" customHeight="1" x14ac:dyDescent="0.25">
      <c r="B273" s="5">
        <v>45917</v>
      </c>
      <c r="C273" s="2" t="str">
        <f>IFERROR(_xlfn.XLOOKUP(Tabla2[[#This Row],[PRODUCTO]],Tabla1[PRODUCTO],Tabla1[CODIGO]),"")</f>
        <v>IS-18</v>
      </c>
      <c r="D273" s="31" t="s">
        <v>67</v>
      </c>
      <c r="E273" s="31" t="str">
        <f>IFERROR(VLOOKUP(Tabla2[[#This Row],[CODIGO]],Tabla1[],3,0),"")</f>
        <v>IMPLEMENTOS DE SEGURIDAD</v>
      </c>
      <c r="F273" s="28" t="str">
        <f>IFERROR(VLOOKUP(Tabla2[[#This Row],[CODIGO]],Tabla1[],5,0),"")</f>
        <v>ALMACEN TICAPAMPA</v>
      </c>
      <c r="G273" s="26" t="str">
        <f>IFERROR(VLOOKUP(Tabla2[[#This Row],[CODIGO]],Tabla1[],6,0),"")</f>
        <v>UNI</v>
      </c>
      <c r="H273" s="26">
        <f>IFERROR(VLOOKUP(Tabla2[[#This Row],[CODIGO]],Tabla1[],10,0),"")</f>
        <v>0</v>
      </c>
      <c r="I273" s="7">
        <v>-1</v>
      </c>
      <c r="J273" s="29" t="s">
        <v>321</v>
      </c>
      <c r="K273" s="26" t="str">
        <f>IFERROR(VLOOKUP(Tabla2[[#This Row],[CODIGO]],Tabla1[],11,0),"")</f>
        <v>COMPRA</v>
      </c>
      <c r="L273" s="67" t="s">
        <v>472</v>
      </c>
      <c r="M273" s="67" t="s">
        <v>338</v>
      </c>
      <c r="N273" s="70">
        <v>45</v>
      </c>
      <c r="O273" s="70">
        <f>Tabla2[[#This Row],[CANTIDAD]]*Tabla2[[#This Row],[PREC. UNITARIO]]</f>
        <v>-45</v>
      </c>
      <c r="R273" t="str">
        <f>Tabla2[[#This Row],[QUIEN RECIBE]]&amp;"-"&amp;TEXT(Tabla2[[#This Row],[FECHA]],"dd/mm/yyyy")</f>
        <v>YEANCARLO -17/09/2025</v>
      </c>
    </row>
    <row r="274" spans="2:18" ht="20.45" hidden="1" customHeight="1" x14ac:dyDescent="0.25">
      <c r="B274" s="5">
        <v>45917</v>
      </c>
      <c r="C274" s="2" t="str">
        <f>IFERROR(_xlfn.XLOOKUP(Tabla2[[#This Row],[PRODUCTO]],Tabla1[PRODUCTO],Tabla1[CODIGO]),"")</f>
        <v>IS-14</v>
      </c>
      <c r="D274" s="31" t="s">
        <v>271</v>
      </c>
      <c r="E274" s="31" t="str">
        <f>IFERROR(VLOOKUP(Tabla2[[#This Row],[CODIGO]],Tabla1[],3,0),"")</f>
        <v>IMPLEMENTOS DE SEGURIDAD</v>
      </c>
      <c r="F274" s="28" t="str">
        <f>IFERROR(VLOOKUP(Tabla2[[#This Row],[CODIGO]],Tabla1[],5,0),"")</f>
        <v>ALMACEN TICAPAMPA</v>
      </c>
      <c r="G274" s="26" t="str">
        <f>IFERROR(VLOOKUP(Tabla2[[#This Row],[CODIGO]],Tabla1[],6,0),"")</f>
        <v>UNI</v>
      </c>
      <c r="H274" s="26">
        <f>IFERROR(VLOOKUP(Tabla2[[#This Row],[CODIGO]],Tabla1[],10,0),"")</f>
        <v>1</v>
      </c>
      <c r="I274" s="7">
        <v>-1</v>
      </c>
      <c r="J274" s="29" t="s">
        <v>321</v>
      </c>
      <c r="K274" s="26" t="str">
        <f>IFERROR(VLOOKUP(Tabla2[[#This Row],[CODIGO]],Tabla1[],11,0),"")</f>
        <v>COMPRA</v>
      </c>
      <c r="L274" s="67" t="s">
        <v>250</v>
      </c>
      <c r="M274" s="67" t="s">
        <v>338</v>
      </c>
      <c r="N274" s="70">
        <v>4</v>
      </c>
      <c r="O274" s="70">
        <f>Tabla2[[#This Row],[CANTIDAD]]*Tabla2[[#This Row],[PREC. UNITARIO]]</f>
        <v>-4</v>
      </c>
      <c r="R274" t="str">
        <f>Tabla2[[#This Row],[QUIEN RECIBE]]&amp;"-"&amp;TEXT(Tabla2[[#This Row],[FECHA]],"dd/mm/yyyy")</f>
        <v>YEANCARLO -17/09/2025</v>
      </c>
    </row>
    <row r="275" spans="2:18" ht="20.45" hidden="1" customHeight="1" x14ac:dyDescent="0.25">
      <c r="B275" s="5">
        <v>45917</v>
      </c>
      <c r="C275" s="2" t="str">
        <f>IFERROR(_xlfn.XLOOKUP(Tabla2[[#This Row],[PRODUCTO]],Tabla1[PRODUCTO],Tabla1[CODIGO]),"")</f>
        <v>IS-13</v>
      </c>
      <c r="D275" s="31" t="s">
        <v>63</v>
      </c>
      <c r="E275" s="31" t="str">
        <f>IFERROR(VLOOKUP(Tabla2[[#This Row],[CODIGO]],Tabla1[],3,0),"")</f>
        <v>IMPLEMENTOS DE SEGURIDAD</v>
      </c>
      <c r="F275" s="28" t="str">
        <f>IFERROR(VLOOKUP(Tabla2[[#This Row],[CODIGO]],Tabla1[],5,0),"")</f>
        <v>ALMACEN TICAPAMPA</v>
      </c>
      <c r="G275" s="26" t="str">
        <f>IFERROR(VLOOKUP(Tabla2[[#This Row],[CODIGO]],Tabla1[],6,0),"")</f>
        <v>UNI</v>
      </c>
      <c r="H275" s="26">
        <f>IFERROR(VLOOKUP(Tabla2[[#This Row],[CODIGO]],Tabla1[],10,0),"")</f>
        <v>2</v>
      </c>
      <c r="I275" s="7">
        <v>-1</v>
      </c>
      <c r="J275" s="29" t="s">
        <v>321</v>
      </c>
      <c r="K275" s="26" t="str">
        <f>IFERROR(VLOOKUP(Tabla2[[#This Row],[CODIGO]],Tabla1[],11,0),"")</f>
        <v>COMPRA</v>
      </c>
      <c r="L275" s="67" t="s">
        <v>250</v>
      </c>
      <c r="M275" s="67" t="s">
        <v>472</v>
      </c>
      <c r="N275" s="70">
        <v>45</v>
      </c>
      <c r="O275" s="70">
        <f>Tabla2[[#This Row],[CANTIDAD]]*Tabla2[[#This Row],[PREC. UNITARIO]]</f>
        <v>-45</v>
      </c>
      <c r="R275" t="str">
        <f>Tabla2[[#This Row],[QUIEN RECIBE]]&amp;"-"&amp;TEXT(Tabla2[[#This Row],[FECHA]],"dd/mm/yyyy")</f>
        <v>ACUACHI LANCHIPA ERNESTO ALONSO-17/09/2025</v>
      </c>
    </row>
    <row r="276" spans="2:18" ht="20.45" hidden="1" customHeight="1" x14ac:dyDescent="0.25">
      <c r="B276" s="5">
        <v>45917</v>
      </c>
      <c r="C276" s="2" t="str">
        <f>IFERROR(_xlfn.XLOOKUP(Tabla2[[#This Row],[PRODUCTO]],Tabla1[PRODUCTO],Tabla1[CODIGO]),"")</f>
        <v>IS-10</v>
      </c>
      <c r="D276" s="31" t="s">
        <v>60</v>
      </c>
      <c r="E276" s="31" t="str">
        <f>IFERROR(VLOOKUP(Tabla2[[#This Row],[CODIGO]],Tabla1[],3,0),"")</f>
        <v>IMPLEMENTOS DE SEGURIDAD</v>
      </c>
      <c r="F276" s="28" t="str">
        <f>IFERROR(VLOOKUP(Tabla2[[#This Row],[CODIGO]],Tabla1[],5,0),"")</f>
        <v>ALMACEN TICAPAMPA</v>
      </c>
      <c r="G276" s="26" t="str">
        <f>IFERROR(VLOOKUP(Tabla2[[#This Row],[CODIGO]],Tabla1[],6,0),"")</f>
        <v>UNI</v>
      </c>
      <c r="H276" s="26">
        <f>IFERROR(VLOOKUP(Tabla2[[#This Row],[CODIGO]],Tabla1[],10,0),"")</f>
        <v>0</v>
      </c>
      <c r="I276" s="7">
        <v>-2</v>
      </c>
      <c r="J276" s="29" t="s">
        <v>321</v>
      </c>
      <c r="K276" s="26" t="str">
        <f>IFERROR(VLOOKUP(Tabla2[[#This Row],[CODIGO]],Tabla1[],11,0),"")</f>
        <v>COMPRA</v>
      </c>
      <c r="L276" s="67" t="s">
        <v>472</v>
      </c>
      <c r="M276" s="67" t="s">
        <v>472</v>
      </c>
      <c r="N276" s="70">
        <v>38</v>
      </c>
      <c r="O276" s="70">
        <f>Tabla2[[#This Row],[CANTIDAD]]*Tabla2[[#This Row],[PREC. UNITARIO]]</f>
        <v>-76</v>
      </c>
      <c r="R276" t="str">
        <f>Tabla2[[#This Row],[QUIEN RECIBE]]&amp;"-"&amp;TEXT(Tabla2[[#This Row],[FECHA]],"dd/mm/yyyy")</f>
        <v>ACUACHI LANCHIPA ERNESTO ALONSO-17/09/2025</v>
      </c>
    </row>
    <row r="277" spans="2:18" ht="20.45" hidden="1" customHeight="1" x14ac:dyDescent="0.25">
      <c r="B277" s="5">
        <v>45917</v>
      </c>
      <c r="C277" s="2" t="str">
        <f>IFERROR(_xlfn.XLOOKUP(Tabla2[[#This Row],[PRODUCTO]],Tabla1[PRODUCTO],Tabla1[CODIGO]),"")</f>
        <v>IS-18</v>
      </c>
      <c r="D277" s="31" t="s">
        <v>67</v>
      </c>
      <c r="E277" s="31" t="str">
        <f>IFERROR(VLOOKUP(Tabla2[[#This Row],[CODIGO]],Tabla1[],3,0),"")</f>
        <v>IMPLEMENTOS DE SEGURIDAD</v>
      </c>
      <c r="F277" s="28" t="str">
        <f>IFERROR(VLOOKUP(Tabla2[[#This Row],[CODIGO]],Tabla1[],5,0),"")</f>
        <v>ALMACEN TICAPAMPA</v>
      </c>
      <c r="G277" s="26" t="str">
        <f>IFERROR(VLOOKUP(Tabla2[[#This Row],[CODIGO]],Tabla1[],6,0),"")</f>
        <v>UNI</v>
      </c>
      <c r="H277" s="26">
        <f>IFERROR(VLOOKUP(Tabla2[[#This Row],[CODIGO]],Tabla1[],10,0),"")</f>
        <v>0</v>
      </c>
      <c r="I277" s="7">
        <v>-1</v>
      </c>
      <c r="J277" s="29" t="s">
        <v>321</v>
      </c>
      <c r="K277" s="26" t="str">
        <f>IFERROR(VLOOKUP(Tabla2[[#This Row],[CODIGO]],Tabla1[],11,0),"")</f>
        <v>COMPRA</v>
      </c>
      <c r="L277" s="67" t="s">
        <v>472</v>
      </c>
      <c r="M277" s="67" t="s">
        <v>472</v>
      </c>
      <c r="N277" s="70">
        <v>45</v>
      </c>
      <c r="O277" s="70">
        <f>Tabla2[[#This Row],[CANTIDAD]]*Tabla2[[#This Row],[PREC. UNITARIO]]</f>
        <v>-45</v>
      </c>
      <c r="R277" t="str">
        <f>Tabla2[[#This Row],[QUIEN RECIBE]]&amp;"-"&amp;TEXT(Tabla2[[#This Row],[FECHA]],"dd/mm/yyyy")</f>
        <v>ACUACHI LANCHIPA ERNESTO ALONSO-17/09/2025</v>
      </c>
    </row>
    <row r="278" spans="2:18" ht="20.45" hidden="1" customHeight="1" x14ac:dyDescent="0.25">
      <c r="B278" s="5">
        <v>45917</v>
      </c>
      <c r="C278" s="2" t="str">
        <f>IFERROR(_xlfn.XLOOKUP(Tabla2[[#This Row],[PRODUCTO]],Tabla1[PRODUCTO],Tabla1[CODIGO]),"")</f>
        <v>IS-6</v>
      </c>
      <c r="D278" s="31" t="s">
        <v>56</v>
      </c>
      <c r="E278" s="31" t="str">
        <f>IFERROR(VLOOKUP(Tabla2[[#This Row],[CODIGO]],Tabla1[],3,0),"")</f>
        <v>IMPLEMENTOS DE SEGURIDAD</v>
      </c>
      <c r="F278" s="28" t="str">
        <f>IFERROR(VLOOKUP(Tabla2[[#This Row],[CODIGO]],Tabla1[],5,0),"")</f>
        <v>ALMACEN TICAPAMPA</v>
      </c>
      <c r="G278" s="26" t="str">
        <f>IFERROR(VLOOKUP(Tabla2[[#This Row],[CODIGO]],Tabla1[],6,0),"")</f>
        <v>UNI</v>
      </c>
      <c r="H278" s="26">
        <f>IFERROR(VLOOKUP(Tabla2[[#This Row],[CODIGO]],Tabla1[],10,0),"")</f>
        <v>0</v>
      </c>
      <c r="I278" s="7">
        <v>-1</v>
      </c>
      <c r="J278" s="29" t="s">
        <v>321</v>
      </c>
      <c r="K278" s="26" t="str">
        <f>IFERROR(VLOOKUP(Tabla2[[#This Row],[CODIGO]],Tabla1[],11,0),"")</f>
        <v>COMPRA</v>
      </c>
      <c r="L278" s="67" t="s">
        <v>472</v>
      </c>
      <c r="M278" s="67" t="s">
        <v>472</v>
      </c>
      <c r="N278" s="70">
        <v>75</v>
      </c>
      <c r="O278" s="70">
        <f>Tabla2[[#This Row],[CANTIDAD]]*Tabla2[[#This Row],[PREC. UNITARIO]]</f>
        <v>-75</v>
      </c>
      <c r="R278" t="str">
        <f>Tabla2[[#This Row],[QUIEN RECIBE]]&amp;"-"&amp;TEXT(Tabla2[[#This Row],[FECHA]],"dd/mm/yyyy")</f>
        <v>ACUACHI LANCHIPA ERNESTO ALONSO-17/09/2025</v>
      </c>
    </row>
    <row r="279" spans="2:18" ht="20.45" hidden="1" customHeight="1" x14ac:dyDescent="0.25">
      <c r="B279" s="5">
        <v>45917</v>
      </c>
      <c r="C279" s="2" t="str">
        <f>IFERROR(_xlfn.XLOOKUP(Tabla2[[#This Row],[PRODUCTO]],Tabla1[PRODUCTO],Tabla1[CODIGO]),"")</f>
        <v>IS-14</v>
      </c>
      <c r="D279" s="31" t="s">
        <v>271</v>
      </c>
      <c r="E279" s="31" t="str">
        <f>IFERROR(VLOOKUP(Tabla2[[#This Row],[CODIGO]],Tabla1[],3,0),"")</f>
        <v>IMPLEMENTOS DE SEGURIDAD</v>
      </c>
      <c r="F279" s="28" t="str">
        <f>IFERROR(VLOOKUP(Tabla2[[#This Row],[CODIGO]],Tabla1[],5,0),"")</f>
        <v>ALMACEN TICAPAMPA</v>
      </c>
      <c r="G279" s="26" t="str">
        <f>IFERROR(VLOOKUP(Tabla2[[#This Row],[CODIGO]],Tabla1[],6,0),"")</f>
        <v>UNI</v>
      </c>
      <c r="H279" s="26">
        <f>IFERROR(VLOOKUP(Tabla2[[#This Row],[CODIGO]],Tabla1[],10,0),"")</f>
        <v>1</v>
      </c>
      <c r="I279" s="7">
        <v>-1</v>
      </c>
      <c r="J279" s="29" t="s">
        <v>321</v>
      </c>
      <c r="K279" s="26" t="str">
        <f>IFERROR(VLOOKUP(Tabla2[[#This Row],[CODIGO]],Tabla1[],11,0),"")</f>
        <v>COMPRA</v>
      </c>
      <c r="L279" s="67" t="s">
        <v>250</v>
      </c>
      <c r="M279" s="67" t="s">
        <v>472</v>
      </c>
      <c r="N279" s="70">
        <v>4</v>
      </c>
      <c r="O279" s="70">
        <f>Tabla2[[#This Row],[CANTIDAD]]*Tabla2[[#This Row],[PREC. UNITARIO]]</f>
        <v>-4</v>
      </c>
      <c r="R279" t="str">
        <f>Tabla2[[#This Row],[QUIEN RECIBE]]&amp;"-"&amp;TEXT(Tabla2[[#This Row],[FECHA]],"dd/mm/yyyy")</f>
        <v>ACUACHI LANCHIPA ERNESTO ALONSO-17/09/2025</v>
      </c>
    </row>
    <row r="280" spans="2:18" ht="20.45" hidden="1" customHeight="1" x14ac:dyDescent="0.25">
      <c r="B280" s="5">
        <v>45917</v>
      </c>
      <c r="C280" s="2" t="str">
        <f>IFERROR(_xlfn.XLOOKUP(Tabla2[[#This Row],[PRODUCTO]],Tabla1[PRODUCTO],Tabla1[CODIGO]),"")</f>
        <v>IS-23</v>
      </c>
      <c r="D280" s="31" t="s">
        <v>75</v>
      </c>
      <c r="E280" s="31" t="str">
        <f>IFERROR(VLOOKUP(Tabla2[[#This Row],[CODIGO]],Tabla1[],3,0),"")</f>
        <v>IMPLEMENTOS DE SEGURIDAD</v>
      </c>
      <c r="F280" s="28" t="str">
        <f>IFERROR(VLOOKUP(Tabla2[[#This Row],[CODIGO]],Tabla1[],5,0),"")</f>
        <v>ALMACEN TICAPAMPA</v>
      </c>
      <c r="G280" s="26" t="str">
        <f>IFERROR(VLOOKUP(Tabla2[[#This Row],[CODIGO]],Tabla1[],6,0),"")</f>
        <v>UNI</v>
      </c>
      <c r="H280" s="26">
        <f>IFERROR(VLOOKUP(Tabla2[[#This Row],[CODIGO]],Tabla1[],10,0),"")</f>
        <v>34</v>
      </c>
      <c r="I280" s="7">
        <v>-1</v>
      </c>
      <c r="J280" s="29" t="s">
        <v>321</v>
      </c>
      <c r="K280" s="26" t="str">
        <f>IFERROR(VLOOKUP(Tabla2[[#This Row],[CODIGO]],Tabla1[],11,0),"")</f>
        <v>COMPRA</v>
      </c>
      <c r="L280" s="67" t="s">
        <v>250</v>
      </c>
      <c r="M280" s="67" t="s">
        <v>472</v>
      </c>
      <c r="N280" s="70">
        <v>4</v>
      </c>
      <c r="O280" s="70">
        <f>Tabla2[[#This Row],[CANTIDAD]]*Tabla2[[#This Row],[PREC. UNITARIO]]</f>
        <v>-4</v>
      </c>
      <c r="R280" t="str">
        <f>Tabla2[[#This Row],[QUIEN RECIBE]]&amp;"-"&amp;TEXT(Tabla2[[#This Row],[FECHA]],"dd/mm/yyyy")</f>
        <v>ACUACHI LANCHIPA ERNESTO ALONSO-17/09/2025</v>
      </c>
    </row>
    <row r="281" spans="2:18" ht="20.45" hidden="1" customHeight="1" x14ac:dyDescent="0.25">
      <c r="B281" s="5">
        <v>45917</v>
      </c>
      <c r="C281" s="2" t="str">
        <f>IFERROR(_xlfn.XLOOKUP(Tabla2[[#This Row],[PRODUCTO]],Tabla1[PRODUCTO],Tabla1[CODIGO]),"")</f>
        <v>IS-28</v>
      </c>
      <c r="D281" s="31" t="s">
        <v>79</v>
      </c>
      <c r="E281" s="31" t="str">
        <f>IFERROR(VLOOKUP(Tabla2[[#This Row],[CODIGO]],Tabla1[],3,0),"")</f>
        <v>IMPLEMENTOS DE SEGURIDAD</v>
      </c>
      <c r="F281" s="28" t="str">
        <f>IFERROR(VLOOKUP(Tabla2[[#This Row],[CODIGO]],Tabla1[],5,0),"")</f>
        <v>ALMACEN TICAPAMPA</v>
      </c>
      <c r="G281" s="26" t="str">
        <f>IFERROR(VLOOKUP(Tabla2[[#This Row],[CODIGO]],Tabla1[],6,0),"")</f>
        <v>UNI</v>
      </c>
      <c r="H281" s="26">
        <f>IFERROR(VLOOKUP(Tabla2[[#This Row],[CODIGO]],Tabla1[],10,0),"")</f>
        <v>32</v>
      </c>
      <c r="I281" s="7">
        <v>-1</v>
      </c>
      <c r="J281" s="29" t="s">
        <v>321</v>
      </c>
      <c r="K281" s="26" t="str">
        <f>IFERROR(VLOOKUP(Tabla2[[#This Row],[CODIGO]],Tabla1[],11,0),"")</f>
        <v>COMPRA</v>
      </c>
      <c r="L281" s="67" t="s">
        <v>250</v>
      </c>
      <c r="M281" s="67" t="s">
        <v>472</v>
      </c>
      <c r="N281" s="70">
        <v>4</v>
      </c>
      <c r="O281" s="70">
        <f>Tabla2[[#This Row],[CANTIDAD]]*Tabla2[[#This Row],[PREC. UNITARIO]]</f>
        <v>-4</v>
      </c>
      <c r="R281" t="str">
        <f>Tabla2[[#This Row],[QUIEN RECIBE]]&amp;"-"&amp;TEXT(Tabla2[[#This Row],[FECHA]],"dd/mm/yyyy")</f>
        <v>ACUACHI LANCHIPA ERNESTO ALONSO-17/09/2025</v>
      </c>
    </row>
    <row r="282" spans="2:18" ht="20.45" hidden="1" customHeight="1" x14ac:dyDescent="0.25">
      <c r="B282" s="5">
        <v>45917</v>
      </c>
      <c r="C282" s="2" t="str">
        <f>IFERROR(_xlfn.XLOOKUP(Tabla2[[#This Row],[PRODUCTO]],Tabla1[PRODUCTO],Tabla1[CODIGO]),"")</f>
        <v>IS-25</v>
      </c>
      <c r="D282" s="31" t="s">
        <v>77</v>
      </c>
      <c r="E282" s="31" t="str">
        <f>IFERROR(VLOOKUP(Tabla2[[#This Row],[CODIGO]],Tabla1[],3,0),"")</f>
        <v>IMPLEMENTOS DE SEGURIDAD</v>
      </c>
      <c r="F282" s="28" t="str">
        <f>IFERROR(VLOOKUP(Tabla2[[#This Row],[CODIGO]],Tabla1[],5,0),"")</f>
        <v>ALMACEN TICAPAMPA</v>
      </c>
      <c r="G282" s="26" t="str">
        <f>IFERROR(VLOOKUP(Tabla2[[#This Row],[CODIGO]],Tabla1[],6,0),"")</f>
        <v>UNI</v>
      </c>
      <c r="H282" s="26">
        <f>IFERROR(VLOOKUP(Tabla2[[#This Row],[CODIGO]],Tabla1[],10,0),"")</f>
        <v>25</v>
      </c>
      <c r="I282" s="7">
        <v>-1</v>
      </c>
      <c r="J282" s="29" t="s">
        <v>321</v>
      </c>
      <c r="K282" s="26" t="str">
        <f>IFERROR(VLOOKUP(Tabla2[[#This Row],[CODIGO]],Tabla1[],11,0),"")</f>
        <v>COMPRA</v>
      </c>
      <c r="L282" s="67" t="s">
        <v>250</v>
      </c>
      <c r="M282" s="67" t="s">
        <v>472</v>
      </c>
      <c r="N282" s="70"/>
      <c r="O282" s="70">
        <f>Tabla2[[#This Row],[CANTIDAD]]*Tabla2[[#This Row],[PREC. UNITARIO]]</f>
        <v>0</v>
      </c>
      <c r="R282" t="str">
        <f>Tabla2[[#This Row],[QUIEN RECIBE]]&amp;"-"&amp;TEXT(Tabla2[[#This Row],[FECHA]],"dd/mm/yyyy")</f>
        <v>ACUACHI LANCHIPA ERNESTO ALONSO-17/09/2025</v>
      </c>
    </row>
    <row r="283" spans="2:18" ht="20.45" hidden="1" customHeight="1" x14ac:dyDescent="0.25">
      <c r="B283" s="5">
        <v>45922</v>
      </c>
      <c r="C283" s="2" t="str">
        <f>IFERROR(_xlfn.XLOOKUP(Tabla2[[#This Row],[PRODUCTO]],Tabla1[PRODUCTO],Tabla1[CODIGO]),"")</f>
        <v>IS-37</v>
      </c>
      <c r="D283" s="31" t="s">
        <v>339</v>
      </c>
      <c r="E283" s="31" t="str">
        <f>IFERROR(VLOOKUP(Tabla2[[#This Row],[CODIGO]],Tabla1[],3,0),"")</f>
        <v>IMPLEMENTOS DE SEGURIDAD</v>
      </c>
      <c r="F283" s="28" t="str">
        <f>IFERROR(VLOOKUP(Tabla2[[#This Row],[CODIGO]],Tabla1[],5,0),"")</f>
        <v>ALMACEN TICAPAMPA</v>
      </c>
      <c r="G283" s="26" t="str">
        <f>IFERROR(VLOOKUP(Tabla2[[#This Row],[CODIGO]],Tabla1[],6,0),"")</f>
        <v>UNI</v>
      </c>
      <c r="H283" s="26">
        <f>IFERROR(VLOOKUP(Tabla2[[#This Row],[CODIGO]],Tabla1[],10,0),"")</f>
        <v>0</v>
      </c>
      <c r="I283" s="7">
        <v>1</v>
      </c>
      <c r="J283" s="29" t="s">
        <v>320</v>
      </c>
      <c r="K283" s="26" t="str">
        <f>IFERROR(VLOOKUP(Tabla2[[#This Row],[CODIGO]],Tabla1[],11,0),"")</f>
        <v>COMPRA</v>
      </c>
      <c r="L283" s="67" t="s">
        <v>308</v>
      </c>
      <c r="M283" s="67" t="s">
        <v>472</v>
      </c>
      <c r="N283" s="70">
        <v>45</v>
      </c>
      <c r="O283" s="70">
        <f>Tabla2[[#This Row],[CANTIDAD]]*Tabla2[[#This Row],[PREC. UNITARIO]]</f>
        <v>45</v>
      </c>
      <c r="P283" t="s">
        <v>547</v>
      </c>
      <c r="R283" t="str">
        <f>Tabla2[[#This Row],[QUIEN RECIBE]]&amp;"-"&amp;TEXT(Tabla2[[#This Row],[FECHA]],"dd/mm/yyyy")</f>
        <v>ACUACHI LANCHIPA ERNESTO ALONSO-22/09/2025</v>
      </c>
    </row>
    <row r="284" spans="2:18" ht="20.45" hidden="1" customHeight="1" x14ac:dyDescent="0.25">
      <c r="B284" s="5">
        <v>45922</v>
      </c>
      <c r="C284" s="2" t="str">
        <f>IFERROR(_xlfn.XLOOKUP(Tabla2[[#This Row],[PRODUCTO]],Tabla1[PRODUCTO],Tabla1[CODIGO]),"")</f>
        <v>IS-4</v>
      </c>
      <c r="D284" s="31" t="s">
        <v>54</v>
      </c>
      <c r="E284" s="31" t="str">
        <f>IFERROR(VLOOKUP(Tabla2[[#This Row],[CODIGO]],Tabla1[],3,0),"")</f>
        <v>IMPLEMENTOS DE SEGURIDAD</v>
      </c>
      <c r="F284" s="28" t="str">
        <f>IFERROR(VLOOKUP(Tabla2[[#This Row],[CODIGO]],Tabla1[],5,0),"")</f>
        <v>ALMACEN TICAPAMPA</v>
      </c>
      <c r="G284" s="26" t="str">
        <f>IFERROR(VLOOKUP(Tabla2[[#This Row],[CODIGO]],Tabla1[],6,0),"")</f>
        <v>UNI</v>
      </c>
      <c r="H284" s="26">
        <f>IFERROR(VLOOKUP(Tabla2[[#This Row],[CODIGO]],Tabla1[],10,0),"")</f>
        <v>0</v>
      </c>
      <c r="I284" s="7">
        <v>1</v>
      </c>
      <c r="J284" s="29" t="s">
        <v>320</v>
      </c>
      <c r="K284" s="26" t="str">
        <f>IFERROR(VLOOKUP(Tabla2[[#This Row],[CODIGO]],Tabla1[],11,0),"")</f>
        <v>COMPRA</v>
      </c>
      <c r="L284" s="67" t="s">
        <v>308</v>
      </c>
      <c r="M284" s="67" t="s">
        <v>472</v>
      </c>
      <c r="N284" s="70">
        <v>45</v>
      </c>
      <c r="O284" s="70">
        <f>Tabla2[[#This Row],[CANTIDAD]]*Tabla2[[#This Row],[PREC. UNITARIO]]</f>
        <v>45</v>
      </c>
      <c r="P284" t="s">
        <v>547</v>
      </c>
      <c r="R284" t="str">
        <f>Tabla2[[#This Row],[QUIEN RECIBE]]&amp;"-"&amp;TEXT(Tabla2[[#This Row],[FECHA]],"dd/mm/yyyy")</f>
        <v>ACUACHI LANCHIPA ERNESTO ALONSO-22/09/2025</v>
      </c>
    </row>
    <row r="285" spans="2:18" ht="20.45" hidden="1" customHeight="1" x14ac:dyDescent="0.25">
      <c r="B285" s="5">
        <v>45922</v>
      </c>
      <c r="C285" s="2" t="str">
        <f>IFERROR(_xlfn.XLOOKUP(Tabla2[[#This Row],[PRODUCTO]],Tabla1[PRODUCTO],Tabla1[CODIGO]),"")</f>
        <v>IS-5</v>
      </c>
      <c r="D285" s="31" t="s">
        <v>55</v>
      </c>
      <c r="E285" s="31" t="str">
        <f>IFERROR(VLOOKUP(Tabla2[[#This Row],[CODIGO]],Tabla1[],3,0),"")</f>
        <v>IMPLEMENTOS DE SEGURIDAD</v>
      </c>
      <c r="F285" s="28" t="str">
        <f>IFERROR(VLOOKUP(Tabla2[[#This Row],[CODIGO]],Tabla1[],5,0),"")</f>
        <v>ALMACEN TICAPAMPA</v>
      </c>
      <c r="G285" s="26" t="str">
        <f>IFERROR(VLOOKUP(Tabla2[[#This Row],[CODIGO]],Tabla1[],6,0),"")</f>
        <v>UNI</v>
      </c>
      <c r="H285" s="26">
        <f>IFERROR(VLOOKUP(Tabla2[[#This Row],[CODIGO]],Tabla1[],10,0),"")</f>
        <v>0</v>
      </c>
      <c r="I285" s="7">
        <v>1</v>
      </c>
      <c r="J285" s="29" t="s">
        <v>320</v>
      </c>
      <c r="K285" s="26" t="str">
        <f>IFERROR(VLOOKUP(Tabla2[[#This Row],[CODIGO]],Tabla1[],11,0),"")</f>
        <v>COMPRA</v>
      </c>
      <c r="L285" s="67" t="s">
        <v>308</v>
      </c>
      <c r="M285" s="67" t="s">
        <v>472</v>
      </c>
      <c r="N285" s="70">
        <v>45</v>
      </c>
      <c r="O285" s="70">
        <f>Tabla2[[#This Row],[CANTIDAD]]*Tabla2[[#This Row],[PREC. UNITARIO]]</f>
        <v>45</v>
      </c>
      <c r="P285" t="s">
        <v>547</v>
      </c>
      <c r="R285" t="str">
        <f>Tabla2[[#This Row],[QUIEN RECIBE]]&amp;"-"&amp;TEXT(Tabla2[[#This Row],[FECHA]],"dd/mm/yyyy")</f>
        <v>ACUACHI LANCHIPA ERNESTO ALONSO-22/09/2025</v>
      </c>
    </row>
    <row r="286" spans="2:18" ht="20.45" hidden="1" customHeight="1" x14ac:dyDescent="0.25">
      <c r="B286" s="5">
        <v>45922</v>
      </c>
      <c r="C286" s="2" t="str">
        <f>IFERROR(_xlfn.XLOOKUP(Tabla2[[#This Row],[PRODUCTO]],Tabla1[PRODUCTO],Tabla1[CODIGO]),"")</f>
        <v>IS-13</v>
      </c>
      <c r="D286" s="31" t="s">
        <v>63</v>
      </c>
      <c r="E286" s="31" t="str">
        <f>IFERROR(VLOOKUP(Tabla2[[#This Row],[CODIGO]],Tabla1[],3,0),"")</f>
        <v>IMPLEMENTOS DE SEGURIDAD</v>
      </c>
      <c r="F286" s="28" t="str">
        <f>IFERROR(VLOOKUP(Tabla2[[#This Row],[CODIGO]],Tabla1[],5,0),"")</f>
        <v>ALMACEN TICAPAMPA</v>
      </c>
      <c r="G286" s="26" t="str">
        <f>IFERROR(VLOOKUP(Tabla2[[#This Row],[CODIGO]],Tabla1[],6,0),"")</f>
        <v>UNI</v>
      </c>
      <c r="H286" s="26">
        <f>IFERROR(VLOOKUP(Tabla2[[#This Row],[CODIGO]],Tabla1[],10,0),"")</f>
        <v>2</v>
      </c>
      <c r="I286" s="7">
        <v>3</v>
      </c>
      <c r="J286" s="29" t="s">
        <v>320</v>
      </c>
      <c r="K286" s="26" t="str">
        <f>IFERROR(VLOOKUP(Tabla2[[#This Row],[CODIGO]],Tabla1[],11,0),"")</f>
        <v>COMPRA</v>
      </c>
      <c r="L286" s="67" t="s">
        <v>308</v>
      </c>
      <c r="M286" s="67" t="s">
        <v>472</v>
      </c>
      <c r="N286" s="70">
        <v>45</v>
      </c>
      <c r="O286" s="70">
        <f>Tabla2[[#This Row],[CANTIDAD]]*Tabla2[[#This Row],[PREC. UNITARIO]]</f>
        <v>135</v>
      </c>
      <c r="P286" t="s">
        <v>547</v>
      </c>
      <c r="R286" t="str">
        <f>Tabla2[[#This Row],[QUIEN RECIBE]]&amp;"-"&amp;TEXT(Tabla2[[#This Row],[FECHA]],"dd/mm/yyyy")</f>
        <v>ACUACHI LANCHIPA ERNESTO ALONSO-22/09/2025</v>
      </c>
    </row>
    <row r="287" spans="2:18" ht="20.45" hidden="1" customHeight="1" x14ac:dyDescent="0.25">
      <c r="B287" s="5">
        <v>45922</v>
      </c>
      <c r="C287" s="2" t="str">
        <f>IFERROR(_xlfn.XLOOKUP(Tabla2[[#This Row],[PRODUCTO]],Tabla1[PRODUCTO],Tabla1[CODIGO]),"")</f>
        <v>IS-2</v>
      </c>
      <c r="D287" s="31" t="s">
        <v>52</v>
      </c>
      <c r="E287" s="31" t="str">
        <f>IFERROR(VLOOKUP(Tabla2[[#This Row],[CODIGO]],Tabla1[],3,0),"")</f>
        <v>IMPLEMENTOS DE SEGURIDAD</v>
      </c>
      <c r="F287" s="28" t="str">
        <f>IFERROR(VLOOKUP(Tabla2[[#This Row],[CODIGO]],Tabla1[],5,0),"")</f>
        <v>ALMACEN TICAPAMPA</v>
      </c>
      <c r="G287" s="26" t="str">
        <f>IFERROR(VLOOKUP(Tabla2[[#This Row],[CODIGO]],Tabla1[],6,0),"")</f>
        <v>UNI</v>
      </c>
      <c r="H287" s="26">
        <f>IFERROR(VLOOKUP(Tabla2[[#This Row],[CODIGO]],Tabla1[],10,0),"")</f>
        <v>5</v>
      </c>
      <c r="I287" s="7">
        <v>2</v>
      </c>
      <c r="J287" s="29" t="s">
        <v>320</v>
      </c>
      <c r="K287" s="26" t="str">
        <f>IFERROR(VLOOKUP(Tabla2[[#This Row],[CODIGO]],Tabla1[],11,0),"")</f>
        <v>COMPRA</v>
      </c>
      <c r="L287" s="67" t="s">
        <v>308</v>
      </c>
      <c r="M287" s="67" t="s">
        <v>472</v>
      </c>
      <c r="N287" s="70">
        <v>45</v>
      </c>
      <c r="O287" s="70">
        <f>Tabla2[[#This Row],[CANTIDAD]]*Tabla2[[#This Row],[PREC. UNITARIO]]</f>
        <v>90</v>
      </c>
      <c r="P287" t="s">
        <v>547</v>
      </c>
      <c r="R287" t="str">
        <f>Tabla2[[#This Row],[QUIEN RECIBE]]&amp;"-"&amp;TEXT(Tabla2[[#This Row],[FECHA]],"dd/mm/yyyy")</f>
        <v>ACUACHI LANCHIPA ERNESTO ALONSO-22/09/2025</v>
      </c>
    </row>
    <row r="288" spans="2:18" ht="20.45" hidden="1" customHeight="1" x14ac:dyDescent="0.25">
      <c r="B288" s="5">
        <v>45923</v>
      </c>
      <c r="C288" s="2" t="str">
        <f>IFERROR(_xlfn.XLOOKUP(Tabla2[[#This Row],[PRODUCTO]],Tabla1[PRODUCTO],Tabla1[CODIGO]),"")</f>
        <v>IS-13</v>
      </c>
      <c r="D288" s="31" t="s">
        <v>63</v>
      </c>
      <c r="E288" s="31" t="str">
        <f>IFERROR(VLOOKUP(Tabla2[[#This Row],[CODIGO]],Tabla1[],3,0),"")</f>
        <v>IMPLEMENTOS DE SEGURIDAD</v>
      </c>
      <c r="F288" s="28" t="str">
        <f>IFERROR(VLOOKUP(Tabla2[[#This Row],[CODIGO]],Tabla1[],5,0),"")</f>
        <v>ALMACEN TICAPAMPA</v>
      </c>
      <c r="G288" s="26" t="str">
        <f>IFERROR(VLOOKUP(Tabla2[[#This Row],[CODIGO]],Tabla1[],6,0),"")</f>
        <v>UNI</v>
      </c>
      <c r="H288" s="26">
        <f>IFERROR(VLOOKUP(Tabla2[[#This Row],[CODIGO]],Tabla1[],10,0),"")</f>
        <v>2</v>
      </c>
      <c r="I288" s="7">
        <v>-1</v>
      </c>
      <c r="J288" s="29" t="s">
        <v>321</v>
      </c>
      <c r="K288" s="26" t="str">
        <f>IFERROR(VLOOKUP(Tabla2[[#This Row],[CODIGO]],Tabla1[],11,0),"")</f>
        <v>COMPRA</v>
      </c>
      <c r="L288" s="67" t="s">
        <v>250</v>
      </c>
      <c r="M288" s="67" t="s">
        <v>472</v>
      </c>
      <c r="N288" s="70">
        <v>45</v>
      </c>
      <c r="O288" s="70">
        <f>Tabla2[[#This Row],[CANTIDAD]]*Tabla2[[#This Row],[PREC. UNITARIO]]</f>
        <v>-45</v>
      </c>
      <c r="R288" t="str">
        <f>Tabla2[[#This Row],[QUIEN RECIBE]]&amp;"-"&amp;TEXT(Tabla2[[#This Row],[FECHA]],"dd/mm/yyyy")</f>
        <v>ACUACHI LANCHIPA ERNESTO ALONSO-23/09/2025</v>
      </c>
    </row>
    <row r="289" spans="2:18" ht="20.45" hidden="1" customHeight="1" x14ac:dyDescent="0.25">
      <c r="B289" s="5">
        <v>45923</v>
      </c>
      <c r="C289" s="2" t="str">
        <f>IFERROR(_xlfn.XLOOKUP(Tabla2[[#This Row],[PRODUCTO]],Tabla1[PRODUCTO],Tabla1[CODIGO]),"")</f>
        <v>HM-3</v>
      </c>
      <c r="D289" s="31" t="s">
        <v>294</v>
      </c>
      <c r="E289" s="31" t="str">
        <f>IFERROR(VLOOKUP(Tabla2[[#This Row],[CODIGO]],Tabla1[],3,0),"")</f>
        <v>HERRAMIENTAS</v>
      </c>
      <c r="F289" s="28" t="str">
        <f>IFERROR(VLOOKUP(Tabla2[[#This Row],[CODIGO]],Tabla1[],5,0),"")</f>
        <v>ALMACEN TICAPAMPA</v>
      </c>
      <c r="G289" s="26" t="str">
        <f>IFERROR(VLOOKUP(Tabla2[[#This Row],[CODIGO]],Tabla1[],6,0),"")</f>
        <v>UNI</v>
      </c>
      <c r="H289" s="26">
        <f>IFERROR(VLOOKUP(Tabla2[[#This Row],[CODIGO]],Tabla1[],10,0),"")</f>
        <v>0</v>
      </c>
      <c r="I289" s="7">
        <v>-3</v>
      </c>
      <c r="J289" s="29" t="s">
        <v>278</v>
      </c>
      <c r="K289" s="26" t="str">
        <f>IFERROR(VLOOKUP(Tabla2[[#This Row],[CODIGO]],Tabla1[],11,0),"")</f>
        <v>COMPRA</v>
      </c>
      <c r="L289" s="67" t="s">
        <v>236</v>
      </c>
      <c r="M289" s="67" t="s">
        <v>244</v>
      </c>
      <c r="N289" s="70"/>
      <c r="O289" s="70">
        <f>Tabla2[[#This Row],[CANTIDAD]]*Tabla2[[#This Row],[PREC. UNITARIO]]</f>
        <v>0</v>
      </c>
      <c r="R289" t="str">
        <f>Tabla2[[#This Row],[QUIEN RECIBE]]&amp;"-"&amp;TEXT(Tabla2[[#This Row],[FECHA]],"dd/mm/yyyy")</f>
        <v>CORDOVA ANGULO, JUAN-23/09/2025</v>
      </c>
    </row>
    <row r="290" spans="2:18" ht="20.45" hidden="1" customHeight="1" x14ac:dyDescent="0.25">
      <c r="B290" s="5">
        <v>45923</v>
      </c>
      <c r="C290" s="2" t="str">
        <f>IFERROR(_xlfn.XLOOKUP(Tabla2[[#This Row],[PRODUCTO]],Tabla1[PRODUCTO],Tabla1[CODIGO]),"")</f>
        <v>HM-5</v>
      </c>
      <c r="D290" s="31" t="s">
        <v>295</v>
      </c>
      <c r="E290" s="31" t="str">
        <f>IFERROR(VLOOKUP(Tabla2[[#This Row],[CODIGO]],Tabla1[],3,0),"")</f>
        <v>HERRAMIENTAS</v>
      </c>
      <c r="F290" s="28" t="str">
        <f>IFERROR(VLOOKUP(Tabla2[[#This Row],[CODIGO]],Tabla1[],5,0),"")</f>
        <v>ALMACEN TICAPAMPA</v>
      </c>
      <c r="G290" s="26" t="str">
        <f>IFERROR(VLOOKUP(Tabla2[[#This Row],[CODIGO]],Tabla1[],6,0),"")</f>
        <v>UNI</v>
      </c>
      <c r="H290" s="26">
        <f>IFERROR(VLOOKUP(Tabla2[[#This Row],[CODIGO]],Tabla1[],10,0),"")</f>
        <v>1</v>
      </c>
      <c r="I290" s="7">
        <v>-2</v>
      </c>
      <c r="J290" s="29" t="s">
        <v>340</v>
      </c>
      <c r="K290" s="26" t="str">
        <f>IFERROR(VLOOKUP(Tabla2[[#This Row],[CODIGO]],Tabla1[],11,0),"")</f>
        <v>COMPRA</v>
      </c>
      <c r="L290" s="67" t="s">
        <v>236</v>
      </c>
      <c r="M290" s="67" t="s">
        <v>239</v>
      </c>
      <c r="N290" s="70"/>
      <c r="O290" s="70">
        <f>Tabla2[[#This Row],[CANTIDAD]]*Tabla2[[#This Row],[PREC. UNITARIO]]</f>
        <v>0</v>
      </c>
      <c r="R290" t="str">
        <f>Tabla2[[#This Row],[QUIEN RECIBE]]&amp;"-"&amp;TEXT(Tabla2[[#This Row],[FECHA]],"dd/mm/yyyy")</f>
        <v>JEREMIAS PALOMINO, NORBERTO LEONCIO-23/09/2025</v>
      </c>
    </row>
    <row r="291" spans="2:18" ht="20.45" hidden="1" customHeight="1" x14ac:dyDescent="0.25">
      <c r="B291" s="5">
        <v>45923</v>
      </c>
      <c r="C291" s="2" t="str">
        <f>IFERROR(_xlfn.XLOOKUP(Tabla2[[#This Row],[PRODUCTO]],Tabla1[PRODUCTO],Tabla1[CODIGO]),"")</f>
        <v>HM-5</v>
      </c>
      <c r="D291" s="31" t="s">
        <v>295</v>
      </c>
      <c r="E291" s="31" t="str">
        <f>IFERROR(VLOOKUP(Tabla2[[#This Row],[CODIGO]],Tabla1[],3,0),"")</f>
        <v>HERRAMIENTAS</v>
      </c>
      <c r="F291" s="28" t="str">
        <f>IFERROR(VLOOKUP(Tabla2[[#This Row],[CODIGO]],Tabla1[],5,0),"")</f>
        <v>ALMACEN TICAPAMPA</v>
      </c>
      <c r="G291" s="26" t="str">
        <f>IFERROR(VLOOKUP(Tabla2[[#This Row],[CODIGO]],Tabla1[],6,0),"")</f>
        <v>UNI</v>
      </c>
      <c r="H291" s="26">
        <f>IFERROR(VLOOKUP(Tabla2[[#This Row],[CODIGO]],Tabla1[],10,0),"")</f>
        <v>1</v>
      </c>
      <c r="I291" s="7">
        <v>-1</v>
      </c>
      <c r="J291" s="29" t="s">
        <v>340</v>
      </c>
      <c r="K291" s="26" t="str">
        <f>IFERROR(VLOOKUP(Tabla2[[#This Row],[CODIGO]],Tabla1[],11,0),"")</f>
        <v>COMPRA</v>
      </c>
      <c r="L291" s="67" t="s">
        <v>236</v>
      </c>
      <c r="M291" s="67" t="s">
        <v>323</v>
      </c>
      <c r="N291" s="70"/>
      <c r="O291" s="70">
        <f>Tabla2[[#This Row],[CANTIDAD]]*Tabla2[[#This Row],[PREC. UNITARIO]]</f>
        <v>0</v>
      </c>
      <c r="R291" t="str">
        <f>Tabla2[[#This Row],[QUIEN RECIBE]]&amp;"-"&amp;TEXT(Tabla2[[#This Row],[FECHA]],"dd/mm/yyyy")</f>
        <v>TUANAMA PILCO, CRHIS-23/09/2025</v>
      </c>
    </row>
    <row r="292" spans="2:18" ht="20.45" hidden="1" customHeight="1" x14ac:dyDescent="0.25">
      <c r="B292" s="5">
        <v>45923</v>
      </c>
      <c r="C292" s="2" t="str">
        <f>IFERROR(_xlfn.XLOOKUP(Tabla2[[#This Row],[PRODUCTO]],Tabla1[PRODUCTO],Tabla1[CODIGO]),"")</f>
        <v>IS-28</v>
      </c>
      <c r="D292" s="31" t="s">
        <v>79</v>
      </c>
      <c r="E292" s="31" t="str">
        <f>IFERROR(VLOOKUP(Tabla2[[#This Row],[CODIGO]],Tabla1[],3,0),"")</f>
        <v>IMPLEMENTOS DE SEGURIDAD</v>
      </c>
      <c r="F292" s="28" t="str">
        <f>IFERROR(VLOOKUP(Tabla2[[#This Row],[CODIGO]],Tabla1[],5,0),"")</f>
        <v>ALMACEN TICAPAMPA</v>
      </c>
      <c r="G292" s="26" t="str">
        <f>IFERROR(VLOOKUP(Tabla2[[#This Row],[CODIGO]],Tabla1[],6,0),"")</f>
        <v>UNI</v>
      </c>
      <c r="H292" s="26">
        <f>IFERROR(VLOOKUP(Tabla2[[#This Row],[CODIGO]],Tabla1[],10,0),"")</f>
        <v>32</v>
      </c>
      <c r="I292" s="7">
        <v>-1</v>
      </c>
      <c r="J292" s="29" t="s">
        <v>321</v>
      </c>
      <c r="K292" s="26" t="str">
        <f>IFERROR(VLOOKUP(Tabla2[[#This Row],[CODIGO]],Tabla1[],11,0),"")</f>
        <v>COMPRA</v>
      </c>
      <c r="L292" s="67" t="s">
        <v>236</v>
      </c>
      <c r="M292" s="67" t="s">
        <v>239</v>
      </c>
      <c r="N292" s="70">
        <v>4</v>
      </c>
      <c r="O292" s="70">
        <f>Tabla2[[#This Row],[CANTIDAD]]*Tabla2[[#This Row],[PREC. UNITARIO]]</f>
        <v>-4</v>
      </c>
      <c r="R292" t="str">
        <f>Tabla2[[#This Row],[QUIEN RECIBE]]&amp;"-"&amp;TEXT(Tabla2[[#This Row],[FECHA]],"dd/mm/yyyy")</f>
        <v>JEREMIAS PALOMINO, NORBERTO LEONCIO-23/09/2025</v>
      </c>
    </row>
    <row r="293" spans="2:18" ht="20.45" hidden="1" customHeight="1" x14ac:dyDescent="0.25">
      <c r="B293" s="5">
        <v>45923</v>
      </c>
      <c r="C293" s="2" t="str">
        <f>IFERROR(_xlfn.XLOOKUP(Tabla2[[#This Row],[PRODUCTO]],Tabla1[PRODUCTO],Tabla1[CODIGO]),"")</f>
        <v>IS-28</v>
      </c>
      <c r="D293" s="31" t="s">
        <v>79</v>
      </c>
      <c r="E293" s="31" t="str">
        <f>IFERROR(VLOOKUP(Tabla2[[#This Row],[CODIGO]],Tabla1[],3,0),"")</f>
        <v>IMPLEMENTOS DE SEGURIDAD</v>
      </c>
      <c r="F293" s="28" t="str">
        <f>IFERROR(VLOOKUP(Tabla2[[#This Row],[CODIGO]],Tabla1[],5,0),"")</f>
        <v>ALMACEN TICAPAMPA</v>
      </c>
      <c r="G293" s="26" t="str">
        <f>IFERROR(VLOOKUP(Tabla2[[#This Row],[CODIGO]],Tabla1[],6,0),"")</f>
        <v>UNI</v>
      </c>
      <c r="H293" s="26">
        <f>IFERROR(VLOOKUP(Tabla2[[#This Row],[CODIGO]],Tabla1[],10,0),"")</f>
        <v>32</v>
      </c>
      <c r="I293" s="7">
        <v>-1</v>
      </c>
      <c r="J293" s="29" t="s">
        <v>321</v>
      </c>
      <c r="K293" s="26" t="str">
        <f>IFERROR(VLOOKUP(Tabla2[[#This Row],[CODIGO]],Tabla1[],11,0),"")</f>
        <v>COMPRA</v>
      </c>
      <c r="L293" s="67" t="s">
        <v>236</v>
      </c>
      <c r="M293" s="67" t="s">
        <v>245</v>
      </c>
      <c r="N293" s="70">
        <v>4</v>
      </c>
      <c r="O293" s="70">
        <f>Tabla2[[#This Row],[CANTIDAD]]*Tabla2[[#This Row],[PREC. UNITARIO]]</f>
        <v>-4</v>
      </c>
      <c r="R293" t="str">
        <f>Tabla2[[#This Row],[QUIEN RECIBE]]&amp;"-"&amp;TEXT(Tabla2[[#This Row],[FECHA]],"dd/mm/yyyy")</f>
        <v>ROJAS SANDOVAL, JAVIER ELOY-23/09/2025</v>
      </c>
    </row>
    <row r="294" spans="2:18" ht="20.45" hidden="1" customHeight="1" x14ac:dyDescent="0.25">
      <c r="B294" s="5">
        <v>45923</v>
      </c>
      <c r="C294" s="2" t="str">
        <f>IFERROR(_xlfn.XLOOKUP(Tabla2[[#This Row],[PRODUCTO]],Tabla1[PRODUCTO],Tabla1[CODIGO]),"")</f>
        <v>IS-38</v>
      </c>
      <c r="D294" s="31" t="s">
        <v>341</v>
      </c>
      <c r="E294" s="31" t="str">
        <f>IFERROR(VLOOKUP(Tabla2[[#This Row],[CODIGO]],Tabla1[],3,0),"")</f>
        <v>IMPLEMENTOS DE SEGURIDAD</v>
      </c>
      <c r="F294" s="28" t="str">
        <f>IFERROR(VLOOKUP(Tabla2[[#This Row],[CODIGO]],Tabla1[],5,0),"")</f>
        <v>ALMACEN TICAPAMPA</v>
      </c>
      <c r="G294" s="26" t="str">
        <f>IFERROR(VLOOKUP(Tabla2[[#This Row],[CODIGO]],Tabla1[],6,0),"")</f>
        <v>UNI</v>
      </c>
      <c r="H294" s="26">
        <f>IFERROR(VLOOKUP(Tabla2[[#This Row],[CODIGO]],Tabla1[],10,0),"")</f>
        <v>1</v>
      </c>
      <c r="I294" s="7">
        <v>1</v>
      </c>
      <c r="J294" s="29" t="s">
        <v>320</v>
      </c>
      <c r="K294" s="26" t="str">
        <f>IFERROR(VLOOKUP(Tabla2[[#This Row],[CODIGO]],Tabla1[],11,0),"")</f>
        <v>ALMACEN CENTRAL</v>
      </c>
      <c r="L294" s="67"/>
      <c r="M294" s="67"/>
      <c r="N294" s="70"/>
      <c r="O294" s="70">
        <f>Tabla2[[#This Row],[CANTIDAD]]*Tabla2[[#This Row],[PREC. UNITARIO]]</f>
        <v>0</v>
      </c>
      <c r="R294" t="str">
        <f>Tabla2[[#This Row],[QUIEN RECIBE]]&amp;"-"&amp;TEXT(Tabla2[[#This Row],[FECHA]],"dd/mm/yyyy")</f>
        <v>-23/09/2025</v>
      </c>
    </row>
    <row r="295" spans="2:18" ht="20.45" hidden="1" customHeight="1" x14ac:dyDescent="0.25">
      <c r="B295" s="5">
        <v>45923</v>
      </c>
      <c r="C295" s="2" t="str">
        <f>IFERROR(_xlfn.XLOOKUP(Tabla2[[#This Row],[PRODUCTO]],Tabla1[PRODUCTO],Tabla1[CODIGO]),"")</f>
        <v>IS-39</v>
      </c>
      <c r="D295" s="31" t="s">
        <v>342</v>
      </c>
      <c r="E295" s="31" t="str">
        <f>IFERROR(VLOOKUP(Tabla2[[#This Row],[CODIGO]],Tabla1[],3,0),"")</f>
        <v>IMPLEMENTOS DE SEGURIDAD</v>
      </c>
      <c r="F295" s="28" t="str">
        <f>IFERROR(VLOOKUP(Tabla2[[#This Row],[CODIGO]],Tabla1[],5,0),"")</f>
        <v>ALMACEN TICAPAMPA</v>
      </c>
      <c r="G295" s="26" t="str">
        <f>IFERROR(VLOOKUP(Tabla2[[#This Row],[CODIGO]],Tabla1[],6,0),"")</f>
        <v>UNI</v>
      </c>
      <c r="H295" s="26">
        <f>IFERROR(VLOOKUP(Tabla2[[#This Row],[CODIGO]],Tabla1[],10,0),"")</f>
        <v>2</v>
      </c>
      <c r="I295" s="7">
        <v>2</v>
      </c>
      <c r="J295" s="29" t="s">
        <v>320</v>
      </c>
      <c r="K295" s="26" t="str">
        <f>IFERROR(VLOOKUP(Tabla2[[#This Row],[CODIGO]],Tabla1[],11,0),"")</f>
        <v>ALMACEN CENTRAL</v>
      </c>
      <c r="L295" s="67"/>
      <c r="M295" s="67"/>
      <c r="N295" s="70"/>
      <c r="O295" s="70">
        <f>Tabla2[[#This Row],[CANTIDAD]]*Tabla2[[#This Row],[PREC. UNITARIO]]</f>
        <v>0</v>
      </c>
      <c r="R295" t="str">
        <f>Tabla2[[#This Row],[QUIEN RECIBE]]&amp;"-"&amp;TEXT(Tabla2[[#This Row],[FECHA]],"dd/mm/yyyy")</f>
        <v>-23/09/2025</v>
      </c>
    </row>
    <row r="296" spans="2:18" ht="20.45" hidden="1" customHeight="1" x14ac:dyDescent="0.25">
      <c r="B296" s="5">
        <v>45922</v>
      </c>
      <c r="C296" s="2" t="str">
        <f>IFERROR(_xlfn.XLOOKUP(Tabla2[[#This Row],[PRODUCTO]],Tabla1[PRODUCTO],Tabla1[CODIGO]),"")</f>
        <v>HM-12</v>
      </c>
      <c r="D296" s="31" t="s">
        <v>343</v>
      </c>
      <c r="E296" s="31" t="str">
        <f>IFERROR(VLOOKUP(Tabla2[[#This Row],[CODIGO]],Tabla1[],3,0),"")</f>
        <v>HERRAMIENTAS</v>
      </c>
      <c r="F296" s="28" t="str">
        <f>IFERROR(VLOOKUP(Tabla2[[#This Row],[CODIGO]],Tabla1[],5,0),"")</f>
        <v>ALMACEN TICAPAMPA</v>
      </c>
      <c r="G296" s="26" t="str">
        <f>IFERROR(VLOOKUP(Tabla2[[#This Row],[CODIGO]],Tabla1[],6,0),"")</f>
        <v>UNI</v>
      </c>
      <c r="H296" s="26">
        <f>IFERROR(VLOOKUP(Tabla2[[#This Row],[CODIGO]],Tabla1[],10,0),"")</f>
        <v>1</v>
      </c>
      <c r="I296" s="7">
        <v>1</v>
      </c>
      <c r="J296" s="29" t="s">
        <v>320</v>
      </c>
      <c r="K296" s="26" t="str">
        <f>IFERROR(VLOOKUP(Tabla2[[#This Row],[CODIGO]],Tabla1[],11,0),"")</f>
        <v>COMPRA</v>
      </c>
      <c r="L296" s="67" t="s">
        <v>308</v>
      </c>
      <c r="M296" s="67" t="s">
        <v>472</v>
      </c>
      <c r="N296" s="70"/>
      <c r="O296" s="70">
        <f>Tabla2[[#This Row],[CANTIDAD]]*Tabla2[[#This Row],[PREC. UNITARIO]]</f>
        <v>0</v>
      </c>
      <c r="R296" t="str">
        <f>Tabla2[[#This Row],[QUIEN RECIBE]]&amp;"-"&amp;TEXT(Tabla2[[#This Row],[FECHA]],"dd/mm/yyyy")</f>
        <v>ACUACHI LANCHIPA ERNESTO ALONSO-22/09/2025</v>
      </c>
    </row>
    <row r="297" spans="2:18" ht="20.45" hidden="1" customHeight="1" x14ac:dyDescent="0.25">
      <c r="B297" s="5">
        <v>45922</v>
      </c>
      <c r="C297" s="2" t="str">
        <f>IFERROR(_xlfn.XLOOKUP(Tabla2[[#This Row],[PRODUCTO]],Tabla1[PRODUCTO],Tabla1[CODIGO]),"")</f>
        <v>HM-13</v>
      </c>
      <c r="D297" s="31" t="s">
        <v>344</v>
      </c>
      <c r="E297" s="31" t="str">
        <f>IFERROR(VLOOKUP(Tabla2[[#This Row],[CODIGO]],Tabla1[],3,0),"")</f>
        <v>HERRAMIENTAS</v>
      </c>
      <c r="F297" s="28" t="str">
        <f>IFERROR(VLOOKUP(Tabla2[[#This Row],[CODIGO]],Tabla1[],5,0),"")</f>
        <v>ALMACEN TICAPAMPA</v>
      </c>
      <c r="G297" s="26" t="str">
        <f>IFERROR(VLOOKUP(Tabla2[[#This Row],[CODIGO]],Tabla1[],6,0),"")</f>
        <v>UNI</v>
      </c>
      <c r="H297" s="26">
        <f>IFERROR(VLOOKUP(Tabla2[[#This Row],[CODIGO]],Tabla1[],10,0),"")</f>
        <v>2</v>
      </c>
      <c r="I297" s="7">
        <v>2</v>
      </c>
      <c r="J297" s="29" t="s">
        <v>320</v>
      </c>
      <c r="K297" s="26" t="str">
        <f>IFERROR(VLOOKUP(Tabla2[[#This Row],[CODIGO]],Tabla1[],11,0),"")</f>
        <v>COMPRA</v>
      </c>
      <c r="L297" s="67" t="s">
        <v>308</v>
      </c>
      <c r="M297" s="67" t="s">
        <v>472</v>
      </c>
      <c r="N297" s="70"/>
      <c r="O297" s="70">
        <f>Tabla2[[#This Row],[CANTIDAD]]*Tabla2[[#This Row],[PREC. UNITARIO]]</f>
        <v>0</v>
      </c>
      <c r="R297" t="str">
        <f>Tabla2[[#This Row],[QUIEN RECIBE]]&amp;"-"&amp;TEXT(Tabla2[[#This Row],[FECHA]],"dd/mm/yyyy")</f>
        <v>ACUACHI LANCHIPA ERNESTO ALONSO-22/09/2025</v>
      </c>
    </row>
    <row r="298" spans="2:18" ht="20.45" hidden="1" customHeight="1" x14ac:dyDescent="0.25">
      <c r="B298" s="5">
        <v>45922</v>
      </c>
      <c r="C298" s="2" t="str">
        <f>IFERROR(_xlfn.XLOOKUP(Tabla2[[#This Row],[PRODUCTO]],Tabla1[PRODUCTO],Tabla1[CODIGO]),"")</f>
        <v>UTC-3</v>
      </c>
      <c r="D298" s="31" t="s">
        <v>345</v>
      </c>
      <c r="E298" s="31" t="str">
        <f>IFERROR(VLOOKUP(Tabla2[[#This Row],[CODIGO]],Tabla1[],3,0),"")</f>
        <v>UTILES DE CAMA</v>
      </c>
      <c r="F298" s="28" t="str">
        <f>IFERROR(VLOOKUP(Tabla2[[#This Row],[CODIGO]],Tabla1[],5,0),"")</f>
        <v>ALMACEN TICAPAMPA</v>
      </c>
      <c r="G298" s="26" t="str">
        <f>IFERROR(VLOOKUP(Tabla2[[#This Row],[CODIGO]],Tabla1[],6,0),"")</f>
        <v>UNI</v>
      </c>
      <c r="H298" s="26">
        <f>IFERROR(VLOOKUP(Tabla2[[#This Row],[CODIGO]],Tabla1[],10,0),"")</f>
        <v>33</v>
      </c>
      <c r="I298" s="7">
        <v>33</v>
      </c>
      <c r="J298" s="29" t="s">
        <v>320</v>
      </c>
      <c r="K298" s="26" t="str">
        <f>IFERROR(VLOOKUP(Tabla2[[#This Row],[CODIGO]],Tabla1[],11,0),"")</f>
        <v>COMPRA</v>
      </c>
      <c r="L298" s="67" t="s">
        <v>308</v>
      </c>
      <c r="M298" s="67" t="s">
        <v>472</v>
      </c>
      <c r="N298" s="70"/>
      <c r="O298" s="70">
        <f>Tabla2[[#This Row],[CANTIDAD]]*Tabla2[[#This Row],[PREC. UNITARIO]]</f>
        <v>0</v>
      </c>
      <c r="R298" t="str">
        <f>Tabla2[[#This Row],[QUIEN RECIBE]]&amp;"-"&amp;TEXT(Tabla2[[#This Row],[FECHA]],"dd/mm/yyyy")</f>
        <v>ACUACHI LANCHIPA ERNESTO ALONSO-22/09/2025</v>
      </c>
    </row>
    <row r="299" spans="2:18" ht="20.45" hidden="1" customHeight="1" x14ac:dyDescent="0.25">
      <c r="B299" s="5">
        <v>45922</v>
      </c>
      <c r="C299" s="2" t="str">
        <f>IFERROR(_xlfn.XLOOKUP(Tabla2[[#This Row],[PRODUCTO]],Tabla1[PRODUCTO],Tabla1[CODIGO]),"")</f>
        <v>UTC-4</v>
      </c>
      <c r="D299" s="31" t="s">
        <v>346</v>
      </c>
      <c r="E299" s="31" t="str">
        <f>IFERROR(VLOOKUP(Tabla2[[#This Row],[CODIGO]],Tabla1[],3,0),"")</f>
        <v>UTILES DE CAMA</v>
      </c>
      <c r="F299" s="28" t="str">
        <f>IFERROR(VLOOKUP(Tabla2[[#This Row],[CODIGO]],Tabla1[],5,0),"")</f>
        <v>ALMACEN TICAPAMPA</v>
      </c>
      <c r="G299" s="26" t="str">
        <f>IFERROR(VLOOKUP(Tabla2[[#This Row],[CODIGO]],Tabla1[],6,0),"")</f>
        <v>UNI</v>
      </c>
      <c r="H299" s="26">
        <f>IFERROR(VLOOKUP(Tabla2[[#This Row],[CODIGO]],Tabla1[],10,0),"")</f>
        <v>16</v>
      </c>
      <c r="I299" s="7">
        <v>16</v>
      </c>
      <c r="J299" s="29" t="s">
        <v>320</v>
      </c>
      <c r="K299" s="26" t="str">
        <f>IFERROR(VLOOKUP(Tabla2[[#This Row],[CODIGO]],Tabla1[],11,0),"")</f>
        <v>COMPRA</v>
      </c>
      <c r="L299" s="67" t="s">
        <v>308</v>
      </c>
      <c r="M299" s="67" t="s">
        <v>472</v>
      </c>
      <c r="N299" s="70"/>
      <c r="O299" s="70">
        <f>Tabla2[[#This Row],[CANTIDAD]]*Tabla2[[#This Row],[PREC. UNITARIO]]</f>
        <v>0</v>
      </c>
      <c r="R299" t="str">
        <f>Tabla2[[#This Row],[QUIEN RECIBE]]&amp;"-"&amp;TEXT(Tabla2[[#This Row],[FECHA]],"dd/mm/yyyy")</f>
        <v>ACUACHI LANCHIPA ERNESTO ALONSO-22/09/2025</v>
      </c>
    </row>
    <row r="300" spans="2:18" ht="20.45" customHeight="1" x14ac:dyDescent="0.25">
      <c r="B300" s="5">
        <v>45919</v>
      </c>
      <c r="C300" s="2" t="str">
        <f>IFERROR(_xlfn.XLOOKUP(Tabla2[[#This Row],[PRODUCTO]],Tabla1[PRODUCTO],Tabla1[CODIGO]),"")</f>
        <v>AF-3</v>
      </c>
      <c r="D300" s="31" t="s">
        <v>347</v>
      </c>
      <c r="E300" s="31" t="str">
        <f>IFERROR(VLOOKUP(Tabla2[[#This Row],[CODIGO]],Tabla1[],3,0),"")</f>
        <v>ALAMBRES Y FIERROS</v>
      </c>
      <c r="F300" s="28" t="str">
        <f>IFERROR(VLOOKUP(Tabla2[[#This Row],[CODIGO]],Tabla1[],5,0),"")</f>
        <v>ALMACEN TICAPAMPA</v>
      </c>
      <c r="G300" s="26" t="str">
        <f>IFERROR(VLOOKUP(Tabla2[[#This Row],[CODIGO]],Tabla1[],6,0),"")</f>
        <v>UNI</v>
      </c>
      <c r="H300" s="26">
        <f>IFERROR(VLOOKUP(Tabla2[[#This Row],[CODIGO]],Tabla1[],10,0),"")</f>
        <v>2350</v>
      </c>
      <c r="I300" s="7">
        <v>1150</v>
      </c>
      <c r="J300" s="29" t="s">
        <v>320</v>
      </c>
      <c r="K300" s="26" t="str">
        <f>IFERROR(VLOOKUP(Tabla2[[#This Row],[CODIGO]],Tabla1[],11,0),"")</f>
        <v>COMPRA</v>
      </c>
      <c r="L300" s="67" t="s">
        <v>148</v>
      </c>
      <c r="M300" s="67" t="s">
        <v>472</v>
      </c>
      <c r="N300" s="70"/>
      <c r="O300" s="70">
        <f>Tabla2[[#This Row],[CANTIDAD]]*Tabla2[[#This Row],[PREC. UNITARIO]]</f>
        <v>0</v>
      </c>
      <c r="P300" t="s">
        <v>352</v>
      </c>
      <c r="R300" t="str">
        <f>Tabla2[[#This Row],[QUIEN RECIBE]]&amp;"-"&amp;TEXT(Tabla2[[#This Row],[FECHA]],"dd/mm/yyyy")</f>
        <v>ACUACHI LANCHIPA ERNESTO ALONSO-19/09/2025</v>
      </c>
    </row>
    <row r="301" spans="2:18" ht="20.45" hidden="1" customHeight="1" x14ac:dyDescent="0.25">
      <c r="B301" s="5">
        <v>45919</v>
      </c>
      <c r="C301" s="2" t="str">
        <f>IFERROR(_xlfn.XLOOKUP(Tabla2[[#This Row],[PRODUCTO]],Tabla1[PRODUCTO],Tabla1[CODIGO]),"")</f>
        <v>AF-4</v>
      </c>
      <c r="D301" s="31" t="s">
        <v>349</v>
      </c>
      <c r="E301" s="31" t="str">
        <f>IFERROR(VLOOKUP(Tabla2[[#This Row],[CODIGO]],Tabla1[],3,0),"")</f>
        <v>ALAMBRES Y FIERROS</v>
      </c>
      <c r="F301" s="28" t="str">
        <f>IFERROR(VLOOKUP(Tabla2[[#This Row],[CODIGO]],Tabla1[],5,0),"")</f>
        <v>ALMACEN TICAPAMPA</v>
      </c>
      <c r="G301" s="26" t="str">
        <f>IFERROR(VLOOKUP(Tabla2[[#This Row],[CODIGO]],Tabla1[],6,0),"")</f>
        <v>UNI</v>
      </c>
      <c r="H301" s="26">
        <f>IFERROR(VLOOKUP(Tabla2[[#This Row],[CODIGO]],Tabla1[],10,0),"")</f>
        <v>1783</v>
      </c>
      <c r="I301" s="7">
        <v>953</v>
      </c>
      <c r="J301" s="29" t="s">
        <v>353</v>
      </c>
      <c r="K301" s="26" t="str">
        <f>IFERROR(VLOOKUP(Tabla2[[#This Row],[CODIGO]],Tabla1[],11,0),"")</f>
        <v>COMPRA</v>
      </c>
      <c r="L301" s="67" t="s">
        <v>148</v>
      </c>
      <c r="M301" s="67" t="s">
        <v>472</v>
      </c>
      <c r="N301" s="70"/>
      <c r="O301" s="70">
        <f>Tabla2[[#This Row],[CANTIDAD]]*Tabla2[[#This Row],[PREC. UNITARIO]]</f>
        <v>0</v>
      </c>
      <c r="P301" t="s">
        <v>352</v>
      </c>
      <c r="R301" t="str">
        <f>Tabla2[[#This Row],[QUIEN RECIBE]]&amp;"-"&amp;TEXT(Tabla2[[#This Row],[FECHA]],"dd/mm/yyyy")</f>
        <v>ACUACHI LANCHIPA ERNESTO ALONSO-19/09/2025</v>
      </c>
    </row>
    <row r="302" spans="2:18" ht="20.45" hidden="1" customHeight="1" x14ac:dyDescent="0.25">
      <c r="B302" s="5">
        <v>45919</v>
      </c>
      <c r="C302" s="2" t="str">
        <f>IFERROR(_xlfn.XLOOKUP(Tabla2[[#This Row],[PRODUCTO]],Tabla1[PRODUCTO],Tabla1[CODIGO]),"")</f>
        <v>AF-5</v>
      </c>
      <c r="D302" s="31" t="s">
        <v>351</v>
      </c>
      <c r="E302" s="31" t="str">
        <f>IFERROR(VLOOKUP(Tabla2[[#This Row],[CODIGO]],Tabla1[],3,0),"")</f>
        <v>ALAMBRES Y FIERROS</v>
      </c>
      <c r="F302" s="28" t="str">
        <f>IFERROR(VLOOKUP(Tabla2[[#This Row],[CODIGO]],Tabla1[],5,0),"")</f>
        <v>ALMACEN TICAPAMPA</v>
      </c>
      <c r="G302" s="26" t="str">
        <f>IFERROR(VLOOKUP(Tabla2[[#This Row],[CODIGO]],Tabla1[],6,0),"")</f>
        <v>UNI</v>
      </c>
      <c r="H302" s="26">
        <f>IFERROR(VLOOKUP(Tabla2[[#This Row],[CODIGO]],Tabla1[],10,0),"")</f>
        <v>2424</v>
      </c>
      <c r="I302" s="7">
        <v>1224</v>
      </c>
      <c r="J302" s="29" t="s">
        <v>354</v>
      </c>
      <c r="K302" s="26" t="str">
        <f>IFERROR(VLOOKUP(Tabla2[[#This Row],[CODIGO]],Tabla1[],11,0),"")</f>
        <v>COMPRA</v>
      </c>
      <c r="L302" s="67" t="s">
        <v>148</v>
      </c>
      <c r="M302" s="67" t="s">
        <v>472</v>
      </c>
      <c r="N302" s="70"/>
      <c r="O302" s="70">
        <f>Tabla2[[#This Row],[CANTIDAD]]*Tabla2[[#This Row],[PREC. UNITARIO]]</f>
        <v>0</v>
      </c>
      <c r="P302" t="s">
        <v>352</v>
      </c>
      <c r="R302" t="str">
        <f>Tabla2[[#This Row],[QUIEN RECIBE]]&amp;"-"&amp;TEXT(Tabla2[[#This Row],[FECHA]],"dd/mm/yyyy")</f>
        <v>ACUACHI LANCHIPA ERNESTO ALONSO-19/09/2025</v>
      </c>
    </row>
    <row r="303" spans="2:18" ht="20.45" hidden="1" customHeight="1" x14ac:dyDescent="0.25">
      <c r="B303" s="5">
        <v>45923</v>
      </c>
      <c r="C303" s="2" t="str">
        <f>IFERROR(_xlfn.XLOOKUP(Tabla2[[#This Row],[PRODUCTO]],Tabla1[PRODUCTO],Tabla1[CODIGO]),"")</f>
        <v>AGU-1</v>
      </c>
      <c r="D303" s="31" t="s">
        <v>357</v>
      </c>
      <c r="E303" s="31" t="str">
        <f>IFERROR(VLOOKUP(Tabla2[[#This Row],[CODIGO]],Tabla1[],3,0),"")</f>
        <v>AGUA</v>
      </c>
      <c r="F303" s="28" t="str">
        <f>IFERROR(VLOOKUP(Tabla2[[#This Row],[CODIGO]],Tabla1[],5,0),"")</f>
        <v>ALMACEN TICAPAMPA</v>
      </c>
      <c r="G303" s="26" t="str">
        <f>IFERROR(VLOOKUP(Tabla2[[#This Row],[CODIGO]],Tabla1[],6,0),"")</f>
        <v>UNI</v>
      </c>
      <c r="H303" s="26">
        <f>IFERROR(VLOOKUP(Tabla2[[#This Row],[CODIGO]],Tabla1[],10,0),"")</f>
        <v>9</v>
      </c>
      <c r="I303" s="7">
        <v>15</v>
      </c>
      <c r="J303" s="29" t="s">
        <v>320</v>
      </c>
      <c r="K303" s="26" t="str">
        <f>IFERROR(VLOOKUP(Tabla2[[#This Row],[CODIGO]],Tabla1[],11,0),"")</f>
        <v>COMPRA</v>
      </c>
      <c r="L303" s="67" t="s">
        <v>148</v>
      </c>
      <c r="M303" s="67" t="s">
        <v>236</v>
      </c>
      <c r="N303" s="70">
        <v>8</v>
      </c>
      <c r="O303" s="70">
        <f>Tabla2[[#This Row],[CANTIDAD]]*Tabla2[[#This Row],[PREC. UNITARIO]]</f>
        <v>120</v>
      </c>
      <c r="R303" t="str">
        <f>Tabla2[[#This Row],[QUIEN RECIBE]]&amp;"-"&amp;TEXT(Tabla2[[#This Row],[FECHA]],"dd/mm/yyyy")</f>
        <v>NAVARRO LOZANO, ANGEL JAROL-23/09/2025</v>
      </c>
    </row>
    <row r="304" spans="2:18" ht="20.45" hidden="1" customHeight="1" x14ac:dyDescent="0.25">
      <c r="B304" s="5">
        <v>45919</v>
      </c>
      <c r="C304" s="2" t="str">
        <f>IFERROR(_xlfn.XLOOKUP(Tabla2[[#This Row],[PRODUCTO]],Tabla1[PRODUCTO],Tabla1[CODIGO]),"")</f>
        <v>OTR-6</v>
      </c>
      <c r="D304" s="31" t="s">
        <v>358</v>
      </c>
      <c r="E304" s="31" t="str">
        <f>IFERROR(VLOOKUP(Tabla2[[#This Row],[CODIGO]],Tabla1[],3,0),"")</f>
        <v>OTROS</v>
      </c>
      <c r="F304" s="28" t="str">
        <f>IFERROR(VLOOKUP(Tabla2[[#This Row],[CODIGO]],Tabla1[],5,0),"")</f>
        <v>ALMACEN TICAPAMPA</v>
      </c>
      <c r="G304" s="26" t="str">
        <f>IFERROR(VLOOKUP(Tabla2[[#This Row],[CODIGO]],Tabla1[],6,0),"")</f>
        <v>UNI</v>
      </c>
      <c r="H304" s="26">
        <f>IFERROR(VLOOKUP(Tabla2[[#This Row],[CODIGO]],Tabla1[],10,0),"")</f>
        <v>2</v>
      </c>
      <c r="I304" s="7">
        <v>2</v>
      </c>
      <c r="J304" s="29" t="s">
        <v>320</v>
      </c>
      <c r="K304" s="26" t="str">
        <f>IFERROR(VLOOKUP(Tabla2[[#This Row],[CODIGO]],Tabla1[],11,0),"")</f>
        <v>COMPRA</v>
      </c>
      <c r="L304" s="67" t="s">
        <v>308</v>
      </c>
      <c r="M304" s="67" t="s">
        <v>472</v>
      </c>
      <c r="N304" s="70"/>
      <c r="O304" s="70">
        <f>Tabla2[[#This Row],[CANTIDAD]]*Tabla2[[#This Row],[PREC. UNITARIO]]</f>
        <v>0</v>
      </c>
      <c r="R304" t="str">
        <f>Tabla2[[#This Row],[QUIEN RECIBE]]&amp;"-"&amp;TEXT(Tabla2[[#This Row],[FECHA]],"dd/mm/yyyy")</f>
        <v>ACUACHI LANCHIPA ERNESTO ALONSO-19/09/2025</v>
      </c>
    </row>
    <row r="305" spans="2:18" ht="20.45" hidden="1" customHeight="1" x14ac:dyDescent="0.25">
      <c r="B305" s="5">
        <v>45923</v>
      </c>
      <c r="C305" s="2" t="str">
        <f>IFERROR(_xlfn.XLOOKUP(Tabla2[[#This Row],[PRODUCTO]],Tabla1[PRODUCTO],Tabla1[CODIGO]),"")</f>
        <v>IS-37</v>
      </c>
      <c r="D305" s="31" t="s">
        <v>339</v>
      </c>
      <c r="E305" s="31" t="str">
        <f>IFERROR(VLOOKUP(Tabla2[[#This Row],[CODIGO]],Tabla1[],3,0),"")</f>
        <v>IMPLEMENTOS DE SEGURIDAD</v>
      </c>
      <c r="F305" s="28" t="str">
        <f>IFERROR(VLOOKUP(Tabla2[[#This Row],[CODIGO]],Tabla1[],5,0),"")</f>
        <v>ALMACEN TICAPAMPA</v>
      </c>
      <c r="G305" s="26" t="str">
        <f>IFERROR(VLOOKUP(Tabla2[[#This Row],[CODIGO]],Tabla1[],6,0),"")</f>
        <v>UNI</v>
      </c>
      <c r="H305" s="26">
        <f>IFERROR(VLOOKUP(Tabla2[[#This Row],[CODIGO]],Tabla1[],10,0),"")</f>
        <v>0</v>
      </c>
      <c r="I305" s="7">
        <v>-1</v>
      </c>
      <c r="J305" s="29" t="s">
        <v>321</v>
      </c>
      <c r="K305" s="26" t="str">
        <f>IFERROR(VLOOKUP(Tabla2[[#This Row],[CODIGO]],Tabla1[],11,0),"")</f>
        <v>COMPRA</v>
      </c>
      <c r="L305" s="67" t="s">
        <v>472</v>
      </c>
      <c r="M305" s="67" t="s">
        <v>253</v>
      </c>
      <c r="N305" s="70">
        <v>45</v>
      </c>
      <c r="O305" s="70">
        <f>Tabla2[[#This Row],[CANTIDAD]]*Tabla2[[#This Row],[PREC. UNITARIO]]</f>
        <v>-45</v>
      </c>
      <c r="R305" t="str">
        <f>Tabla2[[#This Row],[QUIEN RECIBE]]&amp;"-"&amp;TEXT(Tabla2[[#This Row],[FECHA]],"dd/mm/yyyy")</f>
        <v>ALEJO CHARCA, DENNYS MIRIAM-23/09/2025</v>
      </c>
    </row>
    <row r="306" spans="2:18" ht="20.45" hidden="1" customHeight="1" x14ac:dyDescent="0.25">
      <c r="B306" s="5">
        <v>45923</v>
      </c>
      <c r="C306" s="2" t="str">
        <f>IFERROR(_xlfn.XLOOKUP(Tabla2[[#This Row],[PRODUCTO]],Tabla1[PRODUCTO],Tabla1[CODIGO]),"")</f>
        <v>IS-4</v>
      </c>
      <c r="D306" s="31" t="s">
        <v>54</v>
      </c>
      <c r="E306" s="31" t="str">
        <f>IFERROR(VLOOKUP(Tabla2[[#This Row],[CODIGO]],Tabla1[],3,0),"")</f>
        <v>IMPLEMENTOS DE SEGURIDAD</v>
      </c>
      <c r="F306" s="28" t="str">
        <f>IFERROR(VLOOKUP(Tabla2[[#This Row],[CODIGO]],Tabla1[],5,0),"")</f>
        <v>ALMACEN TICAPAMPA</v>
      </c>
      <c r="G306" s="26" t="str">
        <f>IFERROR(VLOOKUP(Tabla2[[#This Row],[CODIGO]],Tabla1[],6,0),"")</f>
        <v>UNI</v>
      </c>
      <c r="H306" s="26">
        <f>IFERROR(VLOOKUP(Tabla2[[#This Row],[CODIGO]],Tabla1[],10,0),"")</f>
        <v>0</v>
      </c>
      <c r="I306" s="7">
        <v>-1</v>
      </c>
      <c r="J306" s="29" t="s">
        <v>321</v>
      </c>
      <c r="K306" s="26" t="str">
        <f>IFERROR(VLOOKUP(Tabla2[[#This Row],[CODIGO]],Tabla1[],11,0),"")</f>
        <v>COMPRA</v>
      </c>
      <c r="L306" s="67" t="s">
        <v>472</v>
      </c>
      <c r="M306" s="67" t="s">
        <v>260</v>
      </c>
      <c r="N306" s="70">
        <v>45</v>
      </c>
      <c r="O306" s="70">
        <f>Tabla2[[#This Row],[CANTIDAD]]*Tabla2[[#This Row],[PREC. UNITARIO]]</f>
        <v>-45</v>
      </c>
      <c r="R306" t="str">
        <f>Tabla2[[#This Row],[QUIEN RECIBE]]&amp;"-"&amp;TEXT(Tabla2[[#This Row],[FECHA]],"dd/mm/yyyy")</f>
        <v>SALAZAR BAZAN, ROCÍO DALILA-23/09/2025</v>
      </c>
    </row>
    <row r="307" spans="2:18" ht="20.45" hidden="1" customHeight="1" x14ac:dyDescent="0.25">
      <c r="B307" s="5">
        <v>45923</v>
      </c>
      <c r="C307" s="2" t="str">
        <f>IFERROR(_xlfn.XLOOKUP(Tabla2[[#This Row],[PRODUCTO]],Tabla1[PRODUCTO],Tabla1[CODIGO]),"")</f>
        <v>IS-5</v>
      </c>
      <c r="D307" s="31" t="s">
        <v>55</v>
      </c>
      <c r="E307" s="31" t="str">
        <f>IFERROR(VLOOKUP(Tabla2[[#This Row],[CODIGO]],Tabla1[],3,0),"")</f>
        <v>IMPLEMENTOS DE SEGURIDAD</v>
      </c>
      <c r="F307" s="28" t="str">
        <f>IFERROR(VLOOKUP(Tabla2[[#This Row],[CODIGO]],Tabla1[],5,0),"")</f>
        <v>ALMACEN TICAPAMPA</v>
      </c>
      <c r="G307" s="26" t="str">
        <f>IFERROR(VLOOKUP(Tabla2[[#This Row],[CODIGO]],Tabla1[],6,0),"")</f>
        <v>UNI</v>
      </c>
      <c r="H307" s="26">
        <f>IFERROR(VLOOKUP(Tabla2[[#This Row],[CODIGO]],Tabla1[],10,0),"")</f>
        <v>0</v>
      </c>
      <c r="I307" s="7">
        <v>-1</v>
      </c>
      <c r="J307" s="29" t="s">
        <v>321</v>
      </c>
      <c r="K307" s="26" t="str">
        <f>IFERROR(VLOOKUP(Tabla2[[#This Row],[CODIGO]],Tabla1[],11,0),"")</f>
        <v>COMPRA</v>
      </c>
      <c r="L307" s="67" t="s">
        <v>472</v>
      </c>
      <c r="M307" s="67" t="s">
        <v>256</v>
      </c>
      <c r="N307" s="70">
        <v>45</v>
      </c>
      <c r="O307" s="70">
        <f>Tabla2[[#This Row],[CANTIDAD]]*Tabla2[[#This Row],[PREC. UNITARIO]]</f>
        <v>-45</v>
      </c>
      <c r="R307" t="str">
        <f>Tabla2[[#This Row],[QUIEN RECIBE]]&amp;"-"&amp;TEXT(Tabla2[[#This Row],[FECHA]],"dd/mm/yyyy")</f>
        <v>SILVA BORDA, ARLETTE NINOSKA-23/09/2025</v>
      </c>
    </row>
    <row r="308" spans="2:18" ht="20.45" hidden="1" customHeight="1" x14ac:dyDescent="0.25">
      <c r="B308" s="5">
        <v>45920</v>
      </c>
      <c r="C308" s="2" t="str">
        <f>IFERROR(_xlfn.XLOOKUP(Tabla2[[#This Row],[PRODUCTO]],Tabla1[PRODUCTO],Tabla1[CODIGO]),"")</f>
        <v>UE-56</v>
      </c>
      <c r="D308" s="31" t="s">
        <v>325</v>
      </c>
      <c r="E308" s="31" t="str">
        <f>IFERROR(VLOOKUP(Tabla2[[#This Row],[CODIGO]],Tabla1[],3,0),"")</f>
        <v>UTILES DE ESCRITORIO</v>
      </c>
      <c r="F308" s="28" t="str">
        <f>IFERROR(VLOOKUP(Tabla2[[#This Row],[CODIGO]],Tabla1[],5,0),"")</f>
        <v>ALMACEN TICAPAMPA</v>
      </c>
      <c r="G308" s="26" t="str">
        <f>IFERROR(VLOOKUP(Tabla2[[#This Row],[CODIGO]],Tabla1[],6,0),"")</f>
        <v>PQTE</v>
      </c>
      <c r="H308" s="26">
        <f>IFERROR(VLOOKUP(Tabla2[[#This Row],[CODIGO]],Tabla1[],10,0),"")</f>
        <v>22</v>
      </c>
      <c r="I308" s="7">
        <v>30</v>
      </c>
      <c r="J308" s="29" t="s">
        <v>320</v>
      </c>
      <c r="K308" s="26" t="str">
        <f>IFERROR(VLOOKUP(Tabla2[[#This Row],[CODIGO]],Tabla1[],11,0),"")</f>
        <v>COMPRA</v>
      </c>
      <c r="L308" s="67" t="s">
        <v>308</v>
      </c>
      <c r="M308" s="67" t="s">
        <v>472</v>
      </c>
      <c r="N308" s="70"/>
      <c r="O308" s="70">
        <f>Tabla2[[#This Row],[CANTIDAD]]*Tabla2[[#This Row],[PREC. UNITARIO]]</f>
        <v>0</v>
      </c>
      <c r="R308" t="str">
        <f>Tabla2[[#This Row],[QUIEN RECIBE]]&amp;"-"&amp;TEXT(Tabla2[[#This Row],[FECHA]],"dd/mm/yyyy")</f>
        <v>ACUACHI LANCHIPA ERNESTO ALONSO-20/09/2025</v>
      </c>
    </row>
    <row r="309" spans="2:18" ht="20.45" hidden="1" customHeight="1" x14ac:dyDescent="0.25">
      <c r="B309" s="5">
        <v>45924</v>
      </c>
      <c r="C309" s="2" t="str">
        <f>IFERROR(_xlfn.XLOOKUP(Tabla2[[#This Row],[PRODUCTO]],Tabla1[PRODUCTO],Tabla1[CODIGO]),"")</f>
        <v>UE-56</v>
      </c>
      <c r="D309" s="31" t="s">
        <v>325</v>
      </c>
      <c r="E309" s="31" t="str">
        <f>IFERROR(VLOOKUP(Tabla2[[#This Row],[CODIGO]],Tabla1[],3,0),"")</f>
        <v>UTILES DE ESCRITORIO</v>
      </c>
      <c r="F309" s="28" t="str">
        <f>IFERROR(VLOOKUP(Tabla2[[#This Row],[CODIGO]],Tabla1[],5,0),"")</f>
        <v>ALMACEN TICAPAMPA</v>
      </c>
      <c r="G309" s="26" t="str">
        <f>IFERROR(VLOOKUP(Tabla2[[#This Row],[CODIGO]],Tabla1[],6,0),"")</f>
        <v>PQTE</v>
      </c>
      <c r="H309" s="26">
        <f>IFERROR(VLOOKUP(Tabla2[[#This Row],[CODIGO]],Tabla1[],10,0),"")</f>
        <v>22</v>
      </c>
      <c r="I309" s="7">
        <v>-2</v>
      </c>
      <c r="J309" s="29" t="s">
        <v>359</v>
      </c>
      <c r="K309" s="26" t="str">
        <f>IFERROR(VLOOKUP(Tabla2[[#This Row],[CODIGO]],Tabla1[],11,0),"")</f>
        <v>COMPRA</v>
      </c>
      <c r="L309" s="67" t="s">
        <v>236</v>
      </c>
      <c r="M309" s="67" t="s">
        <v>256</v>
      </c>
      <c r="N309" s="70"/>
      <c r="O309" s="70">
        <f>Tabla2[[#This Row],[CANTIDAD]]*Tabla2[[#This Row],[PREC. UNITARIO]]</f>
        <v>0</v>
      </c>
      <c r="R309" t="str">
        <f>Tabla2[[#This Row],[QUIEN RECIBE]]&amp;"-"&amp;TEXT(Tabla2[[#This Row],[FECHA]],"dd/mm/yyyy")</f>
        <v>SILVA BORDA, ARLETTE NINOSKA-24/09/2025</v>
      </c>
    </row>
    <row r="310" spans="2:18" ht="20.45" hidden="1" customHeight="1" x14ac:dyDescent="0.25">
      <c r="B310" s="5">
        <v>45924</v>
      </c>
      <c r="C310" s="2" t="str">
        <f>IFERROR(_xlfn.XLOOKUP(Tabla2[[#This Row],[PRODUCTO]],Tabla1[PRODUCTO],Tabla1[CODIGO]),"")</f>
        <v>UE-56</v>
      </c>
      <c r="D310" s="31" t="s">
        <v>325</v>
      </c>
      <c r="E310" s="31" t="str">
        <f>IFERROR(VLOOKUP(Tabla2[[#This Row],[CODIGO]],Tabla1[],3,0),"")</f>
        <v>UTILES DE ESCRITORIO</v>
      </c>
      <c r="F310" s="28" t="str">
        <f>IFERROR(VLOOKUP(Tabla2[[#This Row],[CODIGO]],Tabla1[],5,0),"")</f>
        <v>ALMACEN TICAPAMPA</v>
      </c>
      <c r="G310" s="26" t="str">
        <f>IFERROR(VLOOKUP(Tabla2[[#This Row],[CODIGO]],Tabla1[],6,0),"")</f>
        <v>PQTE</v>
      </c>
      <c r="H310" s="26">
        <f>IFERROR(VLOOKUP(Tabla2[[#This Row],[CODIGO]],Tabla1[],10,0),"")</f>
        <v>22</v>
      </c>
      <c r="I310" s="7">
        <v>-1</v>
      </c>
      <c r="J310" s="29" t="s">
        <v>360</v>
      </c>
      <c r="K310" s="26" t="str">
        <f>IFERROR(VLOOKUP(Tabla2[[#This Row],[CODIGO]],Tabla1[],11,0),"")</f>
        <v>COMPRA</v>
      </c>
      <c r="L310" s="67" t="s">
        <v>236</v>
      </c>
      <c r="M310" s="67" t="s">
        <v>472</v>
      </c>
      <c r="N310" s="70"/>
      <c r="O310" s="70">
        <f>Tabla2[[#This Row],[CANTIDAD]]*Tabla2[[#This Row],[PREC. UNITARIO]]</f>
        <v>0</v>
      </c>
      <c r="R310" t="str">
        <f>Tabla2[[#This Row],[QUIEN RECIBE]]&amp;"-"&amp;TEXT(Tabla2[[#This Row],[FECHA]],"dd/mm/yyyy")</f>
        <v>ACUACHI LANCHIPA ERNESTO ALONSO-24/09/2025</v>
      </c>
    </row>
    <row r="311" spans="2:18" ht="20.45" hidden="1" customHeight="1" x14ac:dyDescent="0.25">
      <c r="B311" s="5">
        <v>45924</v>
      </c>
      <c r="C311" s="2" t="str">
        <f>IFERROR(_xlfn.XLOOKUP(Tabla2[[#This Row],[PRODUCTO]],Tabla1[PRODUCTO],Tabla1[CODIGO]),"")</f>
        <v>UE-15</v>
      </c>
      <c r="D311" s="31" t="s">
        <v>169</v>
      </c>
      <c r="E311" s="31" t="str">
        <f>IFERROR(VLOOKUP(Tabla2[[#This Row],[CODIGO]],Tabla1[],3,0),"")</f>
        <v>UTILES DE ESCRITORIO</v>
      </c>
      <c r="F311" s="28" t="str">
        <f>IFERROR(VLOOKUP(Tabla2[[#This Row],[CODIGO]],Tabla1[],5,0),"")</f>
        <v>ALMACEN TICAPAMPA</v>
      </c>
      <c r="G311" s="26" t="str">
        <f>IFERROR(VLOOKUP(Tabla2[[#This Row],[CODIGO]],Tabla1[],6,0),"")</f>
        <v>UNI</v>
      </c>
      <c r="H311" s="26">
        <f>IFERROR(VLOOKUP(Tabla2[[#This Row],[CODIGO]],Tabla1[],10,0),"")</f>
        <v>25</v>
      </c>
      <c r="I311" s="7">
        <v>-25</v>
      </c>
      <c r="J311" s="29" t="s">
        <v>361</v>
      </c>
      <c r="K311" s="26" t="str">
        <f>IFERROR(VLOOKUP(Tabla2[[#This Row],[CODIGO]],Tabla1[],11,0),"")</f>
        <v>COMPRA</v>
      </c>
      <c r="L311" s="67" t="s">
        <v>236</v>
      </c>
      <c r="M311" s="67" t="s">
        <v>256</v>
      </c>
      <c r="N311" s="70"/>
      <c r="O311" s="70">
        <f>Tabla2[[#This Row],[CANTIDAD]]*Tabla2[[#This Row],[PREC. UNITARIO]]</f>
        <v>0</v>
      </c>
      <c r="R311" t="str">
        <f>Tabla2[[#This Row],[QUIEN RECIBE]]&amp;"-"&amp;TEXT(Tabla2[[#This Row],[FECHA]],"dd/mm/yyyy")</f>
        <v>SILVA BORDA, ARLETTE NINOSKA-24/09/2025</v>
      </c>
    </row>
    <row r="312" spans="2:18" ht="20.45" hidden="1" customHeight="1" x14ac:dyDescent="0.25">
      <c r="B312" s="5">
        <v>45924</v>
      </c>
      <c r="C312" s="2" t="str">
        <f>IFERROR(_xlfn.XLOOKUP(Tabla2[[#This Row],[PRODUCTO]],Tabla1[PRODUCTO],Tabla1[CODIGO]),"")</f>
        <v>UE-31</v>
      </c>
      <c r="D312" s="31" t="s">
        <v>185</v>
      </c>
      <c r="E312" s="31" t="str">
        <f>IFERROR(VLOOKUP(Tabla2[[#This Row],[CODIGO]],Tabla1[],3,0),"")</f>
        <v>UTILES DE ESCRITORIO</v>
      </c>
      <c r="F312" s="28" t="str">
        <f>IFERROR(VLOOKUP(Tabla2[[#This Row],[CODIGO]],Tabla1[],5,0),"")</f>
        <v>ALMACEN TICAPAMPA</v>
      </c>
      <c r="G312" s="26" t="str">
        <f>IFERROR(VLOOKUP(Tabla2[[#This Row],[CODIGO]],Tabla1[],6,0),"")</f>
        <v>UNI</v>
      </c>
      <c r="H312" s="26">
        <f>IFERROR(VLOOKUP(Tabla2[[#This Row],[CODIGO]],Tabla1[],10,0),"")</f>
        <v>50</v>
      </c>
      <c r="I312" s="7">
        <v>-50</v>
      </c>
      <c r="J312" s="29" t="s">
        <v>361</v>
      </c>
      <c r="K312" s="26" t="str">
        <f>IFERROR(VLOOKUP(Tabla2[[#This Row],[CODIGO]],Tabla1[],11,0),"")</f>
        <v>COMPRA</v>
      </c>
      <c r="L312" s="67" t="s">
        <v>236</v>
      </c>
      <c r="M312" s="67" t="s">
        <v>256</v>
      </c>
      <c r="N312" s="70"/>
      <c r="O312" s="70">
        <f>Tabla2[[#This Row],[CANTIDAD]]*Tabla2[[#This Row],[PREC. UNITARIO]]</f>
        <v>0</v>
      </c>
      <c r="R312" t="str">
        <f>Tabla2[[#This Row],[QUIEN RECIBE]]&amp;"-"&amp;TEXT(Tabla2[[#This Row],[FECHA]],"dd/mm/yyyy")</f>
        <v>SILVA BORDA, ARLETTE NINOSKA-24/09/2025</v>
      </c>
    </row>
    <row r="313" spans="2:18" ht="20.45" hidden="1" customHeight="1" x14ac:dyDescent="0.25">
      <c r="B313" s="5">
        <v>45924</v>
      </c>
      <c r="C313" s="2" t="str">
        <f>IFERROR(_xlfn.XLOOKUP(Tabla2[[#This Row],[PRODUCTO]],Tabla1[PRODUCTO],Tabla1[CODIGO]),"")</f>
        <v>UE-32</v>
      </c>
      <c r="D313" s="31" t="s">
        <v>186</v>
      </c>
      <c r="E313" s="31" t="str">
        <f>IFERROR(VLOOKUP(Tabla2[[#This Row],[CODIGO]],Tabla1[],3,0),"")</f>
        <v>UTILES DE ESCRITORIO</v>
      </c>
      <c r="F313" s="28" t="str">
        <f>IFERROR(VLOOKUP(Tabla2[[#This Row],[CODIGO]],Tabla1[],5,0),"")</f>
        <v>ALMACEN TICAPAMPA</v>
      </c>
      <c r="G313" s="26" t="str">
        <f>IFERROR(VLOOKUP(Tabla2[[#This Row],[CODIGO]],Tabla1[],6,0),"")</f>
        <v>UNI</v>
      </c>
      <c r="H313" s="26">
        <f>IFERROR(VLOOKUP(Tabla2[[#This Row],[CODIGO]],Tabla1[],10,0),"")</f>
        <v>0</v>
      </c>
      <c r="I313" s="7">
        <v>-1</v>
      </c>
      <c r="J313" s="29" t="s">
        <v>361</v>
      </c>
      <c r="K313" s="26" t="str">
        <f>IFERROR(VLOOKUP(Tabla2[[#This Row],[CODIGO]],Tabla1[],11,0),"")</f>
        <v>COMPRA</v>
      </c>
      <c r="L313" s="67" t="s">
        <v>236</v>
      </c>
      <c r="M313" s="67" t="s">
        <v>256</v>
      </c>
      <c r="N313" s="70"/>
      <c r="O313" s="70">
        <f>Tabla2[[#This Row],[CANTIDAD]]*Tabla2[[#This Row],[PREC. UNITARIO]]</f>
        <v>0</v>
      </c>
      <c r="R313" t="str">
        <f>Tabla2[[#This Row],[QUIEN RECIBE]]&amp;"-"&amp;TEXT(Tabla2[[#This Row],[FECHA]],"dd/mm/yyyy")</f>
        <v>SILVA BORDA, ARLETTE NINOSKA-24/09/2025</v>
      </c>
    </row>
    <row r="314" spans="2:18" ht="20.45" hidden="1" customHeight="1" x14ac:dyDescent="0.25">
      <c r="B314" s="5">
        <v>45923</v>
      </c>
      <c r="C314" s="2" t="str">
        <f>IFERROR(_xlfn.XLOOKUP(Tabla2[[#This Row],[PRODUCTO]],Tabla1[PRODUCTO],Tabla1[CODIGO]),"")</f>
        <v>UE-31</v>
      </c>
      <c r="D314" s="31" t="s">
        <v>185</v>
      </c>
      <c r="E314" s="31" t="str">
        <f>IFERROR(VLOOKUP(Tabla2[[#This Row],[CODIGO]],Tabla1[],3,0),"")</f>
        <v>UTILES DE ESCRITORIO</v>
      </c>
      <c r="F314" s="28" t="str">
        <f>IFERROR(VLOOKUP(Tabla2[[#This Row],[CODIGO]],Tabla1[],5,0),"")</f>
        <v>ALMACEN TICAPAMPA</v>
      </c>
      <c r="G314" s="26" t="str">
        <f>IFERROR(VLOOKUP(Tabla2[[#This Row],[CODIGO]],Tabla1[],6,0),"")</f>
        <v>UNI</v>
      </c>
      <c r="H314" s="26">
        <f>IFERROR(VLOOKUP(Tabla2[[#This Row],[CODIGO]],Tabla1[],10,0),"")</f>
        <v>50</v>
      </c>
      <c r="I314" s="7">
        <v>-50</v>
      </c>
      <c r="J314" s="29" t="s">
        <v>361</v>
      </c>
      <c r="K314" s="26" t="str">
        <f>IFERROR(VLOOKUP(Tabla2[[#This Row],[CODIGO]],Tabla1[],11,0),"")</f>
        <v>COMPRA</v>
      </c>
      <c r="L314" s="67" t="s">
        <v>236</v>
      </c>
      <c r="M314" s="67" t="s">
        <v>253</v>
      </c>
      <c r="N314" s="70"/>
      <c r="O314" s="70">
        <f>Tabla2[[#This Row],[CANTIDAD]]*Tabla2[[#This Row],[PREC. UNITARIO]]</f>
        <v>0</v>
      </c>
      <c r="R314" t="str">
        <f>Tabla2[[#This Row],[QUIEN RECIBE]]&amp;"-"&amp;TEXT(Tabla2[[#This Row],[FECHA]],"dd/mm/yyyy")</f>
        <v>ALEJO CHARCA, DENNYS MIRIAM-23/09/2025</v>
      </c>
    </row>
    <row r="315" spans="2:18" ht="20.45" hidden="1" customHeight="1" x14ac:dyDescent="0.25">
      <c r="B315" s="5">
        <v>45924</v>
      </c>
      <c r="C315" s="2" t="str">
        <f>IFERROR(_xlfn.XLOOKUP(Tabla2[[#This Row],[PRODUCTO]],Tabla1[PRODUCTO],Tabla1[CODIGO]),"")</f>
        <v>AGU-1</v>
      </c>
      <c r="D315" s="31" t="s">
        <v>357</v>
      </c>
      <c r="E315" s="31" t="str">
        <f>IFERROR(VLOOKUP(Tabla2[[#This Row],[CODIGO]],Tabla1[],3,0),"")</f>
        <v>AGUA</v>
      </c>
      <c r="F315" s="28" t="str">
        <f>IFERROR(VLOOKUP(Tabla2[[#This Row],[CODIGO]],Tabla1[],5,0),"")</f>
        <v>ALMACEN TICAPAMPA</v>
      </c>
      <c r="G315" s="26" t="str">
        <f>IFERROR(VLOOKUP(Tabla2[[#This Row],[CODIGO]],Tabla1[],6,0),"")</f>
        <v>UNI</v>
      </c>
      <c r="H315" s="26">
        <f>IFERROR(VLOOKUP(Tabla2[[#This Row],[CODIGO]],Tabla1[],10,0),"")</f>
        <v>9</v>
      </c>
      <c r="I315" s="7">
        <v>-1</v>
      </c>
      <c r="J315" s="29" t="s">
        <v>362</v>
      </c>
      <c r="K315" s="26" t="str">
        <f>IFERROR(VLOOKUP(Tabla2[[#This Row],[CODIGO]],Tabla1[],11,0),"")</f>
        <v>COMPRA</v>
      </c>
      <c r="L315" s="67" t="s">
        <v>236</v>
      </c>
      <c r="M315" s="67" t="s">
        <v>258</v>
      </c>
      <c r="N315" s="70">
        <v>8</v>
      </c>
      <c r="O315" s="70">
        <f>Tabla2[[#This Row],[CANTIDAD]]*Tabla2[[#This Row],[PREC. UNITARIO]]</f>
        <v>-8</v>
      </c>
      <c r="R315" t="str">
        <f>Tabla2[[#This Row],[QUIEN RECIBE]]&amp;"-"&amp;TEXT(Tabla2[[#This Row],[FECHA]],"dd/mm/yyyy")</f>
        <v>ADUVIRE ARGUATA, MARIO ARTURO-24/09/2025</v>
      </c>
    </row>
    <row r="316" spans="2:18" ht="20.45" hidden="1" customHeight="1" x14ac:dyDescent="0.25">
      <c r="B316" s="5">
        <v>45924</v>
      </c>
      <c r="C316" s="2" t="str">
        <f>IFERROR(_xlfn.XLOOKUP(Tabla2[[#This Row],[PRODUCTO]],Tabla1[PRODUCTO],Tabla1[CODIGO]),"")</f>
        <v>UE-41</v>
      </c>
      <c r="D316" s="31" t="s">
        <v>195</v>
      </c>
      <c r="E316" s="31" t="str">
        <f>IFERROR(VLOOKUP(Tabla2[[#This Row],[CODIGO]],Tabla1[],3,0),"")</f>
        <v>UTILES DE ESCRITORIO</v>
      </c>
      <c r="F316" s="28" t="str">
        <f>IFERROR(VLOOKUP(Tabla2[[#This Row],[CODIGO]],Tabla1[],5,0),"")</f>
        <v>ALMACEN TICAPAMPA</v>
      </c>
      <c r="G316" s="26" t="str">
        <f>IFERROR(VLOOKUP(Tabla2[[#This Row],[CODIGO]],Tabla1[],6,0),"")</f>
        <v>UNI</v>
      </c>
      <c r="H316" s="26">
        <f>IFERROR(VLOOKUP(Tabla2[[#This Row],[CODIGO]],Tabla1[],10,0),"")</f>
        <v>3</v>
      </c>
      <c r="I316" s="7">
        <v>-1</v>
      </c>
      <c r="J316" s="29" t="s">
        <v>363</v>
      </c>
      <c r="K316" s="26" t="str">
        <f>IFERROR(VLOOKUP(Tabla2[[#This Row],[CODIGO]],Tabla1[],11,0),"")</f>
        <v>COMPRA</v>
      </c>
      <c r="L316" s="67" t="s">
        <v>472</v>
      </c>
      <c r="M316" s="67" t="s">
        <v>307</v>
      </c>
      <c r="N316" s="70"/>
      <c r="O316" s="70">
        <f>Tabla2[[#This Row],[CANTIDAD]]*Tabla2[[#This Row],[PREC. UNITARIO]]</f>
        <v>0</v>
      </c>
      <c r="R316" t="str">
        <f>Tabla2[[#This Row],[QUIEN RECIBE]]&amp;"-"&amp;TEXT(Tabla2[[#This Row],[FECHA]],"dd/mm/yyyy")</f>
        <v>CACERES CALACHUA, YEYSON JORGE-24/09/2025</v>
      </c>
    </row>
    <row r="317" spans="2:18" ht="20.45" hidden="1" customHeight="1" x14ac:dyDescent="0.25">
      <c r="B317" s="5">
        <v>45924</v>
      </c>
      <c r="C317" s="2" t="str">
        <f>IFERROR(_xlfn.XLOOKUP(Tabla2[[#This Row],[PRODUCTO]],Tabla1[PRODUCTO],Tabla1[CODIGO]),"")</f>
        <v>UE-24</v>
      </c>
      <c r="D317" s="31" t="s">
        <v>178</v>
      </c>
      <c r="E317" s="31" t="str">
        <f>IFERROR(VLOOKUP(Tabla2[[#This Row],[CODIGO]],Tabla1[],3,0),"")</f>
        <v>UTILES DE ESCRITORIO</v>
      </c>
      <c r="F317" s="28" t="str">
        <f>IFERROR(VLOOKUP(Tabla2[[#This Row],[CODIGO]],Tabla1[],5,0),"")</f>
        <v>ALMACEN TICAPAMPA</v>
      </c>
      <c r="G317" s="26" t="str">
        <f>IFERROR(VLOOKUP(Tabla2[[#This Row],[CODIGO]],Tabla1[],6,0),"")</f>
        <v>UNI</v>
      </c>
      <c r="H317" s="26">
        <f>IFERROR(VLOOKUP(Tabla2[[#This Row],[CODIGO]],Tabla1[],10,0),"")</f>
        <v>47</v>
      </c>
      <c r="I317" s="7">
        <v>-2</v>
      </c>
      <c r="J317" s="29" t="s">
        <v>363</v>
      </c>
      <c r="K317" s="26" t="str">
        <f>IFERROR(VLOOKUP(Tabla2[[#This Row],[CODIGO]],Tabla1[],11,0),"")</f>
        <v>COMPRA</v>
      </c>
      <c r="L317" s="67" t="s">
        <v>472</v>
      </c>
      <c r="M317" s="67" t="s">
        <v>307</v>
      </c>
      <c r="N317" s="70"/>
      <c r="O317" s="70">
        <f>Tabla2[[#This Row],[CANTIDAD]]*Tabla2[[#This Row],[PREC. UNITARIO]]</f>
        <v>0</v>
      </c>
      <c r="R317" t="str">
        <f>Tabla2[[#This Row],[QUIEN RECIBE]]&amp;"-"&amp;TEXT(Tabla2[[#This Row],[FECHA]],"dd/mm/yyyy")</f>
        <v>CACERES CALACHUA, YEYSON JORGE-24/09/2025</v>
      </c>
    </row>
    <row r="318" spans="2:18" ht="20.45" hidden="1" customHeight="1" x14ac:dyDescent="0.25">
      <c r="B318" s="5">
        <v>45924</v>
      </c>
      <c r="C318" s="2" t="str">
        <f>IFERROR(_xlfn.XLOOKUP(Tabla2[[#This Row],[PRODUCTO]],Tabla1[PRODUCTO],Tabla1[CODIGO]),"")</f>
        <v>UE-57</v>
      </c>
      <c r="D318" s="31" t="s">
        <v>368</v>
      </c>
      <c r="E318" s="31" t="str">
        <f>IFERROR(VLOOKUP(Tabla2[[#This Row],[CODIGO]],Tabla1[],3,0),"")</f>
        <v>UTILES DE ESCRITORIO</v>
      </c>
      <c r="F318" s="28" t="str">
        <f>IFERROR(VLOOKUP(Tabla2[[#This Row],[CODIGO]],Tabla1[],5,0),"")</f>
        <v>ALMACEN TICAPAMPA</v>
      </c>
      <c r="G318" s="26" t="str">
        <f>IFERROR(VLOOKUP(Tabla2[[#This Row],[CODIGO]],Tabla1[],6,0),"")</f>
        <v>UNI</v>
      </c>
      <c r="H318" s="26">
        <f>IFERROR(VLOOKUP(Tabla2[[#This Row],[CODIGO]],Tabla1[],10,0),"")</f>
        <v>13</v>
      </c>
      <c r="I318" s="7">
        <v>24</v>
      </c>
      <c r="J318" s="29" t="s">
        <v>320</v>
      </c>
      <c r="K318" s="26" t="str">
        <f>IFERROR(VLOOKUP(Tabla2[[#This Row],[CODIGO]],Tabla1[],11,0),"")</f>
        <v>COMPRA</v>
      </c>
      <c r="L318" s="67" t="s">
        <v>308</v>
      </c>
      <c r="M318" s="67" t="s">
        <v>472</v>
      </c>
      <c r="N318" s="70"/>
      <c r="O318" s="70">
        <f>Tabla2[[#This Row],[CANTIDAD]]*Tabla2[[#This Row],[PREC. UNITARIO]]</f>
        <v>0</v>
      </c>
      <c r="R318" t="str">
        <f>Tabla2[[#This Row],[QUIEN RECIBE]]&amp;"-"&amp;TEXT(Tabla2[[#This Row],[FECHA]],"dd/mm/yyyy")</f>
        <v>ACUACHI LANCHIPA ERNESTO ALONSO-24/09/2025</v>
      </c>
    </row>
    <row r="319" spans="2:18" ht="20.45" hidden="1" customHeight="1" x14ac:dyDescent="0.25">
      <c r="B319" s="5">
        <v>45924</v>
      </c>
      <c r="C319" s="2" t="str">
        <f>IFERROR(_xlfn.XLOOKUP(Tabla2[[#This Row],[PRODUCTO]],Tabla1[PRODUCTO],Tabla1[CODIGO]),"")</f>
        <v>UE-57</v>
      </c>
      <c r="D319" s="31" t="s">
        <v>368</v>
      </c>
      <c r="E319" s="31" t="str">
        <f>IFERROR(VLOOKUP(Tabla2[[#This Row],[CODIGO]],Tabla1[],3,0),"")</f>
        <v>UTILES DE ESCRITORIO</v>
      </c>
      <c r="F319" s="28" t="str">
        <f>IFERROR(VLOOKUP(Tabla2[[#This Row],[CODIGO]],Tabla1[],5,0),"")</f>
        <v>ALMACEN TICAPAMPA</v>
      </c>
      <c r="G319" s="26" t="str">
        <f>IFERROR(VLOOKUP(Tabla2[[#This Row],[CODIGO]],Tabla1[],6,0),"")</f>
        <v>UNI</v>
      </c>
      <c r="H319" s="26">
        <f>IFERROR(VLOOKUP(Tabla2[[#This Row],[CODIGO]],Tabla1[],10,0),"")</f>
        <v>13</v>
      </c>
      <c r="I319" s="7">
        <v>-1</v>
      </c>
      <c r="J319" s="29" t="s">
        <v>366</v>
      </c>
      <c r="K319" s="26" t="str">
        <f>IFERROR(VLOOKUP(Tabla2[[#This Row],[CODIGO]],Tabla1[],11,0),"")</f>
        <v>COMPRA</v>
      </c>
      <c r="L319" s="67" t="s">
        <v>472</v>
      </c>
      <c r="M319" s="67" t="s">
        <v>253</v>
      </c>
      <c r="N319" s="70"/>
      <c r="O319" s="70">
        <f>Tabla2[[#This Row],[CANTIDAD]]*Tabla2[[#This Row],[PREC. UNITARIO]]</f>
        <v>0</v>
      </c>
      <c r="R319" t="str">
        <f>Tabla2[[#This Row],[QUIEN RECIBE]]&amp;"-"&amp;TEXT(Tabla2[[#This Row],[FECHA]],"dd/mm/yyyy")</f>
        <v>ALEJO CHARCA, DENNYS MIRIAM-24/09/2025</v>
      </c>
    </row>
    <row r="320" spans="2:18" ht="20.45" hidden="1" customHeight="1" x14ac:dyDescent="0.25">
      <c r="B320" s="5">
        <v>45923</v>
      </c>
      <c r="C320" s="2" t="str">
        <f>IFERROR(_xlfn.XLOOKUP(Tabla2[[#This Row],[PRODUCTO]],Tabla1[PRODUCTO],Tabla1[CODIGO]),"")</f>
        <v>CAR-2</v>
      </c>
      <c r="D320" s="31" t="s">
        <v>367</v>
      </c>
      <c r="E320" s="31" t="str">
        <f>IFERROR(VLOOKUP(Tabla2[[#This Row],[CODIGO]],Tabla1[],3,0),"")</f>
        <v>CARPINTERIA</v>
      </c>
      <c r="F320" s="28" t="str">
        <f>IFERROR(VLOOKUP(Tabla2[[#This Row],[CODIGO]],Tabla1[],5,0),"")</f>
        <v>ALMACEN TICAPAMPA</v>
      </c>
      <c r="G320" s="26" t="str">
        <f>IFERROR(VLOOKUP(Tabla2[[#This Row],[CODIGO]],Tabla1[],6,0),"")</f>
        <v>UNI</v>
      </c>
      <c r="H320" s="26">
        <f>IFERROR(VLOOKUP(Tabla2[[#This Row],[CODIGO]],Tabla1[],10,0),"")</f>
        <v>50</v>
      </c>
      <c r="I320" s="7">
        <v>100</v>
      </c>
      <c r="J320" s="29" t="s">
        <v>320</v>
      </c>
      <c r="K320" s="26" t="str">
        <f>IFERROR(VLOOKUP(Tabla2[[#This Row],[CODIGO]],Tabla1[],11,0),"")</f>
        <v>COMPRA</v>
      </c>
      <c r="L320" s="67" t="s">
        <v>308</v>
      </c>
      <c r="M320" s="67" t="s">
        <v>472</v>
      </c>
      <c r="N320" s="70"/>
      <c r="O320" s="70">
        <f>Tabla2[[#This Row],[CANTIDAD]]*Tabla2[[#This Row],[PREC. UNITARIO]]</f>
        <v>0</v>
      </c>
      <c r="R320" t="str">
        <f>Tabla2[[#This Row],[QUIEN RECIBE]]&amp;"-"&amp;TEXT(Tabla2[[#This Row],[FECHA]],"dd/mm/yyyy")</f>
        <v>ACUACHI LANCHIPA ERNESTO ALONSO-23/09/2025</v>
      </c>
    </row>
    <row r="321" spans="2:18" ht="20.45" hidden="1" customHeight="1" x14ac:dyDescent="0.25">
      <c r="B321" s="5">
        <v>45923</v>
      </c>
      <c r="C321" s="2" t="str">
        <f>IFERROR(_xlfn.XLOOKUP(Tabla2[[#This Row],[PRODUCTO]],Tabla1[PRODUCTO],Tabla1[CODIGO]),"")</f>
        <v>OTR-7</v>
      </c>
      <c r="D321" s="31" t="s">
        <v>369</v>
      </c>
      <c r="E321" s="31" t="str">
        <f>IFERROR(VLOOKUP(Tabla2[[#This Row],[CODIGO]],Tabla1[],3,0),"")</f>
        <v>OTROS</v>
      </c>
      <c r="F321" s="28" t="str">
        <f>IFERROR(VLOOKUP(Tabla2[[#This Row],[CODIGO]],Tabla1[],5,0),"")</f>
        <v>ALMACEN TICAPAMPA</v>
      </c>
      <c r="G321" s="26" t="str">
        <f>IFERROR(VLOOKUP(Tabla2[[#This Row],[CODIGO]],Tabla1[],6,0),"")</f>
        <v>MT</v>
      </c>
      <c r="H321" s="26">
        <f>IFERROR(VLOOKUP(Tabla2[[#This Row],[CODIGO]],Tabla1[],10,0),"")</f>
        <v>50</v>
      </c>
      <c r="I321" s="7">
        <v>50</v>
      </c>
      <c r="J321" s="29" t="s">
        <v>320</v>
      </c>
      <c r="K321" s="26" t="str">
        <f>IFERROR(VLOOKUP(Tabla2[[#This Row],[CODIGO]],Tabla1[],11,0),"")</f>
        <v>COMPRA</v>
      </c>
      <c r="L321" s="67" t="s">
        <v>308</v>
      </c>
      <c r="M321" s="67" t="s">
        <v>472</v>
      </c>
      <c r="N321" s="70"/>
      <c r="O321" s="70">
        <f>Tabla2[[#This Row],[CANTIDAD]]*Tabla2[[#This Row],[PREC. UNITARIO]]</f>
        <v>0</v>
      </c>
      <c r="R321" t="str">
        <f>Tabla2[[#This Row],[QUIEN RECIBE]]&amp;"-"&amp;TEXT(Tabla2[[#This Row],[FECHA]],"dd/mm/yyyy")</f>
        <v>ACUACHI LANCHIPA ERNESTO ALONSO-23/09/2025</v>
      </c>
    </row>
    <row r="322" spans="2:18" ht="20.45" hidden="1" customHeight="1" x14ac:dyDescent="0.25">
      <c r="B322" s="5">
        <v>45920</v>
      </c>
      <c r="C322" s="2" t="str">
        <f>IFERROR(_xlfn.XLOOKUP(Tabla2[[#This Row],[PRODUCTO]],Tabla1[PRODUCTO],Tabla1[CODIGO]),"")</f>
        <v>IE-11</v>
      </c>
      <c r="D322" s="31" t="s">
        <v>373</v>
      </c>
      <c r="E322" s="31" t="str">
        <f>IFERROR(VLOOKUP(Tabla2[[#This Row],[CODIGO]],Tabla1[],3,0),"")</f>
        <v>INSTALACIONES ELECTRICAS</v>
      </c>
      <c r="F322" s="28" t="str">
        <f>IFERROR(VLOOKUP(Tabla2[[#This Row],[CODIGO]],Tabla1[],5,0),"")</f>
        <v>ALMACEN TICAPAMPA</v>
      </c>
      <c r="G322" s="26" t="str">
        <f>IFERROR(VLOOKUP(Tabla2[[#This Row],[CODIGO]],Tabla1[],6,0),"")</f>
        <v>UNI</v>
      </c>
      <c r="H322" s="26">
        <f>IFERROR(VLOOKUP(Tabla2[[#This Row],[CODIGO]],Tabla1[],10,0),"")</f>
        <v>100</v>
      </c>
      <c r="I322" s="7">
        <v>100</v>
      </c>
      <c r="J322" s="29" t="s">
        <v>320</v>
      </c>
      <c r="K322" s="26" t="str">
        <f>IFERROR(VLOOKUP(Tabla2[[#This Row],[CODIGO]],Tabla1[],11,0),"")</f>
        <v>COMPRA</v>
      </c>
      <c r="L322" s="67" t="s">
        <v>308</v>
      </c>
      <c r="M322" s="67" t="s">
        <v>472</v>
      </c>
      <c r="N322" s="70"/>
      <c r="O322" s="70">
        <f>Tabla2[[#This Row],[CANTIDAD]]*Tabla2[[#This Row],[PREC. UNITARIO]]</f>
        <v>0</v>
      </c>
      <c r="R322" t="str">
        <f>Tabla2[[#This Row],[QUIEN RECIBE]]&amp;"-"&amp;TEXT(Tabla2[[#This Row],[FECHA]],"dd/mm/yyyy")</f>
        <v>ACUACHI LANCHIPA ERNESTO ALONSO-20/09/2025</v>
      </c>
    </row>
    <row r="323" spans="2:18" ht="20.45" hidden="1" customHeight="1" x14ac:dyDescent="0.25">
      <c r="B323" s="5">
        <v>45920</v>
      </c>
      <c r="C323" s="2" t="str">
        <f>IFERROR(_xlfn.XLOOKUP(Tabla2[[#This Row],[PRODUCTO]],Tabla1[PRODUCTO],Tabla1[CODIGO]),"")</f>
        <v>HM-14</v>
      </c>
      <c r="D323" s="31" t="s">
        <v>370</v>
      </c>
      <c r="E323" s="31" t="str">
        <f>IFERROR(VLOOKUP(Tabla2[[#This Row],[CODIGO]],Tabla1[],3,0),"")</f>
        <v>HERRAMIENTAS</v>
      </c>
      <c r="F323" s="28" t="str">
        <f>IFERROR(VLOOKUP(Tabla2[[#This Row],[CODIGO]],Tabla1[],5,0),"")</f>
        <v>ALMACEN TICAPAMPA</v>
      </c>
      <c r="G323" s="26" t="str">
        <f>IFERROR(VLOOKUP(Tabla2[[#This Row],[CODIGO]],Tabla1[],6,0),"")</f>
        <v>UNI</v>
      </c>
      <c r="H323" s="26">
        <f>IFERROR(VLOOKUP(Tabla2[[#This Row],[CODIGO]],Tabla1[],10,0),"")</f>
        <v>1</v>
      </c>
      <c r="I323" s="7">
        <v>1</v>
      </c>
      <c r="J323" s="29" t="s">
        <v>320</v>
      </c>
      <c r="K323" s="26" t="str">
        <f>IFERROR(VLOOKUP(Tabla2[[#This Row],[CODIGO]],Tabla1[],11,0),"")</f>
        <v>ALMACEN CENTRAL</v>
      </c>
      <c r="L323" s="67" t="s">
        <v>308</v>
      </c>
      <c r="M323" s="67" t="s">
        <v>472</v>
      </c>
      <c r="N323" s="70"/>
      <c r="O323" s="70">
        <f>Tabla2[[#This Row],[CANTIDAD]]*Tabla2[[#This Row],[PREC. UNITARIO]]</f>
        <v>0</v>
      </c>
      <c r="R323" t="str">
        <f>Tabla2[[#This Row],[QUIEN RECIBE]]&amp;"-"&amp;TEXT(Tabla2[[#This Row],[FECHA]],"dd/mm/yyyy")</f>
        <v>ACUACHI LANCHIPA ERNESTO ALONSO-20/09/2025</v>
      </c>
    </row>
    <row r="324" spans="2:18" ht="20.45" hidden="1" customHeight="1" x14ac:dyDescent="0.25">
      <c r="B324" s="5">
        <v>45920</v>
      </c>
      <c r="C324" s="2" t="str">
        <f>IFERROR(_xlfn.XLOOKUP(Tabla2[[#This Row],[PRODUCTO]],Tabla1[PRODUCTO],Tabla1[CODIGO]),"")</f>
        <v>HM-15</v>
      </c>
      <c r="D324" s="31" t="s">
        <v>371</v>
      </c>
      <c r="E324" s="31" t="str">
        <f>IFERROR(VLOOKUP(Tabla2[[#This Row],[CODIGO]],Tabla1[],3,0),"")</f>
        <v>HERRAMIENTAS</v>
      </c>
      <c r="F324" s="28" t="str">
        <f>IFERROR(VLOOKUP(Tabla2[[#This Row],[CODIGO]],Tabla1[],5,0),"")</f>
        <v>ALMACEN TICAPAMPA</v>
      </c>
      <c r="G324" s="26" t="str">
        <f>IFERROR(VLOOKUP(Tabla2[[#This Row],[CODIGO]],Tabla1[],6,0),"")</f>
        <v>UNI</v>
      </c>
      <c r="H324" s="26">
        <f>IFERROR(VLOOKUP(Tabla2[[#This Row],[CODIGO]],Tabla1[],10,0),"")</f>
        <v>1</v>
      </c>
      <c r="I324" s="7">
        <v>1</v>
      </c>
      <c r="J324" s="29" t="s">
        <v>320</v>
      </c>
      <c r="K324" s="26" t="str">
        <f>IFERROR(VLOOKUP(Tabla2[[#This Row],[CODIGO]],Tabla1[],11,0),"")</f>
        <v>ALMACEN CENTRAL</v>
      </c>
      <c r="L324" s="67" t="s">
        <v>308</v>
      </c>
      <c r="M324" s="67" t="s">
        <v>472</v>
      </c>
      <c r="N324" s="70"/>
      <c r="O324" s="70">
        <f>Tabla2[[#This Row],[CANTIDAD]]*Tabla2[[#This Row],[PREC. UNITARIO]]</f>
        <v>0</v>
      </c>
      <c r="R324" t="str">
        <f>Tabla2[[#This Row],[QUIEN RECIBE]]&amp;"-"&amp;TEXT(Tabla2[[#This Row],[FECHA]],"dd/mm/yyyy")</f>
        <v>ACUACHI LANCHIPA ERNESTO ALONSO-20/09/2025</v>
      </c>
    </row>
    <row r="325" spans="2:18" ht="20.45" hidden="1" customHeight="1" x14ac:dyDescent="0.25">
      <c r="B325" s="5">
        <v>45920</v>
      </c>
      <c r="C325" s="2" t="str">
        <f>IFERROR(_xlfn.XLOOKUP(Tabla2[[#This Row],[PRODUCTO]],Tabla1[PRODUCTO],Tabla1[CODIGO]),"")</f>
        <v>HM-16</v>
      </c>
      <c r="D325" s="31" t="s">
        <v>372</v>
      </c>
      <c r="E325" s="31" t="str">
        <f>IFERROR(VLOOKUP(Tabla2[[#This Row],[CODIGO]],Tabla1[],3,0),"")</f>
        <v>HERRAMIENTAS</v>
      </c>
      <c r="F325" s="28" t="str">
        <f>IFERROR(VLOOKUP(Tabla2[[#This Row],[CODIGO]],Tabla1[],5,0),"")</f>
        <v>ALMACEN TICAPAMPA</v>
      </c>
      <c r="G325" s="26" t="str">
        <f>IFERROR(VLOOKUP(Tabla2[[#This Row],[CODIGO]],Tabla1[],6,0),"")</f>
        <v>UNI</v>
      </c>
      <c r="H325" s="26">
        <f>IFERROR(VLOOKUP(Tabla2[[#This Row],[CODIGO]],Tabla1[],10,0),"")</f>
        <v>1</v>
      </c>
      <c r="I325" s="7">
        <v>1</v>
      </c>
      <c r="J325" s="29" t="s">
        <v>320</v>
      </c>
      <c r="K325" s="26" t="str">
        <f>IFERROR(VLOOKUP(Tabla2[[#This Row],[CODIGO]],Tabla1[],11,0),"")</f>
        <v>ALMACEN CENTRAL</v>
      </c>
      <c r="L325" s="67" t="s">
        <v>308</v>
      </c>
      <c r="M325" s="67" t="s">
        <v>472</v>
      </c>
      <c r="N325" s="70"/>
      <c r="O325" s="70">
        <f>Tabla2[[#This Row],[CANTIDAD]]*Tabla2[[#This Row],[PREC. UNITARIO]]</f>
        <v>0</v>
      </c>
      <c r="R325" t="str">
        <f>Tabla2[[#This Row],[QUIEN RECIBE]]&amp;"-"&amp;TEXT(Tabla2[[#This Row],[FECHA]],"dd/mm/yyyy")</f>
        <v>ACUACHI LANCHIPA ERNESTO ALONSO-20/09/2025</v>
      </c>
    </row>
    <row r="326" spans="2:18" ht="20.45" hidden="1" customHeight="1" x14ac:dyDescent="0.25">
      <c r="B326" s="5">
        <v>45920</v>
      </c>
      <c r="C326" s="2" t="str">
        <f>IFERROR(_xlfn.XLOOKUP(Tabla2[[#This Row],[PRODUCTO]],Tabla1[PRODUCTO],Tabla1[CODIGO]),"")</f>
        <v>IE-12</v>
      </c>
      <c r="D326" s="31" t="s">
        <v>374</v>
      </c>
      <c r="E326" s="31" t="str">
        <f>IFERROR(VLOOKUP(Tabla2[[#This Row],[CODIGO]],Tabla1[],3,0),"")</f>
        <v>INSTALACIONES ELECTRICAS</v>
      </c>
      <c r="F326" s="28" t="str">
        <f>IFERROR(VLOOKUP(Tabla2[[#This Row],[CODIGO]],Tabla1[],5,0),"")</f>
        <v>ALMACEN TICAPAMPA</v>
      </c>
      <c r="G326" s="26" t="str">
        <f>IFERROR(VLOOKUP(Tabla2[[#This Row],[CODIGO]],Tabla1[],6,0),"")</f>
        <v>MT</v>
      </c>
      <c r="H326" s="26">
        <f>IFERROR(VLOOKUP(Tabla2[[#This Row],[CODIGO]],Tabla1[],10,0),"")</f>
        <v>56</v>
      </c>
      <c r="I326" s="7">
        <v>100</v>
      </c>
      <c r="J326" s="29" t="s">
        <v>320</v>
      </c>
      <c r="K326" s="26" t="str">
        <f>IFERROR(VLOOKUP(Tabla2[[#This Row],[CODIGO]],Tabla1[],11,0),"")</f>
        <v>COMPRA</v>
      </c>
      <c r="L326" s="67" t="s">
        <v>308</v>
      </c>
      <c r="M326" s="67" t="s">
        <v>472</v>
      </c>
      <c r="N326" s="70"/>
      <c r="O326" s="70">
        <f>Tabla2[[#This Row],[CANTIDAD]]*Tabla2[[#This Row],[PREC. UNITARIO]]</f>
        <v>0</v>
      </c>
      <c r="R326" t="str">
        <f>Tabla2[[#This Row],[QUIEN RECIBE]]&amp;"-"&amp;TEXT(Tabla2[[#This Row],[FECHA]],"dd/mm/yyyy")</f>
        <v>ACUACHI LANCHIPA ERNESTO ALONSO-20/09/2025</v>
      </c>
    </row>
    <row r="327" spans="2:18" ht="20.45" hidden="1" customHeight="1" x14ac:dyDescent="0.25">
      <c r="B327" s="5">
        <v>45920</v>
      </c>
      <c r="C327" s="2" t="str">
        <f>IFERROR(_xlfn.XLOOKUP(Tabla2[[#This Row],[PRODUCTO]],Tabla1[PRODUCTO],Tabla1[CODIGO]),"")</f>
        <v>IE-12</v>
      </c>
      <c r="D327" s="31" t="s">
        <v>374</v>
      </c>
      <c r="E327" s="31" t="str">
        <f>IFERROR(VLOOKUP(Tabla2[[#This Row],[CODIGO]],Tabla1[],3,0),"")</f>
        <v>INSTALACIONES ELECTRICAS</v>
      </c>
      <c r="F327" s="28" t="str">
        <f>IFERROR(VLOOKUP(Tabla2[[#This Row],[CODIGO]],Tabla1[],5,0),"")</f>
        <v>ALMACEN TICAPAMPA</v>
      </c>
      <c r="G327" s="26" t="str">
        <f>IFERROR(VLOOKUP(Tabla2[[#This Row],[CODIGO]],Tabla1[],6,0),"")</f>
        <v>MT</v>
      </c>
      <c r="H327" s="26">
        <f>IFERROR(VLOOKUP(Tabla2[[#This Row],[CODIGO]],Tabla1[],10,0),"")</f>
        <v>56</v>
      </c>
      <c r="I327" s="7">
        <v>-100</v>
      </c>
      <c r="J327" s="29" t="s">
        <v>375</v>
      </c>
      <c r="K327" s="26" t="str">
        <f>IFERROR(VLOOKUP(Tabla2[[#This Row],[CODIGO]],Tabla1[],11,0),"")</f>
        <v>COMPRA</v>
      </c>
      <c r="L327" s="67" t="s">
        <v>236</v>
      </c>
      <c r="M327" s="67" t="s">
        <v>258</v>
      </c>
      <c r="N327" s="70"/>
      <c r="O327" s="70">
        <f>Tabla2[[#This Row],[CANTIDAD]]*Tabla2[[#This Row],[PREC. UNITARIO]]</f>
        <v>0</v>
      </c>
      <c r="R327" t="str">
        <f>Tabla2[[#This Row],[QUIEN RECIBE]]&amp;"-"&amp;TEXT(Tabla2[[#This Row],[FECHA]],"dd/mm/yyyy")</f>
        <v>ADUVIRE ARGUATA, MARIO ARTURO-20/09/2025</v>
      </c>
    </row>
    <row r="328" spans="2:18" ht="20.45" hidden="1" customHeight="1" x14ac:dyDescent="0.25">
      <c r="B328" s="5">
        <v>45924</v>
      </c>
      <c r="C328" s="2" t="str">
        <f>IFERROR(_xlfn.XLOOKUP(Tabla2[[#This Row],[PRODUCTO]],Tabla1[PRODUCTO],Tabla1[CODIGO]),"")</f>
        <v>IE-12</v>
      </c>
      <c r="D328" s="31" t="s">
        <v>374</v>
      </c>
      <c r="E328" s="31" t="str">
        <f>IFERROR(VLOOKUP(Tabla2[[#This Row],[CODIGO]],Tabla1[],3,0),"")</f>
        <v>INSTALACIONES ELECTRICAS</v>
      </c>
      <c r="F328" s="28" t="str">
        <f>IFERROR(VLOOKUP(Tabla2[[#This Row],[CODIGO]],Tabla1[],5,0),"")</f>
        <v>ALMACEN TICAPAMPA</v>
      </c>
      <c r="G328" s="26" t="str">
        <f>IFERROR(VLOOKUP(Tabla2[[#This Row],[CODIGO]],Tabla1[],6,0),"")</f>
        <v>MT</v>
      </c>
      <c r="H328" s="26">
        <f>IFERROR(VLOOKUP(Tabla2[[#This Row],[CODIGO]],Tabla1[],10,0),"")</f>
        <v>56</v>
      </c>
      <c r="I328" s="7">
        <v>100</v>
      </c>
      <c r="J328" s="29" t="s">
        <v>320</v>
      </c>
      <c r="K328" s="26" t="str">
        <f>IFERROR(VLOOKUP(Tabla2[[#This Row],[CODIGO]],Tabla1[],11,0),"")</f>
        <v>COMPRA</v>
      </c>
      <c r="L328" s="67" t="s">
        <v>308</v>
      </c>
      <c r="M328" s="67" t="s">
        <v>472</v>
      </c>
      <c r="N328" s="70"/>
      <c r="O328" s="70">
        <f>Tabla2[[#This Row],[CANTIDAD]]*Tabla2[[#This Row],[PREC. UNITARIO]]</f>
        <v>0</v>
      </c>
      <c r="R328" t="str">
        <f>Tabla2[[#This Row],[QUIEN RECIBE]]&amp;"-"&amp;TEXT(Tabla2[[#This Row],[FECHA]],"dd/mm/yyyy")</f>
        <v>ACUACHI LANCHIPA ERNESTO ALONSO-24/09/2025</v>
      </c>
    </row>
    <row r="329" spans="2:18" ht="20.45" hidden="1" customHeight="1" x14ac:dyDescent="0.25">
      <c r="B329" s="5">
        <v>45925</v>
      </c>
      <c r="C329" s="2" t="str">
        <f>IFERROR(_xlfn.XLOOKUP(Tabla2[[#This Row],[PRODUCTO]],Tabla1[PRODUCTO],Tabla1[CODIGO]),"")</f>
        <v>IE-12</v>
      </c>
      <c r="D329" s="31" t="s">
        <v>374</v>
      </c>
      <c r="E329" s="31" t="str">
        <f>IFERROR(VLOOKUP(Tabla2[[#This Row],[CODIGO]],Tabla1[],3,0),"")</f>
        <v>INSTALACIONES ELECTRICAS</v>
      </c>
      <c r="F329" s="28" t="str">
        <f>IFERROR(VLOOKUP(Tabla2[[#This Row],[CODIGO]],Tabla1[],5,0),"")</f>
        <v>ALMACEN TICAPAMPA</v>
      </c>
      <c r="G329" s="26" t="str">
        <f>IFERROR(VLOOKUP(Tabla2[[#This Row],[CODIGO]],Tabla1[],6,0),"")</f>
        <v>MT</v>
      </c>
      <c r="H329" s="26">
        <f>IFERROR(VLOOKUP(Tabla2[[#This Row],[CODIGO]],Tabla1[],10,0),"")</f>
        <v>56</v>
      </c>
      <c r="I329" s="7">
        <v>-4</v>
      </c>
      <c r="J329" s="29" t="s">
        <v>376</v>
      </c>
      <c r="K329" s="26" t="str">
        <f>IFERROR(VLOOKUP(Tabla2[[#This Row],[CODIGO]],Tabla1[],11,0),"")</f>
        <v>COMPRA</v>
      </c>
      <c r="L329" s="67" t="s">
        <v>236</v>
      </c>
      <c r="M329" s="67" t="s">
        <v>242</v>
      </c>
      <c r="N329" s="70"/>
      <c r="O329" s="70">
        <f>Tabla2[[#This Row],[CANTIDAD]]*Tabla2[[#This Row],[PREC. UNITARIO]]</f>
        <v>0</v>
      </c>
      <c r="R329" t="str">
        <f>Tabla2[[#This Row],[QUIEN RECIBE]]&amp;"-"&amp;TEXT(Tabla2[[#This Row],[FECHA]],"dd/mm/yyyy")</f>
        <v>MAYTAHUARI ACOSTA, SAMMER AXEL-25/09/2025</v>
      </c>
    </row>
    <row r="330" spans="2:18" ht="20.45" hidden="1" customHeight="1" x14ac:dyDescent="0.25">
      <c r="B330" s="5">
        <v>45920</v>
      </c>
      <c r="C330" s="2" t="str">
        <f>IFERROR(_xlfn.XLOOKUP(Tabla2[[#This Row],[PRODUCTO]],Tabla1[PRODUCTO],Tabla1[CODIGO]),"")</f>
        <v>HM-17</v>
      </c>
      <c r="D330" s="31" t="s">
        <v>377</v>
      </c>
      <c r="E330" s="31" t="str">
        <f>IFERROR(VLOOKUP(Tabla2[[#This Row],[CODIGO]],Tabla1[],3,0),"")</f>
        <v>HERRAMIENTAS</v>
      </c>
      <c r="F330" s="28" t="str">
        <f>IFERROR(VLOOKUP(Tabla2[[#This Row],[CODIGO]],Tabla1[],5,0),"")</f>
        <v>ALMACEN TICAPAMPA</v>
      </c>
      <c r="G330" s="26" t="str">
        <f>IFERROR(VLOOKUP(Tabla2[[#This Row],[CODIGO]],Tabla1[],6,0),"")</f>
        <v>UNI</v>
      </c>
      <c r="H330" s="26">
        <f>IFERROR(VLOOKUP(Tabla2[[#This Row],[CODIGO]],Tabla1[],10,0),"")</f>
        <v>6</v>
      </c>
      <c r="I330" s="7">
        <v>12</v>
      </c>
      <c r="J330" s="29" t="s">
        <v>320</v>
      </c>
      <c r="K330" s="26" t="str">
        <f>IFERROR(VLOOKUP(Tabla2[[#This Row],[CODIGO]],Tabla1[],11,0),"")</f>
        <v>COMPRA</v>
      </c>
      <c r="L330" s="67" t="s">
        <v>308</v>
      </c>
      <c r="M330" s="67" t="s">
        <v>472</v>
      </c>
      <c r="N330" s="70"/>
      <c r="O330" s="70">
        <f>Tabla2[[#This Row],[CANTIDAD]]*Tabla2[[#This Row],[PREC. UNITARIO]]</f>
        <v>0</v>
      </c>
      <c r="R330" t="str">
        <f>Tabla2[[#This Row],[QUIEN RECIBE]]&amp;"-"&amp;TEXT(Tabla2[[#This Row],[FECHA]],"dd/mm/yyyy")</f>
        <v>ACUACHI LANCHIPA ERNESTO ALONSO-20/09/2025</v>
      </c>
    </row>
    <row r="331" spans="2:18" ht="20.45" hidden="1" customHeight="1" x14ac:dyDescent="0.25">
      <c r="B331" s="5">
        <v>45924</v>
      </c>
      <c r="C331" s="2" t="str">
        <f>IFERROR(_xlfn.XLOOKUP(Tabla2[[#This Row],[PRODUCTO]],Tabla1[PRODUCTO],Tabla1[CODIGO]),"")</f>
        <v>HM-17</v>
      </c>
      <c r="D331" s="31" t="s">
        <v>377</v>
      </c>
      <c r="E331" s="31" t="str">
        <f>IFERROR(VLOOKUP(Tabla2[[#This Row],[CODIGO]],Tabla1[],3,0),"")</f>
        <v>HERRAMIENTAS</v>
      </c>
      <c r="F331" s="28" t="str">
        <f>IFERROR(VLOOKUP(Tabla2[[#This Row],[CODIGO]],Tabla1[],5,0),"")</f>
        <v>ALMACEN TICAPAMPA</v>
      </c>
      <c r="G331" s="26" t="str">
        <f>IFERROR(VLOOKUP(Tabla2[[#This Row],[CODIGO]],Tabla1[],6,0),"")</f>
        <v>UNI</v>
      </c>
      <c r="H331" s="26">
        <f>IFERROR(VLOOKUP(Tabla2[[#This Row],[CODIGO]],Tabla1[],10,0),"")</f>
        <v>6</v>
      </c>
      <c r="I331" s="7">
        <v>-1</v>
      </c>
      <c r="J331" s="29" t="s">
        <v>320</v>
      </c>
      <c r="K331" s="26" t="str">
        <f>IFERROR(VLOOKUP(Tabla2[[#This Row],[CODIGO]],Tabla1[],11,0),"")</f>
        <v>COMPRA</v>
      </c>
      <c r="L331" s="67" t="s">
        <v>236</v>
      </c>
      <c r="M331" s="67"/>
      <c r="N331" s="70"/>
      <c r="O331" s="70">
        <f>Tabla2[[#This Row],[CANTIDAD]]*Tabla2[[#This Row],[PREC. UNITARIO]]</f>
        <v>0</v>
      </c>
      <c r="R331" t="str">
        <f>Tabla2[[#This Row],[QUIEN RECIBE]]&amp;"-"&amp;TEXT(Tabla2[[#This Row],[FECHA]],"dd/mm/yyyy")</f>
        <v>-24/09/2025</v>
      </c>
    </row>
    <row r="332" spans="2:18" ht="20.45" hidden="1" customHeight="1" x14ac:dyDescent="0.25">
      <c r="B332" s="5">
        <v>45925</v>
      </c>
      <c r="C332" s="2" t="str">
        <f>IFERROR(_xlfn.XLOOKUP(Tabla2[[#This Row],[PRODUCTO]],Tabla1[PRODUCTO],Tabla1[CODIGO]),"")</f>
        <v>HM-17</v>
      </c>
      <c r="D332" s="31" t="s">
        <v>377</v>
      </c>
      <c r="E332" s="31" t="str">
        <f>IFERROR(VLOOKUP(Tabla2[[#This Row],[CODIGO]],Tabla1[],3,0),"")</f>
        <v>HERRAMIENTAS</v>
      </c>
      <c r="F332" s="28" t="str">
        <f>IFERROR(VLOOKUP(Tabla2[[#This Row],[CODIGO]],Tabla1[],5,0),"")</f>
        <v>ALMACEN TICAPAMPA</v>
      </c>
      <c r="G332" s="26" t="str">
        <f>IFERROR(VLOOKUP(Tabla2[[#This Row],[CODIGO]],Tabla1[],6,0),"")</f>
        <v>UNI</v>
      </c>
      <c r="H332" s="26">
        <f>IFERROR(VLOOKUP(Tabla2[[#This Row],[CODIGO]],Tabla1[],10,0),"")</f>
        <v>6</v>
      </c>
      <c r="I332" s="7">
        <v>-1</v>
      </c>
      <c r="J332" s="29" t="s">
        <v>350</v>
      </c>
      <c r="K332" s="26" t="str">
        <f>IFERROR(VLOOKUP(Tabla2[[#This Row],[CODIGO]],Tabla1[],11,0),"")</f>
        <v>COMPRA</v>
      </c>
      <c r="L332" s="67" t="s">
        <v>236</v>
      </c>
      <c r="M332" s="67" t="s">
        <v>323</v>
      </c>
      <c r="N332" s="70"/>
      <c r="O332" s="70">
        <f>Tabla2[[#This Row],[CANTIDAD]]*Tabla2[[#This Row],[PREC. UNITARIO]]</f>
        <v>0</v>
      </c>
      <c r="R332" t="str">
        <f>Tabla2[[#This Row],[QUIEN RECIBE]]&amp;"-"&amp;TEXT(Tabla2[[#This Row],[FECHA]],"dd/mm/yyyy")</f>
        <v>TUANAMA PILCO, CRHIS-25/09/2025</v>
      </c>
    </row>
    <row r="333" spans="2:18" ht="20.45" hidden="1" customHeight="1" x14ac:dyDescent="0.25">
      <c r="B333" s="5">
        <v>45920</v>
      </c>
      <c r="C333" s="2" t="str">
        <f>IFERROR(_xlfn.XLOOKUP(Tabla2[[#This Row],[PRODUCTO]],Tabla1[PRODUCTO],Tabla1[CODIGO]),"")</f>
        <v>IE-3</v>
      </c>
      <c r="D333" s="31" t="s">
        <v>378</v>
      </c>
      <c r="E333" s="31" t="str">
        <f>IFERROR(VLOOKUP(Tabla2[[#This Row],[CODIGO]],Tabla1[],3,0),"")</f>
        <v>INSTALACIONES ELECTRICAS</v>
      </c>
      <c r="F333" s="28" t="str">
        <f>IFERROR(VLOOKUP(Tabla2[[#This Row],[CODIGO]],Tabla1[],5,0),"")</f>
        <v>ALMACEN TICAPAMPA</v>
      </c>
      <c r="G333" s="26" t="str">
        <f>IFERROR(VLOOKUP(Tabla2[[#This Row],[CODIGO]],Tabla1[],6,0),"")</f>
        <v>UNI</v>
      </c>
      <c r="H333" s="26">
        <f>IFERROR(VLOOKUP(Tabla2[[#This Row],[CODIGO]],Tabla1[],10,0),"")</f>
        <v>55</v>
      </c>
      <c r="I333" s="7">
        <v>28</v>
      </c>
      <c r="J333" s="29" t="s">
        <v>320</v>
      </c>
      <c r="K333" s="26" t="str">
        <f>IFERROR(VLOOKUP(Tabla2[[#This Row],[CODIGO]],Tabla1[],11,0),"")</f>
        <v>COMPRA</v>
      </c>
      <c r="L333" s="67" t="s">
        <v>308</v>
      </c>
      <c r="M333" s="67" t="s">
        <v>472</v>
      </c>
      <c r="N333" s="70"/>
      <c r="O333" s="70">
        <f>Tabla2[[#This Row],[CANTIDAD]]*Tabla2[[#This Row],[PREC. UNITARIO]]</f>
        <v>0</v>
      </c>
      <c r="R333" t="str">
        <f>Tabla2[[#This Row],[QUIEN RECIBE]]&amp;"-"&amp;TEXT(Tabla2[[#This Row],[FECHA]],"dd/mm/yyyy")</f>
        <v>ACUACHI LANCHIPA ERNESTO ALONSO-20/09/2025</v>
      </c>
    </row>
    <row r="334" spans="2:18" ht="20.45" hidden="1" customHeight="1" x14ac:dyDescent="0.25">
      <c r="B334" s="5">
        <v>45924</v>
      </c>
      <c r="C334" s="2" t="str">
        <f>IFERROR(_xlfn.XLOOKUP(Tabla2[[#This Row],[PRODUCTO]],Tabla1[PRODUCTO],Tabla1[CODIGO]),"")</f>
        <v>IE-3</v>
      </c>
      <c r="D334" s="31" t="s">
        <v>378</v>
      </c>
      <c r="E334" s="31" t="str">
        <f>IFERROR(VLOOKUP(Tabla2[[#This Row],[CODIGO]],Tabla1[],3,0),"")</f>
        <v>INSTALACIONES ELECTRICAS</v>
      </c>
      <c r="F334" s="28" t="str">
        <f>IFERROR(VLOOKUP(Tabla2[[#This Row],[CODIGO]],Tabla1[],5,0),"")</f>
        <v>ALMACEN TICAPAMPA</v>
      </c>
      <c r="G334" s="26" t="str">
        <f>IFERROR(VLOOKUP(Tabla2[[#This Row],[CODIGO]],Tabla1[],6,0),"")</f>
        <v>UNI</v>
      </c>
      <c r="H334" s="26">
        <f>IFERROR(VLOOKUP(Tabla2[[#This Row],[CODIGO]],Tabla1[],10,0),"")</f>
        <v>55</v>
      </c>
      <c r="I334" s="7">
        <v>-1</v>
      </c>
      <c r="J334" s="29" t="s">
        <v>379</v>
      </c>
      <c r="K334" s="26" t="str">
        <f>IFERROR(VLOOKUP(Tabla2[[#This Row],[CODIGO]],Tabla1[],11,0),"")</f>
        <v>COMPRA</v>
      </c>
      <c r="L334" s="67" t="s">
        <v>236</v>
      </c>
      <c r="M334" s="67" t="s">
        <v>236</v>
      </c>
      <c r="N334" s="70"/>
      <c r="O334" s="70">
        <f>Tabla2[[#This Row],[CANTIDAD]]*Tabla2[[#This Row],[PREC. UNITARIO]]</f>
        <v>0</v>
      </c>
      <c r="R334" t="str">
        <f>Tabla2[[#This Row],[QUIEN RECIBE]]&amp;"-"&amp;TEXT(Tabla2[[#This Row],[FECHA]],"dd/mm/yyyy")</f>
        <v>NAVARRO LOZANO, ANGEL JAROL-24/09/2025</v>
      </c>
    </row>
    <row r="335" spans="2:18" ht="20.45" hidden="1" customHeight="1" x14ac:dyDescent="0.25">
      <c r="B335" s="5">
        <v>45925</v>
      </c>
      <c r="C335" s="2" t="str">
        <f>IFERROR(_xlfn.XLOOKUP(Tabla2[[#This Row],[PRODUCTO]],Tabla1[PRODUCTO],Tabla1[CODIGO]),"")</f>
        <v>HM-5</v>
      </c>
      <c r="D335" s="31" t="s">
        <v>295</v>
      </c>
      <c r="E335" s="31" t="str">
        <f>IFERROR(VLOOKUP(Tabla2[[#This Row],[CODIGO]],Tabla1[],3,0),"")</f>
        <v>HERRAMIENTAS</v>
      </c>
      <c r="F335" s="28" t="str">
        <f>IFERROR(VLOOKUP(Tabla2[[#This Row],[CODIGO]],Tabla1[],5,0),"")</f>
        <v>ALMACEN TICAPAMPA</v>
      </c>
      <c r="G335" s="26" t="str">
        <f>IFERROR(VLOOKUP(Tabla2[[#This Row],[CODIGO]],Tabla1[],6,0),"")</f>
        <v>UNI</v>
      </c>
      <c r="H335" s="26">
        <f>IFERROR(VLOOKUP(Tabla2[[#This Row],[CODIGO]],Tabla1[],10,0),"")</f>
        <v>1</v>
      </c>
      <c r="I335" s="7">
        <v>-4</v>
      </c>
      <c r="J335" s="29" t="s">
        <v>380</v>
      </c>
      <c r="K335" s="26" t="str">
        <f>IFERROR(VLOOKUP(Tabla2[[#This Row],[CODIGO]],Tabla1[],11,0),"")</f>
        <v>COMPRA</v>
      </c>
      <c r="L335" s="67" t="s">
        <v>236</v>
      </c>
      <c r="M335" s="67" t="s">
        <v>302</v>
      </c>
      <c r="N335" s="70"/>
      <c r="O335" s="70">
        <f>Tabla2[[#This Row],[CANTIDAD]]*Tabla2[[#This Row],[PREC. UNITARIO]]</f>
        <v>0</v>
      </c>
      <c r="R335" t="str">
        <f>Tabla2[[#This Row],[QUIEN RECIBE]]&amp;"-"&amp;TEXT(Tabla2[[#This Row],[FECHA]],"dd/mm/yyyy")</f>
        <v>QUISPE LIMACHE, ROGELIO -25/09/2025</v>
      </c>
    </row>
    <row r="336" spans="2:18" ht="20.45" hidden="1" customHeight="1" x14ac:dyDescent="0.25">
      <c r="B336" s="5">
        <v>45924</v>
      </c>
      <c r="C336" s="2" t="str">
        <f>IFERROR(_xlfn.XLOOKUP(Tabla2[[#This Row],[PRODUCTO]],Tabla1[PRODUCTO],Tabla1[CODIGO]),"")</f>
        <v>HM-5</v>
      </c>
      <c r="D336" s="31" t="s">
        <v>295</v>
      </c>
      <c r="E336" s="31" t="str">
        <f>IFERROR(VLOOKUP(Tabla2[[#This Row],[CODIGO]],Tabla1[],3,0),"")</f>
        <v>HERRAMIENTAS</v>
      </c>
      <c r="F336" s="28" t="str">
        <f>IFERROR(VLOOKUP(Tabla2[[#This Row],[CODIGO]],Tabla1[],5,0),"")</f>
        <v>ALMACEN TICAPAMPA</v>
      </c>
      <c r="G336" s="26" t="str">
        <f>IFERROR(VLOOKUP(Tabla2[[#This Row],[CODIGO]],Tabla1[],6,0),"")</f>
        <v>UNI</v>
      </c>
      <c r="H336" s="26">
        <f>IFERROR(VLOOKUP(Tabla2[[#This Row],[CODIGO]],Tabla1[],10,0),"")</f>
        <v>1</v>
      </c>
      <c r="I336" s="7">
        <v>-2</v>
      </c>
      <c r="J336" s="29" t="s">
        <v>350</v>
      </c>
      <c r="K336" s="26" t="str">
        <f>IFERROR(VLOOKUP(Tabla2[[#This Row],[CODIGO]],Tabla1[],11,0),"")</f>
        <v>COMPRA</v>
      </c>
      <c r="L336" s="67" t="s">
        <v>236</v>
      </c>
      <c r="M336" s="67" t="s">
        <v>244</v>
      </c>
      <c r="N336" s="70"/>
      <c r="O336" s="70">
        <f>Tabla2[[#This Row],[CANTIDAD]]*Tabla2[[#This Row],[PREC. UNITARIO]]</f>
        <v>0</v>
      </c>
      <c r="R336" t="str">
        <f>Tabla2[[#This Row],[QUIEN RECIBE]]&amp;"-"&amp;TEXT(Tabla2[[#This Row],[FECHA]],"dd/mm/yyyy")</f>
        <v>CORDOVA ANGULO, JUAN-24/09/2025</v>
      </c>
    </row>
    <row r="337" spans="2:18" ht="20.45" hidden="1" customHeight="1" x14ac:dyDescent="0.25">
      <c r="B337" s="5">
        <v>45925</v>
      </c>
      <c r="C337" s="2" t="str">
        <f>IFERROR(_xlfn.XLOOKUP(Tabla2[[#This Row],[PRODUCTO]],Tabla1[PRODUCTO],Tabla1[CODIGO]),"")</f>
        <v>AGU-1</v>
      </c>
      <c r="D337" s="31" t="s">
        <v>357</v>
      </c>
      <c r="E337" s="31" t="str">
        <f>IFERROR(VLOOKUP(Tabla2[[#This Row],[CODIGO]],Tabla1[],3,0),"")</f>
        <v>AGUA</v>
      </c>
      <c r="F337" s="28" t="str">
        <f>IFERROR(VLOOKUP(Tabla2[[#This Row],[CODIGO]],Tabla1[],5,0),"")</f>
        <v>ALMACEN TICAPAMPA</v>
      </c>
      <c r="G337" s="26" t="str">
        <f>IFERROR(VLOOKUP(Tabla2[[#This Row],[CODIGO]],Tabla1[],6,0),"")</f>
        <v>UNI</v>
      </c>
      <c r="H337" s="26">
        <f>IFERROR(VLOOKUP(Tabla2[[#This Row],[CODIGO]],Tabla1[],10,0),"")</f>
        <v>9</v>
      </c>
      <c r="I337" s="7">
        <v>5</v>
      </c>
      <c r="J337" s="29" t="s">
        <v>320</v>
      </c>
      <c r="K337" s="26" t="str">
        <f>IFERROR(VLOOKUP(Tabla2[[#This Row],[CODIGO]],Tabla1[],11,0),"")</f>
        <v>COMPRA</v>
      </c>
      <c r="L337" s="67" t="s">
        <v>148</v>
      </c>
      <c r="M337" s="67" t="s">
        <v>236</v>
      </c>
      <c r="N337" s="70">
        <v>8</v>
      </c>
      <c r="O337" s="70">
        <f>Tabla2[[#This Row],[CANTIDAD]]*Tabla2[[#This Row],[PREC. UNITARIO]]</f>
        <v>40</v>
      </c>
      <c r="R337" t="str">
        <f>Tabla2[[#This Row],[QUIEN RECIBE]]&amp;"-"&amp;TEXT(Tabla2[[#This Row],[FECHA]],"dd/mm/yyyy")</f>
        <v>NAVARRO LOZANO, ANGEL JAROL-25/09/2025</v>
      </c>
    </row>
    <row r="338" spans="2:18" ht="20.45" hidden="1" customHeight="1" x14ac:dyDescent="0.25">
      <c r="B338" s="5">
        <v>45925</v>
      </c>
      <c r="C338" s="2" t="str">
        <f>IFERROR(_xlfn.XLOOKUP(Tabla2[[#This Row],[PRODUCTO]],Tabla1[PRODUCTO],Tabla1[CODIGO]),"")</f>
        <v>AGU-1</v>
      </c>
      <c r="D338" s="31" t="s">
        <v>357</v>
      </c>
      <c r="E338" s="31" t="str">
        <f>IFERROR(VLOOKUP(Tabla2[[#This Row],[CODIGO]],Tabla1[],3,0),"")</f>
        <v>AGUA</v>
      </c>
      <c r="F338" s="28" t="str">
        <f>IFERROR(VLOOKUP(Tabla2[[#This Row],[CODIGO]],Tabla1[],5,0),"")</f>
        <v>ALMACEN TICAPAMPA</v>
      </c>
      <c r="G338" s="26" t="str">
        <f>IFERROR(VLOOKUP(Tabla2[[#This Row],[CODIGO]],Tabla1[],6,0),"")</f>
        <v>UNI</v>
      </c>
      <c r="H338" s="26">
        <f>IFERROR(VLOOKUP(Tabla2[[#This Row],[CODIGO]],Tabla1[],10,0),"")</f>
        <v>9</v>
      </c>
      <c r="I338" s="7">
        <v>-1</v>
      </c>
      <c r="J338" s="29" t="s">
        <v>381</v>
      </c>
      <c r="K338" s="26" t="str">
        <f>IFERROR(VLOOKUP(Tabla2[[#This Row],[CODIGO]],Tabla1[],11,0),"")</f>
        <v>COMPRA</v>
      </c>
      <c r="L338" s="67" t="s">
        <v>236</v>
      </c>
      <c r="M338" s="67" t="s">
        <v>241</v>
      </c>
      <c r="N338" s="70">
        <v>8</v>
      </c>
      <c r="O338" s="70">
        <f>Tabla2[[#This Row],[CANTIDAD]]*Tabla2[[#This Row],[PREC. UNITARIO]]</f>
        <v>-8</v>
      </c>
      <c r="R338" t="str">
        <f>Tabla2[[#This Row],[QUIEN RECIBE]]&amp;"-"&amp;TEXT(Tabla2[[#This Row],[FECHA]],"dd/mm/yyyy")</f>
        <v>PIÑA CHUJANDAMA, KEVIN-25/09/2025</v>
      </c>
    </row>
    <row r="339" spans="2:18" ht="20.45" hidden="1" customHeight="1" x14ac:dyDescent="0.25">
      <c r="B339" s="5">
        <v>45925</v>
      </c>
      <c r="C339" s="2" t="str">
        <f>IFERROR(_xlfn.XLOOKUP(Tabla2[[#This Row],[PRODUCTO]],Tabla1[PRODUCTO],Tabla1[CODIGO]),"")</f>
        <v>AGU-1</v>
      </c>
      <c r="D339" s="31" t="s">
        <v>357</v>
      </c>
      <c r="E339" s="31" t="str">
        <f>IFERROR(VLOOKUP(Tabla2[[#This Row],[CODIGO]],Tabla1[],3,0),"")</f>
        <v>AGUA</v>
      </c>
      <c r="F339" s="28" t="str">
        <f>IFERROR(VLOOKUP(Tabla2[[#This Row],[CODIGO]],Tabla1[],5,0),"")</f>
        <v>ALMACEN TICAPAMPA</v>
      </c>
      <c r="G339" s="26" t="str">
        <f>IFERROR(VLOOKUP(Tabla2[[#This Row],[CODIGO]],Tabla1[],6,0),"")</f>
        <v>UNI</v>
      </c>
      <c r="H339" s="26">
        <f>IFERROR(VLOOKUP(Tabla2[[#This Row],[CODIGO]],Tabla1[],10,0),"")</f>
        <v>9</v>
      </c>
      <c r="I339" s="7">
        <v>-1</v>
      </c>
      <c r="J339" s="29" t="s">
        <v>382</v>
      </c>
      <c r="K339" s="26" t="str">
        <f>IFERROR(VLOOKUP(Tabla2[[#This Row],[CODIGO]],Tabla1[],11,0),"")</f>
        <v>COMPRA</v>
      </c>
      <c r="L339" s="67" t="s">
        <v>236</v>
      </c>
      <c r="M339" s="67" t="s">
        <v>260</v>
      </c>
      <c r="N339" s="70">
        <v>8</v>
      </c>
      <c r="O339" s="70">
        <f>Tabla2[[#This Row],[CANTIDAD]]*Tabla2[[#This Row],[PREC. UNITARIO]]</f>
        <v>-8</v>
      </c>
      <c r="R339" t="str">
        <f>Tabla2[[#This Row],[QUIEN RECIBE]]&amp;"-"&amp;TEXT(Tabla2[[#This Row],[FECHA]],"dd/mm/yyyy")</f>
        <v>SALAZAR BAZAN, ROCÍO DALILA-25/09/2025</v>
      </c>
    </row>
    <row r="340" spans="2:18" ht="20.45" hidden="1" customHeight="1" x14ac:dyDescent="0.25">
      <c r="B340" s="5">
        <v>45925</v>
      </c>
      <c r="C340" s="2" t="str">
        <f>IFERROR(_xlfn.XLOOKUP(Tabla2[[#This Row],[PRODUCTO]],Tabla1[PRODUCTO],Tabla1[CODIGO]),"")</f>
        <v>AGU-1</v>
      </c>
      <c r="D340" s="31" t="s">
        <v>357</v>
      </c>
      <c r="E340" s="31" t="str">
        <f>IFERROR(VLOOKUP(Tabla2[[#This Row],[CODIGO]],Tabla1[],3,0),"")</f>
        <v>AGUA</v>
      </c>
      <c r="F340" s="28" t="str">
        <f>IFERROR(VLOOKUP(Tabla2[[#This Row],[CODIGO]],Tabla1[],5,0),"")</f>
        <v>ALMACEN TICAPAMPA</v>
      </c>
      <c r="G340" s="26" t="str">
        <f>IFERROR(VLOOKUP(Tabla2[[#This Row],[CODIGO]],Tabla1[],6,0),"")</f>
        <v>UNI</v>
      </c>
      <c r="H340" s="26">
        <f>IFERROR(VLOOKUP(Tabla2[[#This Row],[CODIGO]],Tabla1[],10,0),"")</f>
        <v>9</v>
      </c>
      <c r="I340" s="7">
        <v>-1</v>
      </c>
      <c r="J340" s="29" t="s">
        <v>350</v>
      </c>
      <c r="K340" s="26" t="str">
        <f>IFERROR(VLOOKUP(Tabla2[[#This Row],[CODIGO]],Tabla1[],11,0),"")</f>
        <v>COMPRA</v>
      </c>
      <c r="L340" s="67" t="s">
        <v>236</v>
      </c>
      <c r="M340" s="67" t="s">
        <v>258</v>
      </c>
      <c r="N340" s="70">
        <v>8</v>
      </c>
      <c r="O340" s="70">
        <f>Tabla2[[#This Row],[CANTIDAD]]*Tabla2[[#This Row],[PREC. UNITARIO]]</f>
        <v>-8</v>
      </c>
      <c r="R340" t="str">
        <f>Tabla2[[#This Row],[QUIEN RECIBE]]&amp;"-"&amp;TEXT(Tabla2[[#This Row],[FECHA]],"dd/mm/yyyy")</f>
        <v>ADUVIRE ARGUATA, MARIO ARTURO-25/09/2025</v>
      </c>
    </row>
    <row r="341" spans="2:18" ht="20.45" hidden="1" customHeight="1" x14ac:dyDescent="0.25">
      <c r="B341" s="5">
        <v>45924</v>
      </c>
      <c r="C341" s="2" t="str">
        <f>IFERROR(_xlfn.XLOOKUP(Tabla2[[#This Row],[PRODUCTO]],Tabla1[PRODUCTO],Tabla1[CODIGO]),"")</f>
        <v>AGU-1</v>
      </c>
      <c r="D341" s="31" t="s">
        <v>357</v>
      </c>
      <c r="E341" s="31" t="str">
        <f>IFERROR(VLOOKUP(Tabla2[[#This Row],[CODIGO]],Tabla1[],3,0),"")</f>
        <v>AGUA</v>
      </c>
      <c r="F341" s="28" t="str">
        <f>IFERROR(VLOOKUP(Tabla2[[#This Row],[CODIGO]],Tabla1[],5,0),"")</f>
        <v>ALMACEN TICAPAMPA</v>
      </c>
      <c r="G341" s="26" t="str">
        <f>IFERROR(VLOOKUP(Tabla2[[#This Row],[CODIGO]],Tabla1[],6,0),"")</f>
        <v>UNI</v>
      </c>
      <c r="H341" s="26">
        <f>IFERROR(VLOOKUP(Tabla2[[#This Row],[CODIGO]],Tabla1[],10,0),"")</f>
        <v>9</v>
      </c>
      <c r="I341" s="7">
        <v>-1</v>
      </c>
      <c r="J341" s="29" t="s">
        <v>383</v>
      </c>
      <c r="K341" s="26" t="str">
        <f>IFERROR(VLOOKUP(Tabla2[[#This Row],[CODIGO]],Tabla1[],11,0),"")</f>
        <v>COMPRA</v>
      </c>
      <c r="L341" s="67" t="s">
        <v>236</v>
      </c>
      <c r="M341" s="67" t="s">
        <v>236</v>
      </c>
      <c r="N341" s="70">
        <v>8</v>
      </c>
      <c r="O341" s="70">
        <f>Tabla2[[#This Row],[CANTIDAD]]*Tabla2[[#This Row],[PREC. UNITARIO]]</f>
        <v>-8</v>
      </c>
      <c r="R341" t="str">
        <f>Tabla2[[#This Row],[QUIEN RECIBE]]&amp;"-"&amp;TEXT(Tabla2[[#This Row],[FECHA]],"dd/mm/yyyy")</f>
        <v>NAVARRO LOZANO, ANGEL JAROL-24/09/2025</v>
      </c>
    </row>
    <row r="342" spans="2:18" ht="20.45" hidden="1" customHeight="1" x14ac:dyDescent="0.25">
      <c r="B342" s="5">
        <v>45924</v>
      </c>
      <c r="C342" s="2" t="str">
        <f>IFERROR(_xlfn.XLOOKUP(Tabla2[[#This Row],[PRODUCTO]],Tabla1[PRODUCTO],Tabla1[CODIGO]),"")</f>
        <v>HM-18</v>
      </c>
      <c r="D342" s="31" t="s">
        <v>384</v>
      </c>
      <c r="E342" s="31" t="str">
        <f>IFERROR(VLOOKUP(Tabla2[[#This Row],[CODIGO]],Tabla1[],3,0),"")</f>
        <v>HERRAMIENTAS</v>
      </c>
      <c r="F342" s="28" t="str">
        <f>IFERROR(VLOOKUP(Tabla2[[#This Row],[CODIGO]],Tabla1[],5,0),"")</f>
        <v>ALMACEN TICAPAMPA</v>
      </c>
      <c r="G342" s="26" t="str">
        <f>IFERROR(VLOOKUP(Tabla2[[#This Row],[CODIGO]],Tabla1[],6,0),"")</f>
        <v>UNI</v>
      </c>
      <c r="H342" s="26">
        <f>IFERROR(VLOOKUP(Tabla2[[#This Row],[CODIGO]],Tabla1[],10,0),"")</f>
        <v>22</v>
      </c>
      <c r="I342" s="7">
        <v>25</v>
      </c>
      <c r="J342" s="29" t="s">
        <v>320</v>
      </c>
      <c r="K342" s="26" t="str">
        <f>IFERROR(VLOOKUP(Tabla2[[#This Row],[CODIGO]],Tabla1[],11,0),"")</f>
        <v>COMPRA</v>
      </c>
      <c r="L342" s="67" t="s">
        <v>308</v>
      </c>
      <c r="M342" s="67" t="s">
        <v>472</v>
      </c>
      <c r="N342" s="70"/>
      <c r="O342" s="70">
        <f>Tabla2[[#This Row],[CANTIDAD]]*Tabla2[[#This Row],[PREC. UNITARIO]]</f>
        <v>0</v>
      </c>
      <c r="R342" t="str">
        <f>Tabla2[[#This Row],[QUIEN RECIBE]]&amp;"-"&amp;TEXT(Tabla2[[#This Row],[FECHA]],"dd/mm/yyyy")</f>
        <v>ACUACHI LANCHIPA ERNESTO ALONSO-24/09/2025</v>
      </c>
    </row>
    <row r="343" spans="2:18" ht="20.45" hidden="1" customHeight="1" x14ac:dyDescent="0.25">
      <c r="B343" s="5">
        <v>45925</v>
      </c>
      <c r="C343" s="2" t="str">
        <f>IFERROR(_xlfn.XLOOKUP(Tabla2[[#This Row],[PRODUCTO]],Tabla1[PRODUCTO],Tabla1[CODIGO]),"")</f>
        <v>HM-18</v>
      </c>
      <c r="D343" s="31" t="s">
        <v>384</v>
      </c>
      <c r="E343" s="31" t="str">
        <f>IFERROR(VLOOKUP(Tabla2[[#This Row],[CODIGO]],Tabla1[],3,0),"")</f>
        <v>HERRAMIENTAS</v>
      </c>
      <c r="F343" s="28" t="str">
        <f>IFERROR(VLOOKUP(Tabla2[[#This Row],[CODIGO]],Tabla1[],5,0),"")</f>
        <v>ALMACEN TICAPAMPA</v>
      </c>
      <c r="G343" s="26" t="str">
        <f>IFERROR(VLOOKUP(Tabla2[[#This Row],[CODIGO]],Tabla1[],6,0),"")</f>
        <v>UNI</v>
      </c>
      <c r="H343" s="26">
        <f>IFERROR(VLOOKUP(Tabla2[[#This Row],[CODIGO]],Tabla1[],10,0),"")</f>
        <v>22</v>
      </c>
      <c r="I343" s="7">
        <v>-5</v>
      </c>
      <c r="J343" s="29" t="s">
        <v>350</v>
      </c>
      <c r="K343" s="26" t="str">
        <f>IFERROR(VLOOKUP(Tabla2[[#This Row],[CODIGO]],Tabla1[],11,0),"")</f>
        <v>COMPRA</v>
      </c>
      <c r="L343" s="67" t="s">
        <v>236</v>
      </c>
      <c r="M343" s="67" t="s">
        <v>301</v>
      </c>
      <c r="N343" s="70"/>
      <c r="O343" s="70">
        <f>Tabla2[[#This Row],[CANTIDAD]]*Tabla2[[#This Row],[PREC. UNITARIO]]</f>
        <v>0</v>
      </c>
      <c r="R343" t="str">
        <f>Tabla2[[#This Row],[QUIEN RECIBE]]&amp;"-"&amp;TEXT(Tabla2[[#This Row],[FECHA]],"dd/mm/yyyy")</f>
        <v>GUTARATE SABINO, ADRIEL ANTONY-25/09/2025</v>
      </c>
    </row>
    <row r="344" spans="2:18" ht="20.45" hidden="1" customHeight="1" x14ac:dyDescent="0.25">
      <c r="B344" s="5">
        <v>45925</v>
      </c>
      <c r="C344" s="2" t="str">
        <f>IFERROR(_xlfn.XLOOKUP(Tabla2[[#This Row],[PRODUCTO]],Tabla1[PRODUCTO],Tabla1[CODIGO]),"")</f>
        <v>HM-18</v>
      </c>
      <c r="D344" s="31" t="s">
        <v>384</v>
      </c>
      <c r="E344" s="31" t="str">
        <f>IFERROR(VLOOKUP(Tabla2[[#This Row],[CODIGO]],Tabla1[],3,0),"")</f>
        <v>HERRAMIENTAS</v>
      </c>
      <c r="F344" s="28" t="str">
        <f>IFERROR(VLOOKUP(Tabla2[[#This Row],[CODIGO]],Tabla1[],5,0),"")</f>
        <v>ALMACEN TICAPAMPA</v>
      </c>
      <c r="G344" s="26" t="str">
        <f>IFERROR(VLOOKUP(Tabla2[[#This Row],[CODIGO]],Tabla1[],6,0),"")</f>
        <v>UNI</v>
      </c>
      <c r="H344" s="26">
        <f>IFERROR(VLOOKUP(Tabla2[[#This Row],[CODIGO]],Tabla1[],10,0),"")</f>
        <v>22</v>
      </c>
      <c r="I344" s="7">
        <v>-4</v>
      </c>
      <c r="J344" s="29" t="s">
        <v>350</v>
      </c>
      <c r="K344" s="26" t="str">
        <f>IFERROR(VLOOKUP(Tabla2[[#This Row],[CODIGO]],Tabla1[],11,0),"")</f>
        <v>COMPRA</v>
      </c>
      <c r="L344" s="67" t="s">
        <v>236</v>
      </c>
      <c r="M344" s="67" t="s">
        <v>240</v>
      </c>
      <c r="N344" s="70"/>
      <c r="O344" s="70">
        <f>Tabla2[[#This Row],[CANTIDAD]]*Tabla2[[#This Row],[PREC. UNITARIO]]</f>
        <v>0</v>
      </c>
      <c r="R344" t="str">
        <f>Tabla2[[#This Row],[QUIEN RECIBE]]&amp;"-"&amp;TEXT(Tabla2[[#This Row],[FECHA]],"dd/mm/yyyy")</f>
        <v>LOZANO MALDONADO, HERNAN-25/09/2025</v>
      </c>
    </row>
    <row r="345" spans="2:18" ht="20.45" hidden="1" customHeight="1" x14ac:dyDescent="0.25">
      <c r="B345" s="5">
        <v>45924</v>
      </c>
      <c r="C345" s="2" t="str">
        <f>IFERROR(_xlfn.XLOOKUP(Tabla2[[#This Row],[PRODUCTO]],Tabla1[PRODUCTO],Tabla1[CODIGO]),"")</f>
        <v>HM-19</v>
      </c>
      <c r="D345" s="31" t="s">
        <v>385</v>
      </c>
      <c r="E345" s="31" t="str">
        <f>IFERROR(VLOOKUP(Tabla2[[#This Row],[CODIGO]],Tabla1[],3,0),"")</f>
        <v>HERRAMIENTAS</v>
      </c>
      <c r="F345" s="28" t="str">
        <f>IFERROR(VLOOKUP(Tabla2[[#This Row],[CODIGO]],Tabla1[],5,0),"")</f>
        <v>ALMACEN TICAPAMPA</v>
      </c>
      <c r="G345" s="26" t="str">
        <f>IFERROR(VLOOKUP(Tabla2[[#This Row],[CODIGO]],Tabla1[],6,0),"")</f>
        <v>UNI</v>
      </c>
      <c r="H345" s="26">
        <f>IFERROR(VLOOKUP(Tabla2[[#This Row],[CODIGO]],Tabla1[],10,0),"")</f>
        <v>1</v>
      </c>
      <c r="I345" s="7">
        <v>10</v>
      </c>
      <c r="J345" s="29" t="s">
        <v>320</v>
      </c>
      <c r="K345" s="26" t="str">
        <f>IFERROR(VLOOKUP(Tabla2[[#This Row],[CODIGO]],Tabla1[],11,0),"")</f>
        <v>COMPRA</v>
      </c>
      <c r="L345" s="67"/>
      <c r="M345" s="67"/>
      <c r="N345" s="70"/>
      <c r="O345" s="70">
        <f>Tabla2[[#This Row],[CANTIDAD]]*Tabla2[[#This Row],[PREC. UNITARIO]]</f>
        <v>0</v>
      </c>
      <c r="R345" t="str">
        <f>Tabla2[[#This Row],[QUIEN RECIBE]]&amp;"-"&amp;TEXT(Tabla2[[#This Row],[FECHA]],"dd/mm/yyyy")</f>
        <v>-24/09/2025</v>
      </c>
    </row>
    <row r="346" spans="2:18" ht="20.45" hidden="1" customHeight="1" x14ac:dyDescent="0.25">
      <c r="B346" s="5">
        <v>45925</v>
      </c>
      <c r="C346" s="2" t="str">
        <f>IFERROR(_xlfn.XLOOKUP(Tabla2[[#This Row],[PRODUCTO]],Tabla1[PRODUCTO],Tabla1[CODIGO]),"")</f>
        <v>HM-19</v>
      </c>
      <c r="D346" s="31" t="s">
        <v>385</v>
      </c>
      <c r="E346" s="31" t="str">
        <f>IFERROR(VLOOKUP(Tabla2[[#This Row],[CODIGO]],Tabla1[],3,0),"")</f>
        <v>HERRAMIENTAS</v>
      </c>
      <c r="F346" s="28" t="str">
        <f>IFERROR(VLOOKUP(Tabla2[[#This Row],[CODIGO]],Tabla1[],5,0),"")</f>
        <v>ALMACEN TICAPAMPA</v>
      </c>
      <c r="G346" s="26" t="str">
        <f>IFERROR(VLOOKUP(Tabla2[[#This Row],[CODIGO]],Tabla1[],6,0),"")</f>
        <v>UNI</v>
      </c>
      <c r="H346" s="26">
        <f>IFERROR(VLOOKUP(Tabla2[[#This Row],[CODIGO]],Tabla1[],10,0),"")</f>
        <v>1</v>
      </c>
      <c r="I346" s="7">
        <v>-2</v>
      </c>
      <c r="J346" s="29" t="s">
        <v>386</v>
      </c>
      <c r="K346" s="26" t="str">
        <f>IFERROR(VLOOKUP(Tabla2[[#This Row],[CODIGO]],Tabla1[],11,0),"")</f>
        <v>COMPRA</v>
      </c>
      <c r="L346" s="67" t="s">
        <v>236</v>
      </c>
      <c r="M346" s="67" t="s">
        <v>242</v>
      </c>
      <c r="N346" s="70"/>
      <c r="O346" s="70">
        <f>Tabla2[[#This Row],[CANTIDAD]]*Tabla2[[#This Row],[PREC. UNITARIO]]</f>
        <v>0</v>
      </c>
      <c r="R346" t="str">
        <f>Tabla2[[#This Row],[QUIEN RECIBE]]&amp;"-"&amp;TEXT(Tabla2[[#This Row],[FECHA]],"dd/mm/yyyy")</f>
        <v>MAYTAHUARI ACOSTA, SAMMER AXEL-25/09/2025</v>
      </c>
    </row>
    <row r="347" spans="2:18" ht="20.45" hidden="1" customHeight="1" x14ac:dyDescent="0.25">
      <c r="B347" s="5">
        <v>45925</v>
      </c>
      <c r="C347" s="2" t="str">
        <f>IFERROR(_xlfn.XLOOKUP(Tabla2[[#This Row],[PRODUCTO]],Tabla1[PRODUCTO],Tabla1[CODIGO]),"")</f>
        <v>HM-18</v>
      </c>
      <c r="D347" s="31" t="s">
        <v>384</v>
      </c>
      <c r="E347" s="31" t="str">
        <f>IFERROR(VLOOKUP(Tabla2[[#This Row],[CODIGO]],Tabla1[],3,0),"")</f>
        <v>HERRAMIENTAS</v>
      </c>
      <c r="F347" s="28" t="str">
        <f>IFERROR(VLOOKUP(Tabla2[[#This Row],[CODIGO]],Tabla1[],5,0),"")</f>
        <v>ALMACEN TICAPAMPA</v>
      </c>
      <c r="G347" s="26" t="str">
        <f>IFERROR(VLOOKUP(Tabla2[[#This Row],[CODIGO]],Tabla1[],6,0),"")</f>
        <v>UNI</v>
      </c>
      <c r="H347" s="26">
        <f>IFERROR(VLOOKUP(Tabla2[[#This Row],[CODIGO]],Tabla1[],10,0),"")</f>
        <v>22</v>
      </c>
      <c r="I347" s="7">
        <v>-1</v>
      </c>
      <c r="J347" s="29" t="s">
        <v>350</v>
      </c>
      <c r="K347" s="26" t="str">
        <f>IFERROR(VLOOKUP(Tabla2[[#This Row],[CODIGO]],Tabla1[],11,0),"")</f>
        <v>COMPRA</v>
      </c>
      <c r="L347" s="67" t="s">
        <v>250</v>
      </c>
      <c r="M347" s="67" t="s">
        <v>239</v>
      </c>
      <c r="N347" s="70"/>
      <c r="O347" s="70">
        <f>Tabla2[[#This Row],[CANTIDAD]]*Tabla2[[#This Row],[PREC. UNITARIO]]</f>
        <v>0</v>
      </c>
      <c r="R347" t="str">
        <f>Tabla2[[#This Row],[QUIEN RECIBE]]&amp;"-"&amp;TEXT(Tabla2[[#This Row],[FECHA]],"dd/mm/yyyy")</f>
        <v>JEREMIAS PALOMINO, NORBERTO LEONCIO-25/09/2025</v>
      </c>
    </row>
    <row r="348" spans="2:18" ht="20.45" hidden="1" customHeight="1" x14ac:dyDescent="0.25">
      <c r="B348" s="5">
        <v>45925</v>
      </c>
      <c r="C348" s="2" t="str">
        <f>IFERROR(_xlfn.XLOOKUP(Tabla2[[#This Row],[PRODUCTO]],Tabla1[PRODUCTO],Tabla1[CODIGO]),"")</f>
        <v>HM-18</v>
      </c>
      <c r="D348" s="31" t="s">
        <v>384</v>
      </c>
      <c r="E348" s="31" t="str">
        <f>IFERROR(VLOOKUP(Tabla2[[#This Row],[CODIGO]],Tabla1[],3,0),"")</f>
        <v>HERRAMIENTAS</v>
      </c>
      <c r="F348" s="28" t="str">
        <f>IFERROR(VLOOKUP(Tabla2[[#This Row],[CODIGO]],Tabla1[],5,0),"")</f>
        <v>ALMACEN TICAPAMPA</v>
      </c>
      <c r="G348" s="26" t="str">
        <f>IFERROR(VLOOKUP(Tabla2[[#This Row],[CODIGO]],Tabla1[],6,0),"")</f>
        <v>UNI</v>
      </c>
      <c r="H348" s="26">
        <f>IFERROR(VLOOKUP(Tabla2[[#This Row],[CODIGO]],Tabla1[],10,0),"")</f>
        <v>22</v>
      </c>
      <c r="I348" s="7">
        <v>-1</v>
      </c>
      <c r="J348" s="29" t="s">
        <v>386</v>
      </c>
      <c r="K348" s="26" t="str">
        <f>IFERROR(VLOOKUP(Tabla2[[#This Row],[CODIGO]],Tabla1[],11,0),"")</f>
        <v>COMPRA</v>
      </c>
      <c r="L348" s="67" t="s">
        <v>236</v>
      </c>
      <c r="M348" s="67" t="s">
        <v>241</v>
      </c>
      <c r="N348" s="70"/>
      <c r="O348" s="70">
        <f>Tabla2[[#This Row],[CANTIDAD]]*Tabla2[[#This Row],[PREC. UNITARIO]]</f>
        <v>0</v>
      </c>
      <c r="R348" t="str">
        <f>Tabla2[[#This Row],[QUIEN RECIBE]]&amp;"-"&amp;TEXT(Tabla2[[#This Row],[FECHA]],"dd/mm/yyyy")</f>
        <v>PIÑA CHUJANDAMA, KEVIN-25/09/2025</v>
      </c>
    </row>
    <row r="349" spans="2:18" ht="20.45" hidden="1" customHeight="1" x14ac:dyDescent="0.25">
      <c r="B349" s="5">
        <v>45925</v>
      </c>
      <c r="C349" s="2" t="str">
        <f>IFERROR(_xlfn.XLOOKUP(Tabla2[[#This Row],[PRODUCTO]],Tabla1[PRODUCTO],Tabla1[CODIGO]),"")</f>
        <v>HM-5</v>
      </c>
      <c r="D349" s="31" t="s">
        <v>295</v>
      </c>
      <c r="E349" s="31" t="str">
        <f>IFERROR(VLOOKUP(Tabla2[[#This Row],[CODIGO]],Tabla1[],3,0),"")</f>
        <v>HERRAMIENTAS</v>
      </c>
      <c r="F349" s="28" t="str">
        <f>IFERROR(VLOOKUP(Tabla2[[#This Row],[CODIGO]],Tabla1[],5,0),"")</f>
        <v>ALMACEN TICAPAMPA</v>
      </c>
      <c r="G349" s="26" t="str">
        <f>IFERROR(VLOOKUP(Tabla2[[#This Row],[CODIGO]],Tabla1[],6,0),"")</f>
        <v>UNI</v>
      </c>
      <c r="H349" s="26">
        <f>IFERROR(VLOOKUP(Tabla2[[#This Row],[CODIGO]],Tabla1[],10,0),"")</f>
        <v>1</v>
      </c>
      <c r="I349" s="7">
        <v>-1</v>
      </c>
      <c r="J349" s="29" t="s">
        <v>350</v>
      </c>
      <c r="K349" s="26" t="str">
        <f>IFERROR(VLOOKUP(Tabla2[[#This Row],[CODIGO]],Tabla1[],11,0),"")</f>
        <v>COMPRA</v>
      </c>
      <c r="L349" s="67" t="s">
        <v>236</v>
      </c>
      <c r="M349" s="67" t="s">
        <v>239</v>
      </c>
      <c r="N349" s="70"/>
      <c r="O349" s="70">
        <f>Tabla2[[#This Row],[CANTIDAD]]*Tabla2[[#This Row],[PREC. UNITARIO]]</f>
        <v>0</v>
      </c>
      <c r="R349" t="str">
        <f>Tabla2[[#This Row],[QUIEN RECIBE]]&amp;"-"&amp;TEXT(Tabla2[[#This Row],[FECHA]],"dd/mm/yyyy")</f>
        <v>JEREMIAS PALOMINO, NORBERTO LEONCIO-25/09/2025</v>
      </c>
    </row>
    <row r="350" spans="2:18" ht="20.45" hidden="1" customHeight="1" x14ac:dyDescent="0.25">
      <c r="B350" s="5">
        <v>45924</v>
      </c>
      <c r="C350" s="2" t="str">
        <f>IFERROR(_xlfn.XLOOKUP(Tabla2[[#This Row],[PRODUCTO]],Tabla1[PRODUCTO],Tabla1[CODIGO]),"")</f>
        <v>HM-36</v>
      </c>
      <c r="D350" s="31" t="s">
        <v>403</v>
      </c>
      <c r="E350" s="31" t="str">
        <f>IFERROR(VLOOKUP(Tabla2[[#This Row],[CODIGO]],Tabla1[],3,0),"")</f>
        <v>HERRAMIENTAS</v>
      </c>
      <c r="F350" s="28" t="str">
        <f>IFERROR(VLOOKUP(Tabla2[[#This Row],[CODIGO]],Tabla1[],5,0),"")</f>
        <v>ALMACEN TICAPAMPA</v>
      </c>
      <c r="G350" s="26" t="str">
        <f>IFERROR(VLOOKUP(Tabla2[[#This Row],[CODIGO]],Tabla1[],6,0),"")</f>
        <v>UNI</v>
      </c>
      <c r="H350" s="26">
        <f>IFERROR(VLOOKUP(Tabla2[[#This Row],[CODIGO]],Tabla1[],10,0),"")</f>
        <v>11</v>
      </c>
      <c r="I350" s="7">
        <v>12</v>
      </c>
      <c r="J350" s="29" t="s">
        <v>320</v>
      </c>
      <c r="K350" s="26" t="str">
        <f>IFERROR(VLOOKUP(Tabla2[[#This Row],[CODIGO]],Tabla1[],11,0),"")</f>
        <v>COMPRA</v>
      </c>
      <c r="L350" s="67"/>
      <c r="M350" s="67"/>
      <c r="N350" s="70"/>
      <c r="O350" s="70">
        <f>Tabla2[[#This Row],[CANTIDAD]]*Tabla2[[#This Row],[PREC. UNITARIO]]</f>
        <v>0</v>
      </c>
      <c r="R350" t="str">
        <f>Tabla2[[#This Row],[QUIEN RECIBE]]&amp;"-"&amp;TEXT(Tabla2[[#This Row],[FECHA]],"dd/mm/yyyy")</f>
        <v>-24/09/2025</v>
      </c>
    </row>
    <row r="351" spans="2:18" ht="20.45" hidden="1" customHeight="1" x14ac:dyDescent="0.25">
      <c r="B351" s="5">
        <v>45924</v>
      </c>
      <c r="C351" s="2" t="str">
        <f>IFERROR(_xlfn.XLOOKUP(Tabla2[[#This Row],[PRODUCTO]],Tabla1[PRODUCTO],Tabla1[CODIGO]),"")</f>
        <v>HM-37</v>
      </c>
      <c r="D351" s="31" t="s">
        <v>404</v>
      </c>
      <c r="E351" s="31" t="str">
        <f>IFERROR(VLOOKUP(Tabla2[[#This Row],[CODIGO]],Tabla1[],3,0),"")</f>
        <v>HERRAMIENTAS</v>
      </c>
      <c r="F351" s="28" t="str">
        <f>IFERROR(VLOOKUP(Tabla2[[#This Row],[CODIGO]],Tabla1[],5,0),"")</f>
        <v>ALMACEN TICAPAMPA</v>
      </c>
      <c r="G351" s="26" t="str">
        <f>IFERROR(VLOOKUP(Tabla2[[#This Row],[CODIGO]],Tabla1[],6,0),"")</f>
        <v>UNI</v>
      </c>
      <c r="H351" s="26">
        <f>IFERROR(VLOOKUP(Tabla2[[#This Row],[CODIGO]],Tabla1[],10,0),"")</f>
        <v>4</v>
      </c>
      <c r="I351" s="7">
        <v>11</v>
      </c>
      <c r="J351" s="29" t="s">
        <v>320</v>
      </c>
      <c r="K351" s="26" t="str">
        <f>IFERROR(VLOOKUP(Tabla2[[#This Row],[CODIGO]],Tabla1[],11,0),"")</f>
        <v>COMPRA</v>
      </c>
      <c r="L351" s="67"/>
      <c r="M351" s="67"/>
      <c r="N351" s="70"/>
      <c r="O351" s="70">
        <f>Tabla2[[#This Row],[CANTIDAD]]*Tabla2[[#This Row],[PREC. UNITARIO]]</f>
        <v>0</v>
      </c>
      <c r="R351" t="str">
        <f>Tabla2[[#This Row],[QUIEN RECIBE]]&amp;"-"&amp;TEXT(Tabla2[[#This Row],[FECHA]],"dd/mm/yyyy")</f>
        <v>-24/09/2025</v>
      </c>
    </row>
    <row r="352" spans="2:18" ht="20.45" hidden="1" customHeight="1" x14ac:dyDescent="0.25">
      <c r="B352" s="5">
        <v>45924</v>
      </c>
      <c r="C352" s="2" t="str">
        <f>IFERROR(_xlfn.XLOOKUP(Tabla2[[#This Row],[PRODUCTO]],Tabla1[PRODUCTO],Tabla1[CODIGO]),"")</f>
        <v>HM-18</v>
      </c>
      <c r="D352" s="31" t="s">
        <v>384</v>
      </c>
      <c r="E352" s="31" t="str">
        <f>IFERROR(VLOOKUP(Tabla2[[#This Row],[CODIGO]],Tabla1[],3,0),"")</f>
        <v>HERRAMIENTAS</v>
      </c>
      <c r="F352" s="28" t="str">
        <f>IFERROR(VLOOKUP(Tabla2[[#This Row],[CODIGO]],Tabla1[],5,0),"")</f>
        <v>ALMACEN TICAPAMPA</v>
      </c>
      <c r="G352" s="26" t="str">
        <f>IFERROR(VLOOKUP(Tabla2[[#This Row],[CODIGO]],Tabla1[],6,0),"")</f>
        <v>UNI</v>
      </c>
      <c r="H352" s="26">
        <f>IFERROR(VLOOKUP(Tabla2[[#This Row],[CODIGO]],Tabla1[],10,0),"")</f>
        <v>22</v>
      </c>
      <c r="I352" s="7">
        <v>25</v>
      </c>
      <c r="J352" s="29" t="s">
        <v>320</v>
      </c>
      <c r="K352" s="26" t="str">
        <f>IFERROR(VLOOKUP(Tabla2[[#This Row],[CODIGO]],Tabla1[],11,0),"")</f>
        <v>COMPRA</v>
      </c>
      <c r="L352" s="67"/>
      <c r="M352" s="67"/>
      <c r="N352" s="70"/>
      <c r="O352" s="70">
        <f>Tabla2[[#This Row],[CANTIDAD]]*Tabla2[[#This Row],[PREC. UNITARIO]]</f>
        <v>0</v>
      </c>
      <c r="R352" t="str">
        <f>Tabla2[[#This Row],[QUIEN RECIBE]]&amp;"-"&amp;TEXT(Tabla2[[#This Row],[FECHA]],"dd/mm/yyyy")</f>
        <v>-24/09/2025</v>
      </c>
    </row>
    <row r="353" spans="2:18" ht="20.45" hidden="1" customHeight="1" x14ac:dyDescent="0.25">
      <c r="B353" s="5">
        <v>45924</v>
      </c>
      <c r="C353" s="2" t="str">
        <f>IFERROR(_xlfn.XLOOKUP(Tabla2[[#This Row],[PRODUCTO]],Tabla1[PRODUCTO],Tabla1[CODIGO]),"")</f>
        <v>HM-39</v>
      </c>
      <c r="D353" s="31" t="s">
        <v>406</v>
      </c>
      <c r="E353" s="31" t="str">
        <f>IFERROR(VLOOKUP(Tabla2[[#This Row],[CODIGO]],Tabla1[],3,0),"")</f>
        <v>HERRAMIENTAS</v>
      </c>
      <c r="F353" s="28" t="str">
        <f>IFERROR(VLOOKUP(Tabla2[[#This Row],[CODIGO]],Tabla1[],5,0),"")</f>
        <v>ALMACEN TICAPAMPA</v>
      </c>
      <c r="G353" s="26" t="str">
        <f>IFERROR(VLOOKUP(Tabla2[[#This Row],[CODIGO]],Tabla1[],6,0),"")</f>
        <v>UNI</v>
      </c>
      <c r="H353" s="26">
        <f>IFERROR(VLOOKUP(Tabla2[[#This Row],[CODIGO]],Tabla1[],10,0),"")</f>
        <v>5</v>
      </c>
      <c r="I353" s="7">
        <v>2</v>
      </c>
      <c r="J353" s="29" t="s">
        <v>320</v>
      </c>
      <c r="K353" s="26" t="str">
        <f>IFERROR(VLOOKUP(Tabla2[[#This Row],[CODIGO]],Tabla1[],11,0),"")</f>
        <v>COMPRA</v>
      </c>
      <c r="L353" s="67"/>
      <c r="M353" s="67"/>
      <c r="N353" s="70"/>
      <c r="O353" s="70">
        <f>Tabla2[[#This Row],[CANTIDAD]]*Tabla2[[#This Row],[PREC. UNITARIO]]</f>
        <v>0</v>
      </c>
      <c r="R353" t="str">
        <f>Tabla2[[#This Row],[QUIEN RECIBE]]&amp;"-"&amp;TEXT(Tabla2[[#This Row],[FECHA]],"dd/mm/yyyy")</f>
        <v>-24/09/2025</v>
      </c>
    </row>
    <row r="354" spans="2:18" ht="20.45" hidden="1" customHeight="1" x14ac:dyDescent="0.25">
      <c r="B354" s="5">
        <v>45924</v>
      </c>
      <c r="C354" s="2" t="str">
        <f>IFERROR(_xlfn.XLOOKUP(Tabla2[[#This Row],[PRODUCTO]],Tabla1[PRODUCTO],Tabla1[CODIGO]),"")</f>
        <v>HM-40</v>
      </c>
      <c r="D354" s="31" t="s">
        <v>407</v>
      </c>
      <c r="E354" s="31" t="str">
        <f>IFERROR(VLOOKUP(Tabla2[[#This Row],[CODIGO]],Tabla1[],3,0),"")</f>
        <v>HERRAMIENTAS</v>
      </c>
      <c r="F354" s="28" t="str">
        <f>IFERROR(VLOOKUP(Tabla2[[#This Row],[CODIGO]],Tabla1[],5,0),"")</f>
        <v>ALMACEN TICAPAMPA</v>
      </c>
      <c r="G354" s="26" t="str">
        <f>IFERROR(VLOOKUP(Tabla2[[#This Row],[CODIGO]],Tabla1[],6,0),"")</f>
        <v>UNI</v>
      </c>
      <c r="H354" s="26">
        <f>IFERROR(VLOOKUP(Tabla2[[#This Row],[CODIGO]],Tabla1[],10,0),"")</f>
        <v>3</v>
      </c>
      <c r="I354" s="7">
        <v>4</v>
      </c>
      <c r="J354" s="29" t="s">
        <v>320</v>
      </c>
      <c r="K354" s="26" t="str">
        <f>IFERROR(VLOOKUP(Tabla2[[#This Row],[CODIGO]],Tabla1[],11,0),"")</f>
        <v>COMPRA</v>
      </c>
      <c r="L354" s="67"/>
      <c r="M354" s="67"/>
      <c r="N354" s="70"/>
      <c r="O354" s="70">
        <f>Tabla2[[#This Row],[CANTIDAD]]*Tabla2[[#This Row],[PREC. UNITARIO]]</f>
        <v>0</v>
      </c>
      <c r="R354" t="str">
        <f>Tabla2[[#This Row],[QUIEN RECIBE]]&amp;"-"&amp;TEXT(Tabla2[[#This Row],[FECHA]],"dd/mm/yyyy")</f>
        <v>-24/09/2025</v>
      </c>
    </row>
    <row r="355" spans="2:18" ht="20.45" hidden="1" customHeight="1" x14ac:dyDescent="0.25">
      <c r="B355" s="5">
        <v>45925</v>
      </c>
      <c r="C355" s="2" t="str">
        <f>IFERROR(_xlfn.XLOOKUP(Tabla2[[#This Row],[PRODUCTO]],Tabla1[PRODUCTO],Tabla1[CODIGO]),"")</f>
        <v>IS-40</v>
      </c>
      <c r="D355" s="31" t="s">
        <v>409</v>
      </c>
      <c r="E355" s="31" t="str">
        <f>IFERROR(VLOOKUP(Tabla2[[#This Row],[CODIGO]],Tabla1[],3,0),"")</f>
        <v>IMPLEMENTOS DE SEGURIDAD</v>
      </c>
      <c r="F355" s="28" t="str">
        <f>IFERROR(VLOOKUP(Tabla2[[#This Row],[CODIGO]],Tabla1[],5,0),"")</f>
        <v>ALMACEN TICAPAMPA</v>
      </c>
      <c r="G355" s="26" t="str">
        <f>IFERROR(VLOOKUP(Tabla2[[#This Row],[CODIGO]],Tabla1[],6,0),"")</f>
        <v>UNI</v>
      </c>
      <c r="H355" s="26">
        <f>IFERROR(VLOOKUP(Tabla2[[#This Row],[CODIGO]],Tabla1[],10,0),"")</f>
        <v>22</v>
      </c>
      <c r="I355" s="7">
        <v>36</v>
      </c>
      <c r="J355" s="29" t="s">
        <v>320</v>
      </c>
      <c r="K355" s="26" t="str">
        <f>IFERROR(VLOOKUP(Tabla2[[#This Row],[CODIGO]],Tabla1[],11,0),"")</f>
        <v>COMPRA</v>
      </c>
      <c r="L355" s="67"/>
      <c r="M355" s="67"/>
      <c r="N355" s="70"/>
      <c r="O355" s="70">
        <f>Tabla2[[#This Row],[CANTIDAD]]*Tabla2[[#This Row],[PREC. UNITARIO]]</f>
        <v>0</v>
      </c>
      <c r="R355" t="str">
        <f>Tabla2[[#This Row],[QUIEN RECIBE]]&amp;"-"&amp;TEXT(Tabla2[[#This Row],[FECHA]],"dd/mm/yyyy")</f>
        <v>-25/09/2025</v>
      </c>
    </row>
    <row r="356" spans="2:18" ht="20.45" hidden="1" customHeight="1" x14ac:dyDescent="0.25">
      <c r="B356" s="5">
        <v>45920</v>
      </c>
      <c r="C356" s="2" t="str">
        <f>IFERROR(_xlfn.XLOOKUP(Tabla2[[#This Row],[PRODUCTO]],Tabla1[PRODUCTO],Tabla1[CODIGO]),"")</f>
        <v>AF-1</v>
      </c>
      <c r="D356" s="31" t="s">
        <v>92</v>
      </c>
      <c r="E356" s="31" t="str">
        <f>IFERROR(VLOOKUP(Tabla2[[#This Row],[CODIGO]],Tabla1[],3,0),"")</f>
        <v>ALAMBRES Y FIERROS</v>
      </c>
      <c r="F356" s="28" t="str">
        <f>IFERROR(VLOOKUP(Tabla2[[#This Row],[CODIGO]],Tabla1[],5,0),"")</f>
        <v>ALMACEN TICAPAMPA</v>
      </c>
      <c r="G356" s="26" t="str">
        <f>IFERROR(VLOOKUP(Tabla2[[#This Row],[CODIGO]],Tabla1[],6,0),"")</f>
        <v>ROL</v>
      </c>
      <c r="H356" s="26">
        <f>IFERROR(VLOOKUP(Tabla2[[#This Row],[CODIGO]],Tabla1[],10,0),"")</f>
        <v>4</v>
      </c>
      <c r="I356" s="7">
        <v>5</v>
      </c>
      <c r="J356" s="29" t="s">
        <v>320</v>
      </c>
      <c r="K356" s="26" t="str">
        <f>IFERROR(VLOOKUP(Tabla2[[#This Row],[CODIGO]],Tabla1[],11,0),"")</f>
        <v>COMPRA</v>
      </c>
      <c r="L356" s="67"/>
      <c r="M356" s="67"/>
      <c r="N356" s="70"/>
      <c r="O356" s="70">
        <f>Tabla2[[#This Row],[CANTIDAD]]*Tabla2[[#This Row],[PREC. UNITARIO]]</f>
        <v>0</v>
      </c>
      <c r="R356" t="str">
        <f>Tabla2[[#This Row],[QUIEN RECIBE]]&amp;"-"&amp;TEXT(Tabla2[[#This Row],[FECHA]],"dd/mm/yyyy")</f>
        <v>-20/09/2025</v>
      </c>
    </row>
    <row r="357" spans="2:18" ht="20.45" hidden="1" customHeight="1" x14ac:dyDescent="0.25">
      <c r="B357" s="5">
        <v>45920</v>
      </c>
      <c r="C357" s="2" t="str">
        <f>IFERROR(_xlfn.XLOOKUP(Tabla2[[#This Row],[PRODUCTO]],Tabla1[PRODUCTO],Tabla1[CODIGO]),"")</f>
        <v>AF-1</v>
      </c>
      <c r="D357" s="31" t="s">
        <v>92</v>
      </c>
      <c r="E357" s="31" t="str">
        <f>IFERROR(VLOOKUP(Tabla2[[#This Row],[CODIGO]],Tabla1[],3,0),"")</f>
        <v>ALAMBRES Y FIERROS</v>
      </c>
      <c r="F357" s="28" t="str">
        <f>IFERROR(VLOOKUP(Tabla2[[#This Row],[CODIGO]],Tabla1[],5,0),"")</f>
        <v>ALMACEN TICAPAMPA</v>
      </c>
      <c r="G357" s="26" t="str">
        <f>IFERROR(VLOOKUP(Tabla2[[#This Row],[CODIGO]],Tabla1[],6,0),"")</f>
        <v>ROL</v>
      </c>
      <c r="H357" s="26">
        <f>IFERROR(VLOOKUP(Tabla2[[#This Row],[CODIGO]],Tabla1[],10,0),"")</f>
        <v>4</v>
      </c>
      <c r="I357" s="7">
        <v>-2</v>
      </c>
      <c r="J357" s="29" t="s">
        <v>320</v>
      </c>
      <c r="K357" s="26" t="str">
        <f>IFERROR(VLOOKUP(Tabla2[[#This Row],[CODIGO]],Tabla1[],11,0),"")</f>
        <v>COMPRA</v>
      </c>
      <c r="L357" s="67" t="s">
        <v>236</v>
      </c>
      <c r="M357" s="67" t="s">
        <v>258</v>
      </c>
      <c r="N357" s="70"/>
      <c r="O357" s="70">
        <f>Tabla2[[#This Row],[CANTIDAD]]*Tabla2[[#This Row],[PREC. UNITARIO]]</f>
        <v>0</v>
      </c>
      <c r="R357" t="str">
        <f>Tabla2[[#This Row],[QUIEN RECIBE]]&amp;"-"&amp;TEXT(Tabla2[[#This Row],[FECHA]],"dd/mm/yyyy")</f>
        <v>ADUVIRE ARGUATA, MARIO ARTURO-20/09/2025</v>
      </c>
    </row>
    <row r="358" spans="2:18" ht="20.45" hidden="1" customHeight="1" x14ac:dyDescent="0.25">
      <c r="B358" s="5">
        <v>45920</v>
      </c>
      <c r="C358" s="2" t="str">
        <f>IFERROR(_xlfn.XLOOKUP(Tabla2[[#This Row],[PRODUCTO]],Tabla1[PRODUCTO],Tabla1[CODIGO]),"")</f>
        <v>AF-2</v>
      </c>
      <c r="D358" s="31" t="s">
        <v>93</v>
      </c>
      <c r="E358" s="31" t="str">
        <f>IFERROR(VLOOKUP(Tabla2[[#This Row],[CODIGO]],Tabla1[],3,0),"")</f>
        <v>ALAMBRES Y FIERROS</v>
      </c>
      <c r="F358" s="28" t="str">
        <f>IFERROR(VLOOKUP(Tabla2[[#This Row],[CODIGO]],Tabla1[],5,0),"")</f>
        <v>ALMACEN TICAPAMPA</v>
      </c>
      <c r="G358" s="26" t="str">
        <f>IFERROR(VLOOKUP(Tabla2[[#This Row],[CODIGO]],Tabla1[],6,0),"")</f>
        <v>ROL</v>
      </c>
      <c r="H358" s="26">
        <f>IFERROR(VLOOKUP(Tabla2[[#This Row],[CODIGO]],Tabla1[],10,0),"")</f>
        <v>6</v>
      </c>
      <c r="I358" s="7">
        <v>2</v>
      </c>
      <c r="J358" s="29" t="s">
        <v>320</v>
      </c>
      <c r="K358" s="26" t="str">
        <f>IFERROR(VLOOKUP(Tabla2[[#This Row],[CODIGO]],Tabla1[],11,0),"")</f>
        <v>COMPRA</v>
      </c>
      <c r="L358" s="67"/>
      <c r="M358" s="67"/>
      <c r="N358" s="70"/>
      <c r="O358" s="70">
        <f>Tabla2[[#This Row],[CANTIDAD]]*Tabla2[[#This Row],[PREC. UNITARIO]]</f>
        <v>0</v>
      </c>
      <c r="R358" t="str">
        <f>Tabla2[[#This Row],[QUIEN RECIBE]]&amp;"-"&amp;TEXT(Tabla2[[#This Row],[FECHA]],"dd/mm/yyyy")</f>
        <v>-20/09/2025</v>
      </c>
    </row>
    <row r="359" spans="2:18" ht="20.45" hidden="1" customHeight="1" x14ac:dyDescent="0.25">
      <c r="B359" s="5">
        <v>45920</v>
      </c>
      <c r="C359" s="2" t="str">
        <f>IFERROR(_xlfn.XLOOKUP(Tabla2[[#This Row],[PRODUCTO]],Tabla1[PRODUCTO],Tabla1[CODIGO]),"")</f>
        <v>CLA-3</v>
      </c>
      <c r="D359" s="31" t="s">
        <v>125</v>
      </c>
      <c r="E359" s="31" t="str">
        <f>IFERROR(VLOOKUP(Tabla2[[#This Row],[CODIGO]],Tabla1[],3,0),"")</f>
        <v>CLAVOS</v>
      </c>
      <c r="F359" s="28" t="str">
        <f>IFERROR(VLOOKUP(Tabla2[[#This Row],[CODIGO]],Tabla1[],5,0),"")</f>
        <v>ALMACEN TICAPAMPA</v>
      </c>
      <c r="G359" s="26" t="str">
        <f>IFERROR(VLOOKUP(Tabla2[[#This Row],[CODIGO]],Tabla1[],6,0),"")</f>
        <v>CAJ</v>
      </c>
      <c r="H359" s="26">
        <f>IFERROR(VLOOKUP(Tabla2[[#This Row],[CODIGO]],Tabla1[],10,0),"")</f>
        <v>5</v>
      </c>
      <c r="I359" s="7">
        <v>3</v>
      </c>
      <c r="J359" s="29" t="s">
        <v>320</v>
      </c>
      <c r="K359" s="26" t="str">
        <f>IFERROR(VLOOKUP(Tabla2[[#This Row],[CODIGO]],Tabla1[],11,0),"")</f>
        <v>COMPRA</v>
      </c>
      <c r="L359" s="67"/>
      <c r="M359" s="67"/>
      <c r="N359" s="70"/>
      <c r="O359" s="70">
        <f>Tabla2[[#This Row],[CANTIDAD]]*Tabla2[[#This Row],[PREC. UNITARIO]]</f>
        <v>0</v>
      </c>
      <c r="R359" t="str">
        <f>Tabla2[[#This Row],[QUIEN RECIBE]]&amp;"-"&amp;TEXT(Tabla2[[#This Row],[FECHA]],"dd/mm/yyyy")</f>
        <v>-20/09/2025</v>
      </c>
    </row>
    <row r="360" spans="2:18" ht="20.45" hidden="1" customHeight="1" x14ac:dyDescent="0.25">
      <c r="B360" s="5">
        <v>45922</v>
      </c>
      <c r="C360" s="2" t="str">
        <f>IFERROR(_xlfn.XLOOKUP(Tabla2[[#This Row],[PRODUCTO]],Tabla1[PRODUCTO],Tabla1[CODIGO]),"")</f>
        <v>CLA-3</v>
      </c>
      <c r="D360" s="31" t="s">
        <v>125</v>
      </c>
      <c r="E360" s="31" t="str">
        <f>IFERROR(VLOOKUP(Tabla2[[#This Row],[CODIGO]],Tabla1[],3,0),"")</f>
        <v>CLAVOS</v>
      </c>
      <c r="F360" s="28" t="str">
        <f>IFERROR(VLOOKUP(Tabla2[[#This Row],[CODIGO]],Tabla1[],5,0),"")</f>
        <v>ALMACEN TICAPAMPA</v>
      </c>
      <c r="G360" s="26" t="str">
        <f>IFERROR(VLOOKUP(Tabla2[[#This Row],[CODIGO]],Tabla1[],6,0),"")</f>
        <v>CAJ</v>
      </c>
      <c r="H360" s="26">
        <f>IFERROR(VLOOKUP(Tabla2[[#This Row],[CODIGO]],Tabla1[],10,0),"")</f>
        <v>5</v>
      </c>
      <c r="I360" s="7">
        <v>-2</v>
      </c>
      <c r="J360" s="29" t="s">
        <v>320</v>
      </c>
      <c r="K360" s="26" t="str">
        <f>IFERROR(VLOOKUP(Tabla2[[#This Row],[CODIGO]],Tabla1[],11,0),"")</f>
        <v>COMPRA</v>
      </c>
      <c r="L360" s="67" t="s">
        <v>236</v>
      </c>
      <c r="M360" s="67"/>
      <c r="N360" s="70"/>
      <c r="O360" s="70">
        <f>Tabla2[[#This Row],[CANTIDAD]]*Tabla2[[#This Row],[PREC. UNITARIO]]</f>
        <v>0</v>
      </c>
      <c r="R360" t="str">
        <f>Tabla2[[#This Row],[QUIEN RECIBE]]&amp;"-"&amp;TEXT(Tabla2[[#This Row],[FECHA]],"dd/mm/yyyy")</f>
        <v>-22/09/2025</v>
      </c>
    </row>
    <row r="361" spans="2:18" ht="20.45" hidden="1" customHeight="1" x14ac:dyDescent="0.25">
      <c r="B361" s="5">
        <v>45920</v>
      </c>
      <c r="C361" s="2" t="str">
        <f>IFERROR(_xlfn.XLOOKUP(Tabla2[[#This Row],[PRODUCTO]],Tabla1[PRODUCTO],Tabla1[CODIGO]),"")</f>
        <v>CLA-2</v>
      </c>
      <c r="D361" s="31" t="s">
        <v>97</v>
      </c>
      <c r="E361" s="31" t="str">
        <f>IFERROR(VLOOKUP(Tabla2[[#This Row],[CODIGO]],Tabla1[],3,0),"")</f>
        <v>CLAVOS</v>
      </c>
      <c r="F361" s="28" t="str">
        <f>IFERROR(VLOOKUP(Tabla2[[#This Row],[CODIGO]],Tabla1[],5,0),"")</f>
        <v>ALMACEN TICAPAMPA</v>
      </c>
      <c r="G361" s="26" t="str">
        <f>IFERROR(VLOOKUP(Tabla2[[#This Row],[CODIGO]],Tabla1[],6,0),"")</f>
        <v>CAJ</v>
      </c>
      <c r="H361" s="26">
        <f>IFERROR(VLOOKUP(Tabla2[[#This Row],[CODIGO]],Tabla1[],10,0),"")</f>
        <v>2</v>
      </c>
      <c r="I361" s="7">
        <v>1</v>
      </c>
      <c r="J361" s="29" t="s">
        <v>320</v>
      </c>
      <c r="K361" s="26" t="str">
        <f>IFERROR(VLOOKUP(Tabla2[[#This Row],[CODIGO]],Tabla1[],11,0),"")</f>
        <v>COMPRA</v>
      </c>
      <c r="L361" s="67"/>
      <c r="M361" s="67"/>
      <c r="N361" s="70"/>
      <c r="O361" s="70">
        <f>Tabla2[[#This Row],[CANTIDAD]]*Tabla2[[#This Row],[PREC. UNITARIO]]</f>
        <v>0</v>
      </c>
      <c r="R361" t="str">
        <f>Tabla2[[#This Row],[QUIEN RECIBE]]&amp;"-"&amp;TEXT(Tabla2[[#This Row],[FECHA]],"dd/mm/yyyy")</f>
        <v>-20/09/2025</v>
      </c>
    </row>
    <row r="362" spans="2:18" ht="20.45" hidden="1" customHeight="1" x14ac:dyDescent="0.25">
      <c r="B362" s="5">
        <v>45922</v>
      </c>
      <c r="C362" s="2" t="str">
        <f>IFERROR(_xlfn.XLOOKUP(Tabla2[[#This Row],[PRODUCTO]],Tabla1[PRODUCTO],Tabla1[CODIGO]),"")</f>
        <v>CLA-2</v>
      </c>
      <c r="D362" s="31" t="s">
        <v>97</v>
      </c>
      <c r="E362" s="31" t="str">
        <f>IFERROR(VLOOKUP(Tabla2[[#This Row],[CODIGO]],Tabla1[],3,0),"")</f>
        <v>CLAVOS</v>
      </c>
      <c r="F362" s="28" t="str">
        <f>IFERROR(VLOOKUP(Tabla2[[#This Row],[CODIGO]],Tabla1[],5,0),"")</f>
        <v>ALMACEN TICAPAMPA</v>
      </c>
      <c r="G362" s="26" t="str">
        <f>IFERROR(VLOOKUP(Tabla2[[#This Row],[CODIGO]],Tabla1[],6,0),"")</f>
        <v>CAJ</v>
      </c>
      <c r="H362" s="26">
        <f>IFERROR(VLOOKUP(Tabla2[[#This Row],[CODIGO]],Tabla1[],10,0),"")</f>
        <v>2</v>
      </c>
      <c r="I362" s="7">
        <v>-1</v>
      </c>
      <c r="J362" s="29" t="s">
        <v>320</v>
      </c>
      <c r="K362" s="26" t="str">
        <f>IFERROR(VLOOKUP(Tabla2[[#This Row],[CODIGO]],Tabla1[],11,0),"")</f>
        <v>COMPRA</v>
      </c>
      <c r="L362" s="67"/>
      <c r="M362" s="67"/>
      <c r="N362" s="70"/>
      <c r="O362" s="70">
        <f>Tabla2[[#This Row],[CANTIDAD]]*Tabla2[[#This Row],[PREC. UNITARIO]]</f>
        <v>0</v>
      </c>
      <c r="R362" t="str">
        <f>Tabla2[[#This Row],[QUIEN RECIBE]]&amp;"-"&amp;TEXT(Tabla2[[#This Row],[FECHA]],"dd/mm/yyyy")</f>
        <v>-22/09/2025</v>
      </c>
    </row>
    <row r="363" spans="2:18" ht="20.45" hidden="1" customHeight="1" x14ac:dyDescent="0.25">
      <c r="B363" s="5">
        <v>45922</v>
      </c>
      <c r="C363" s="2" t="str">
        <f>IFERROR(_xlfn.XLOOKUP(Tabla2[[#This Row],[PRODUCTO]],Tabla1[PRODUCTO],Tabla1[CODIGO]),"")</f>
        <v>FER-1</v>
      </c>
      <c r="D363" s="31" t="s">
        <v>143</v>
      </c>
      <c r="E363" s="31" t="str">
        <f>IFERROR(VLOOKUP(Tabla2[[#This Row],[CODIGO]],Tabla1[],3,0),"")</f>
        <v>FERRETERIA</v>
      </c>
      <c r="F363" s="28" t="str">
        <f>IFERROR(VLOOKUP(Tabla2[[#This Row],[CODIGO]],Tabla1[],5,0),"")</f>
        <v>ALMACEN TICAPAMPA</v>
      </c>
      <c r="G363" s="26" t="str">
        <f>IFERROR(VLOOKUP(Tabla2[[#This Row],[CODIGO]],Tabla1[],6,0),"")</f>
        <v>UNI</v>
      </c>
      <c r="H363" s="26">
        <f>IFERROR(VLOOKUP(Tabla2[[#This Row],[CODIGO]],Tabla1[],10,0),"")</f>
        <v>63</v>
      </c>
      <c r="I363" s="7">
        <v>-37</v>
      </c>
      <c r="J363" s="29" t="s">
        <v>320</v>
      </c>
      <c r="K363" s="26" t="str">
        <f>IFERROR(VLOOKUP(Tabla2[[#This Row],[CODIGO]],Tabla1[],11,0),"")</f>
        <v>COMPRA</v>
      </c>
      <c r="L363" s="67"/>
      <c r="M363" s="67"/>
      <c r="N363" s="70"/>
      <c r="O363" s="70">
        <f>Tabla2[[#This Row],[CANTIDAD]]*Tabla2[[#This Row],[PREC. UNITARIO]]</f>
        <v>0</v>
      </c>
      <c r="R363" t="str">
        <f>Tabla2[[#This Row],[QUIEN RECIBE]]&amp;"-"&amp;TEXT(Tabla2[[#This Row],[FECHA]],"dd/mm/yyyy")</f>
        <v>-22/09/2025</v>
      </c>
    </row>
    <row r="364" spans="2:18" ht="20.45" hidden="1" customHeight="1" x14ac:dyDescent="0.25">
      <c r="B364" s="5">
        <v>45920</v>
      </c>
      <c r="C364" s="2" t="str">
        <f>IFERROR(_xlfn.XLOOKUP(Tabla2[[#This Row],[PRODUCTO]],Tabla1[PRODUCTO],Tabla1[CODIGO]),"")</f>
        <v>CLA-5</v>
      </c>
      <c r="D364" s="31" t="s">
        <v>410</v>
      </c>
      <c r="E364" s="31" t="str">
        <f>IFERROR(VLOOKUP(Tabla2[[#This Row],[CODIGO]],Tabla1[],3,0),"")</f>
        <v>CLAVOS</v>
      </c>
      <c r="F364" s="28" t="str">
        <f>IFERROR(VLOOKUP(Tabla2[[#This Row],[CODIGO]],Tabla1[],5,0),"")</f>
        <v>ALMACEN TICAPAMPA</v>
      </c>
      <c r="G364" s="26" t="str">
        <f>IFERROR(VLOOKUP(Tabla2[[#This Row],[CODIGO]],Tabla1[],6,0),"")</f>
        <v>BOL</v>
      </c>
      <c r="H364" s="26">
        <f>IFERROR(VLOOKUP(Tabla2[[#This Row],[CODIGO]],Tabla1[],10,0),"")</f>
        <v>14</v>
      </c>
      <c r="I364" s="7">
        <v>14</v>
      </c>
      <c r="J364" s="29" t="s">
        <v>320</v>
      </c>
      <c r="K364" s="26" t="str">
        <f>IFERROR(VLOOKUP(Tabla2[[#This Row],[CODIGO]],Tabla1[],11,0),"")</f>
        <v>COMPRA</v>
      </c>
      <c r="L364" s="67"/>
      <c r="M364" s="67"/>
      <c r="N364" s="70"/>
      <c r="O364" s="70">
        <f>Tabla2[[#This Row],[CANTIDAD]]*Tabla2[[#This Row],[PREC. UNITARIO]]</f>
        <v>0</v>
      </c>
      <c r="R364" t="str">
        <f>Tabla2[[#This Row],[QUIEN RECIBE]]&amp;"-"&amp;TEXT(Tabla2[[#This Row],[FECHA]],"dd/mm/yyyy")</f>
        <v>-20/09/2025</v>
      </c>
    </row>
    <row r="365" spans="2:18" ht="20.45" hidden="1" customHeight="1" x14ac:dyDescent="0.25">
      <c r="B365" s="5">
        <v>45920</v>
      </c>
      <c r="C365" s="2" t="str">
        <f>IFERROR(_xlfn.XLOOKUP(Tabla2[[#This Row],[PRODUCTO]],Tabla1[PRODUCTO],Tabla1[CODIGO]),"")</f>
        <v>OTR-9</v>
      </c>
      <c r="D365" s="31" t="s">
        <v>414</v>
      </c>
      <c r="E365" s="31" t="str">
        <f>IFERROR(VLOOKUP(Tabla2[[#This Row],[CODIGO]],Tabla1[],3,0),"")</f>
        <v>OTROS</v>
      </c>
      <c r="F365" s="28" t="str">
        <f>IFERROR(VLOOKUP(Tabla2[[#This Row],[CODIGO]],Tabla1[],5,0),"")</f>
        <v>ALMACEN TICAPAMPA</v>
      </c>
      <c r="G365" s="26" t="str">
        <f>IFERROR(VLOOKUP(Tabla2[[#This Row],[CODIGO]],Tabla1[],6,0),"")</f>
        <v>UNI</v>
      </c>
      <c r="H365" s="26">
        <f>IFERROR(VLOOKUP(Tabla2[[#This Row],[CODIGO]],Tabla1[],10,0),"")</f>
        <v>10</v>
      </c>
      <c r="I365" s="7">
        <v>10</v>
      </c>
      <c r="J365" s="29" t="s">
        <v>320</v>
      </c>
      <c r="K365" s="26" t="str">
        <f>IFERROR(VLOOKUP(Tabla2[[#This Row],[CODIGO]],Tabla1[],11,0),"")</f>
        <v>COMPRA</v>
      </c>
      <c r="L365" s="67"/>
      <c r="M365" s="67"/>
      <c r="N365" s="70"/>
      <c r="O365" s="70">
        <f>Tabla2[[#This Row],[CANTIDAD]]*Tabla2[[#This Row],[PREC. UNITARIO]]</f>
        <v>0</v>
      </c>
      <c r="R365" t="str">
        <f>Tabla2[[#This Row],[QUIEN RECIBE]]&amp;"-"&amp;TEXT(Tabla2[[#This Row],[FECHA]],"dd/mm/yyyy")</f>
        <v>-20/09/2025</v>
      </c>
    </row>
    <row r="366" spans="2:18" ht="20.45" hidden="1" customHeight="1" x14ac:dyDescent="0.25">
      <c r="B366" s="5">
        <v>45920</v>
      </c>
      <c r="C366" s="2" t="str">
        <f>IFERROR(_xlfn.XLOOKUP(Tabla2[[#This Row],[PRODUCTO]],Tabla1[PRODUCTO],Tabla1[CODIGO]),"")</f>
        <v>OTR-8</v>
      </c>
      <c r="D366" s="31" t="s">
        <v>412</v>
      </c>
      <c r="E366" s="31" t="str">
        <f>IFERROR(VLOOKUP(Tabla2[[#This Row],[CODIGO]],Tabla1[],3,0),"")</f>
        <v>OTROS</v>
      </c>
      <c r="F366" s="28" t="str">
        <f>IFERROR(VLOOKUP(Tabla2[[#This Row],[CODIGO]],Tabla1[],5,0),"")</f>
        <v>ALMACEN TICAPAMPA</v>
      </c>
      <c r="G366" s="26" t="str">
        <f>IFERROR(VLOOKUP(Tabla2[[#This Row],[CODIGO]],Tabla1[],6,0),"")</f>
        <v>UNI</v>
      </c>
      <c r="H366" s="26">
        <f>IFERROR(VLOOKUP(Tabla2[[#This Row],[CODIGO]],Tabla1[],10,0),"")</f>
        <v>23</v>
      </c>
      <c r="I366" s="7">
        <v>23</v>
      </c>
      <c r="J366" s="29" t="s">
        <v>320</v>
      </c>
      <c r="K366" s="26" t="str">
        <f>IFERROR(VLOOKUP(Tabla2[[#This Row],[CODIGO]],Tabla1[],11,0),"")</f>
        <v>COMPRA</v>
      </c>
      <c r="L366" s="67"/>
      <c r="M366" s="67"/>
      <c r="N366" s="70"/>
      <c r="O366" s="70">
        <f>Tabla2[[#This Row],[CANTIDAD]]*Tabla2[[#This Row],[PREC. UNITARIO]]</f>
        <v>0</v>
      </c>
      <c r="R366" t="str">
        <f>Tabla2[[#This Row],[QUIEN RECIBE]]&amp;"-"&amp;TEXT(Tabla2[[#This Row],[FECHA]],"dd/mm/yyyy")</f>
        <v>-20/09/2025</v>
      </c>
    </row>
    <row r="367" spans="2:18" ht="20.45" hidden="1" customHeight="1" x14ac:dyDescent="0.25">
      <c r="B367" s="5">
        <v>45925</v>
      </c>
      <c r="C367" s="2" t="str">
        <f>IFERROR(_xlfn.XLOOKUP(Tabla2[[#This Row],[PRODUCTO]],Tabla1[PRODUCTO],Tabla1[CODIGO]),"")</f>
        <v>HM-42</v>
      </c>
      <c r="D367" s="31" t="s">
        <v>415</v>
      </c>
      <c r="E367" s="31" t="str">
        <f>IFERROR(VLOOKUP(Tabla2[[#This Row],[CODIGO]],Tabla1[],3,0),"")</f>
        <v>HERRAMIENTAS</v>
      </c>
      <c r="F367" s="28" t="str">
        <f>IFERROR(VLOOKUP(Tabla2[[#This Row],[CODIGO]],Tabla1[],5,0),"")</f>
        <v>ALMACEN TICAPAMPA</v>
      </c>
      <c r="G367" s="26" t="str">
        <f>IFERROR(VLOOKUP(Tabla2[[#This Row],[CODIGO]],Tabla1[],6,0),"")</f>
        <v>UNI</v>
      </c>
      <c r="H367" s="26">
        <f>IFERROR(VLOOKUP(Tabla2[[#This Row],[CODIGO]],Tabla1[],10,0),"")</f>
        <v>1</v>
      </c>
      <c r="I367" s="7">
        <v>1</v>
      </c>
      <c r="J367" s="29" t="s">
        <v>320</v>
      </c>
      <c r="K367" s="26" t="str">
        <f>IFERROR(VLOOKUP(Tabla2[[#This Row],[CODIGO]],Tabla1[],11,0),"")</f>
        <v>COMPRA</v>
      </c>
      <c r="L367" s="67"/>
      <c r="M367" s="67"/>
      <c r="N367" s="70"/>
      <c r="O367" s="70">
        <f>Tabla2[[#This Row],[CANTIDAD]]*Tabla2[[#This Row],[PREC. UNITARIO]]</f>
        <v>0</v>
      </c>
      <c r="R367" t="str">
        <f>Tabla2[[#This Row],[QUIEN RECIBE]]&amp;"-"&amp;TEXT(Tabla2[[#This Row],[FECHA]],"dd/mm/yyyy")</f>
        <v>-25/09/2025</v>
      </c>
    </row>
    <row r="368" spans="2:18" ht="20.45" hidden="1" customHeight="1" x14ac:dyDescent="0.25">
      <c r="B368" s="5">
        <v>45923</v>
      </c>
      <c r="C368" s="2" t="str">
        <f>IFERROR(_xlfn.XLOOKUP(Tabla2[[#This Row],[PRODUCTO]],Tabla1[PRODUCTO],Tabla1[CODIGO]),"")</f>
        <v>HM-43</v>
      </c>
      <c r="D368" s="31" t="s">
        <v>416</v>
      </c>
      <c r="E368" s="31" t="str">
        <f>IFERROR(VLOOKUP(Tabla2[[#This Row],[CODIGO]],Tabla1[],3,0),"")</f>
        <v>HERRAMIENTAS</v>
      </c>
      <c r="F368" s="28" t="str">
        <f>IFERROR(VLOOKUP(Tabla2[[#This Row],[CODIGO]],Tabla1[],5,0),"")</f>
        <v>ALMACEN TICAPAMPA</v>
      </c>
      <c r="G368" s="26" t="str">
        <f>IFERROR(VLOOKUP(Tabla2[[#This Row],[CODIGO]],Tabla1[],6,0),"")</f>
        <v>UNI</v>
      </c>
      <c r="H368" s="26">
        <f>IFERROR(VLOOKUP(Tabla2[[#This Row],[CODIGO]],Tabla1[],10,0),"")</f>
        <v>2</v>
      </c>
      <c r="I368" s="7">
        <v>2</v>
      </c>
      <c r="J368" s="29" t="s">
        <v>320</v>
      </c>
      <c r="K368" s="26" t="str">
        <f>IFERROR(VLOOKUP(Tabla2[[#This Row],[CODIGO]],Tabla1[],11,0),"")</f>
        <v>COMPRA</v>
      </c>
      <c r="L368" s="67"/>
      <c r="M368" s="67"/>
      <c r="N368" s="70"/>
      <c r="O368" s="70">
        <f>Tabla2[[#This Row],[CANTIDAD]]*Tabla2[[#This Row],[PREC. UNITARIO]]</f>
        <v>0</v>
      </c>
      <c r="R368" t="str">
        <f>Tabla2[[#This Row],[QUIEN RECIBE]]&amp;"-"&amp;TEXT(Tabla2[[#This Row],[FECHA]],"dd/mm/yyyy")</f>
        <v>-23/09/2025</v>
      </c>
    </row>
    <row r="369" spans="2:18" ht="20.45" hidden="1" customHeight="1" x14ac:dyDescent="0.25">
      <c r="B369" s="5">
        <v>45923</v>
      </c>
      <c r="C369" s="2" t="str">
        <f>IFERROR(_xlfn.XLOOKUP(Tabla2[[#This Row],[PRODUCTO]],Tabla1[PRODUCTO],Tabla1[CODIGO]),"")</f>
        <v>HM-44</v>
      </c>
      <c r="D369" s="31" t="s">
        <v>417</v>
      </c>
      <c r="E369" s="31" t="str">
        <f>IFERROR(VLOOKUP(Tabla2[[#This Row],[CODIGO]],Tabla1[],3,0),"")</f>
        <v>HERRAMIENTAS</v>
      </c>
      <c r="F369" s="28" t="str">
        <f>IFERROR(VLOOKUP(Tabla2[[#This Row],[CODIGO]],Tabla1[],5,0),"")</f>
        <v>ALMACEN TICAPAMPA</v>
      </c>
      <c r="G369" s="26" t="str">
        <f>IFERROR(VLOOKUP(Tabla2[[#This Row],[CODIGO]],Tabla1[],6,0),"")</f>
        <v>UNI</v>
      </c>
      <c r="H369" s="26">
        <f>IFERROR(VLOOKUP(Tabla2[[#This Row],[CODIGO]],Tabla1[],10,0),"")</f>
        <v>2</v>
      </c>
      <c r="I369" s="7">
        <v>4</v>
      </c>
      <c r="J369" s="29" t="s">
        <v>320</v>
      </c>
      <c r="K369" s="26" t="str">
        <f>IFERROR(VLOOKUP(Tabla2[[#This Row],[CODIGO]],Tabla1[],11,0),"")</f>
        <v>COMPRA</v>
      </c>
      <c r="L369" s="67"/>
      <c r="M369" s="67"/>
      <c r="N369" s="70"/>
      <c r="O369" s="70">
        <f>Tabla2[[#This Row],[CANTIDAD]]*Tabla2[[#This Row],[PREC. UNITARIO]]</f>
        <v>0</v>
      </c>
      <c r="R369" t="str">
        <f>Tabla2[[#This Row],[QUIEN RECIBE]]&amp;"-"&amp;TEXT(Tabla2[[#This Row],[FECHA]],"dd/mm/yyyy")</f>
        <v>-23/09/2025</v>
      </c>
    </row>
    <row r="370" spans="2:18" ht="20.45" hidden="1" customHeight="1" x14ac:dyDescent="0.25">
      <c r="B370" s="5">
        <v>45923</v>
      </c>
      <c r="C370" s="2" t="str">
        <f>IFERROR(_xlfn.XLOOKUP(Tabla2[[#This Row],[PRODUCTO]],Tabla1[PRODUCTO],Tabla1[CODIGO]),"")</f>
        <v>HM-44</v>
      </c>
      <c r="D370" s="31" t="s">
        <v>417</v>
      </c>
      <c r="E370" s="31" t="str">
        <f>IFERROR(VLOOKUP(Tabla2[[#This Row],[CODIGO]],Tabla1[],3,0),"")</f>
        <v>HERRAMIENTAS</v>
      </c>
      <c r="F370" s="28" t="str">
        <f>IFERROR(VLOOKUP(Tabla2[[#This Row],[CODIGO]],Tabla1[],5,0),"")</f>
        <v>ALMACEN TICAPAMPA</v>
      </c>
      <c r="G370" s="26" t="str">
        <f>IFERROR(VLOOKUP(Tabla2[[#This Row],[CODIGO]],Tabla1[],6,0),"")</f>
        <v>UNI</v>
      </c>
      <c r="H370" s="26">
        <f>IFERROR(VLOOKUP(Tabla2[[#This Row],[CODIGO]],Tabla1[],10,0),"")</f>
        <v>2</v>
      </c>
      <c r="I370" s="7">
        <v>-2</v>
      </c>
      <c r="J370" s="29" t="s">
        <v>419</v>
      </c>
      <c r="K370" s="26" t="str">
        <f>IFERROR(VLOOKUP(Tabla2[[#This Row],[CODIGO]],Tabla1[],11,0),"")</f>
        <v>COMPRA</v>
      </c>
      <c r="L370" s="67" t="s">
        <v>236</v>
      </c>
      <c r="M370" s="67" t="s">
        <v>242</v>
      </c>
      <c r="N370" s="70"/>
      <c r="O370" s="70">
        <f>Tabla2[[#This Row],[CANTIDAD]]*Tabla2[[#This Row],[PREC. UNITARIO]]</f>
        <v>0</v>
      </c>
      <c r="R370" t="str">
        <f>Tabla2[[#This Row],[QUIEN RECIBE]]&amp;"-"&amp;TEXT(Tabla2[[#This Row],[FECHA]],"dd/mm/yyyy")</f>
        <v>MAYTAHUARI ACOSTA, SAMMER AXEL-23/09/2025</v>
      </c>
    </row>
    <row r="371" spans="2:18" ht="20.45" hidden="1" customHeight="1" x14ac:dyDescent="0.25">
      <c r="B371" s="5">
        <v>45923</v>
      </c>
      <c r="C371" s="2" t="str">
        <f>IFERROR(_xlfn.XLOOKUP(Tabla2[[#This Row],[PRODUCTO]],Tabla1[PRODUCTO],Tabla1[CODIGO]),"")</f>
        <v>HM-45</v>
      </c>
      <c r="D371" s="31" t="s">
        <v>418</v>
      </c>
      <c r="E371" s="31" t="str">
        <f>IFERROR(VLOOKUP(Tabla2[[#This Row],[CODIGO]],Tabla1[],3,0),"")</f>
        <v>HERRAMIENTAS</v>
      </c>
      <c r="F371" s="28" t="str">
        <f>IFERROR(VLOOKUP(Tabla2[[#This Row],[CODIGO]],Tabla1[],5,0),"")</f>
        <v>ALMACEN TICAPAMPA</v>
      </c>
      <c r="G371" s="26" t="str">
        <f>IFERROR(VLOOKUP(Tabla2[[#This Row],[CODIGO]],Tabla1[],6,0),"")</f>
        <v>UNI</v>
      </c>
      <c r="H371" s="26">
        <f>IFERROR(VLOOKUP(Tabla2[[#This Row],[CODIGO]],Tabla1[],10,0),"")</f>
        <v>2</v>
      </c>
      <c r="I371" s="7">
        <v>2</v>
      </c>
      <c r="J371" s="29" t="s">
        <v>320</v>
      </c>
      <c r="K371" s="26" t="str">
        <f>IFERROR(VLOOKUP(Tabla2[[#This Row],[CODIGO]],Tabla1[],11,0),"")</f>
        <v>COMPRA</v>
      </c>
      <c r="L371" s="67"/>
      <c r="M371" s="67"/>
      <c r="N371" s="70"/>
      <c r="O371" s="70">
        <f>Tabla2[[#This Row],[CANTIDAD]]*Tabla2[[#This Row],[PREC. UNITARIO]]</f>
        <v>0</v>
      </c>
      <c r="R371" t="str">
        <f>Tabla2[[#This Row],[QUIEN RECIBE]]&amp;"-"&amp;TEXT(Tabla2[[#This Row],[FECHA]],"dd/mm/yyyy")</f>
        <v>-23/09/2025</v>
      </c>
    </row>
    <row r="372" spans="2:18" ht="20.45" customHeight="1" x14ac:dyDescent="0.25">
      <c r="B372" s="5">
        <v>45926</v>
      </c>
      <c r="C372" s="2" t="str">
        <f>IFERROR(_xlfn.XLOOKUP(Tabla2[[#This Row],[PRODUCTO]],Tabla1[PRODUCTO],Tabla1[CODIGO]),"")</f>
        <v>AF-3</v>
      </c>
      <c r="D372" s="31" t="s">
        <v>347</v>
      </c>
      <c r="E372" s="31" t="str">
        <f>IFERROR(VLOOKUP(Tabla2[[#This Row],[CODIGO]],Tabla1[],3,0),"")</f>
        <v>ALAMBRES Y FIERROS</v>
      </c>
      <c r="F372" s="28" t="str">
        <f>IFERROR(VLOOKUP(Tabla2[[#This Row],[CODIGO]],Tabla1[],5,0),"")</f>
        <v>ALMACEN TICAPAMPA</v>
      </c>
      <c r="G372" s="26" t="str">
        <f>IFERROR(VLOOKUP(Tabla2[[#This Row],[CODIGO]],Tabla1[],6,0),"")</f>
        <v>UNI</v>
      </c>
      <c r="H372" s="26">
        <f>IFERROR(VLOOKUP(Tabla2[[#This Row],[CODIGO]],Tabla1[],10,0),"")</f>
        <v>2350</v>
      </c>
      <c r="I372" s="7">
        <v>1200</v>
      </c>
      <c r="J372" s="29" t="s">
        <v>320</v>
      </c>
      <c r="K372" s="26" t="str">
        <f>IFERROR(VLOOKUP(Tabla2[[#This Row],[CODIGO]],Tabla1[],11,0),"")</f>
        <v>COMPRA</v>
      </c>
      <c r="L372" s="67"/>
      <c r="M372" s="67"/>
      <c r="N372" s="70"/>
      <c r="O372" s="70">
        <f>Tabla2[[#This Row],[CANTIDAD]]*Tabla2[[#This Row],[PREC. UNITARIO]]</f>
        <v>0</v>
      </c>
      <c r="R372" t="str">
        <f>Tabla2[[#This Row],[QUIEN RECIBE]]&amp;"-"&amp;TEXT(Tabla2[[#This Row],[FECHA]],"dd/mm/yyyy")</f>
        <v>-26/09/2025</v>
      </c>
    </row>
    <row r="373" spans="2:18" ht="20.45" hidden="1" customHeight="1" x14ac:dyDescent="0.25">
      <c r="B373" s="5">
        <v>45926</v>
      </c>
      <c r="C373" s="2" t="str">
        <f>IFERROR(_xlfn.XLOOKUP(Tabla2[[#This Row],[PRODUCTO]],Tabla1[PRODUCTO],Tabla1[CODIGO]),"")</f>
        <v>AF-4</v>
      </c>
      <c r="D373" s="31" t="s">
        <v>349</v>
      </c>
      <c r="E373" s="31" t="str">
        <f>IFERROR(VLOOKUP(Tabla2[[#This Row],[CODIGO]],Tabla1[],3,0),"")</f>
        <v>ALAMBRES Y FIERROS</v>
      </c>
      <c r="F373" s="28" t="str">
        <f>IFERROR(VLOOKUP(Tabla2[[#This Row],[CODIGO]],Tabla1[],5,0),"")</f>
        <v>ALMACEN TICAPAMPA</v>
      </c>
      <c r="G373" s="26" t="str">
        <f>IFERROR(VLOOKUP(Tabla2[[#This Row],[CODIGO]],Tabla1[],6,0),"")</f>
        <v>UNI</v>
      </c>
      <c r="H373" s="26">
        <f>IFERROR(VLOOKUP(Tabla2[[#This Row],[CODIGO]],Tabla1[],10,0),"")</f>
        <v>1783</v>
      </c>
      <c r="I373" s="7">
        <v>850</v>
      </c>
      <c r="J373" s="29" t="s">
        <v>320</v>
      </c>
      <c r="K373" s="26" t="str">
        <f>IFERROR(VLOOKUP(Tabla2[[#This Row],[CODIGO]],Tabla1[],11,0),"")</f>
        <v>COMPRA</v>
      </c>
      <c r="L373" s="67"/>
      <c r="M373" s="67"/>
      <c r="N373" s="70"/>
      <c r="O373" s="70">
        <f>Tabla2[[#This Row],[CANTIDAD]]*Tabla2[[#This Row],[PREC. UNITARIO]]</f>
        <v>0</v>
      </c>
      <c r="R373" t="str">
        <f>Tabla2[[#This Row],[QUIEN RECIBE]]&amp;"-"&amp;TEXT(Tabla2[[#This Row],[FECHA]],"dd/mm/yyyy")</f>
        <v>-26/09/2025</v>
      </c>
    </row>
    <row r="374" spans="2:18" ht="20.45" hidden="1" customHeight="1" x14ac:dyDescent="0.25">
      <c r="B374" s="5">
        <v>45926</v>
      </c>
      <c r="C374" s="2" t="str">
        <f>IFERROR(_xlfn.XLOOKUP(Tabla2[[#This Row],[PRODUCTO]],Tabla1[PRODUCTO],Tabla1[CODIGO]),"")</f>
        <v>AF-5</v>
      </c>
      <c r="D374" s="31" t="s">
        <v>351</v>
      </c>
      <c r="E374" s="31" t="str">
        <f>IFERROR(VLOOKUP(Tabla2[[#This Row],[CODIGO]],Tabla1[],3,0),"")</f>
        <v>ALAMBRES Y FIERROS</v>
      </c>
      <c r="F374" s="28" t="str">
        <f>IFERROR(VLOOKUP(Tabla2[[#This Row],[CODIGO]],Tabla1[],5,0),"")</f>
        <v>ALMACEN TICAPAMPA</v>
      </c>
      <c r="G374" s="26" t="str">
        <f>IFERROR(VLOOKUP(Tabla2[[#This Row],[CODIGO]],Tabla1[],6,0),"")</f>
        <v>UNI</v>
      </c>
      <c r="H374" s="26">
        <f>IFERROR(VLOOKUP(Tabla2[[#This Row],[CODIGO]],Tabla1[],10,0),"")</f>
        <v>2424</v>
      </c>
      <c r="I374" s="7">
        <v>1200</v>
      </c>
      <c r="J374" s="29" t="s">
        <v>320</v>
      </c>
      <c r="K374" s="26" t="str">
        <f>IFERROR(VLOOKUP(Tabla2[[#This Row],[CODIGO]],Tabla1[],11,0),"")</f>
        <v>COMPRA</v>
      </c>
      <c r="L374" s="67"/>
      <c r="M374" s="67"/>
      <c r="N374" s="70"/>
      <c r="O374" s="70">
        <f>Tabla2[[#This Row],[CANTIDAD]]*Tabla2[[#This Row],[PREC. UNITARIO]]</f>
        <v>0</v>
      </c>
      <c r="R374" t="str">
        <f>Tabla2[[#This Row],[QUIEN RECIBE]]&amp;"-"&amp;TEXT(Tabla2[[#This Row],[FECHA]],"dd/mm/yyyy")</f>
        <v>-26/09/2025</v>
      </c>
    </row>
    <row r="375" spans="2:18" ht="20.45" hidden="1" customHeight="1" x14ac:dyDescent="0.25">
      <c r="B375" s="5">
        <v>45926</v>
      </c>
      <c r="C375" s="2" t="str">
        <f>IFERROR(_xlfn.XLOOKUP(Tabla2[[#This Row],[PRODUCTO]],Tabla1[PRODUCTO],Tabla1[CODIGO]),"")</f>
        <v>AF-1</v>
      </c>
      <c r="D375" s="31" t="s">
        <v>92</v>
      </c>
      <c r="E375" s="31" t="str">
        <f>IFERROR(VLOOKUP(Tabla2[[#This Row],[CODIGO]],Tabla1[],3,0),"")</f>
        <v>ALAMBRES Y FIERROS</v>
      </c>
      <c r="F375" s="28" t="str">
        <f>IFERROR(VLOOKUP(Tabla2[[#This Row],[CODIGO]],Tabla1[],5,0),"")</f>
        <v>ALMACEN TICAPAMPA</v>
      </c>
      <c r="G375" s="26" t="str">
        <f>IFERROR(VLOOKUP(Tabla2[[#This Row],[CODIGO]],Tabla1[],6,0),"")</f>
        <v>ROL</v>
      </c>
      <c r="H375" s="26">
        <f>IFERROR(VLOOKUP(Tabla2[[#This Row],[CODIGO]],Tabla1[],10,0),"")</f>
        <v>4</v>
      </c>
      <c r="I375" s="7">
        <v>-1</v>
      </c>
      <c r="J375" s="29" t="s">
        <v>350</v>
      </c>
      <c r="K375" s="26" t="str">
        <f>IFERROR(VLOOKUP(Tabla2[[#This Row],[CODIGO]],Tabla1[],11,0),"")</f>
        <v>COMPRA</v>
      </c>
      <c r="L375" s="67" t="s">
        <v>250</v>
      </c>
      <c r="M375" s="67" t="s">
        <v>239</v>
      </c>
      <c r="N375" s="70"/>
      <c r="O375" s="70">
        <f>Tabla2[[#This Row],[CANTIDAD]]*Tabla2[[#This Row],[PREC. UNITARIO]]</f>
        <v>0</v>
      </c>
      <c r="R375" t="str">
        <f>Tabla2[[#This Row],[QUIEN RECIBE]]&amp;"-"&amp;TEXT(Tabla2[[#This Row],[FECHA]],"dd/mm/yyyy")</f>
        <v>JEREMIAS PALOMINO, NORBERTO LEONCIO-26/09/2025</v>
      </c>
    </row>
    <row r="376" spans="2:18" ht="20.45" hidden="1" customHeight="1" x14ac:dyDescent="0.25">
      <c r="B376" s="5">
        <v>45926</v>
      </c>
      <c r="C376" s="2" t="str">
        <f>IFERROR(_xlfn.XLOOKUP(Tabla2[[#This Row],[PRODUCTO]],Tabla1[PRODUCTO],Tabla1[CODIGO]),"")</f>
        <v>HM-18</v>
      </c>
      <c r="D376" s="31" t="s">
        <v>384</v>
      </c>
      <c r="E376" s="31" t="str">
        <f>IFERROR(VLOOKUP(Tabla2[[#This Row],[CODIGO]],Tabla1[],3,0),"")</f>
        <v>HERRAMIENTAS</v>
      </c>
      <c r="F376" s="28" t="str">
        <f>IFERROR(VLOOKUP(Tabla2[[#This Row],[CODIGO]],Tabla1[],5,0),"")</f>
        <v>ALMACEN TICAPAMPA</v>
      </c>
      <c r="G376" s="26" t="str">
        <f>IFERROR(VLOOKUP(Tabla2[[#This Row],[CODIGO]],Tabla1[],6,0),"")</f>
        <v>UNI</v>
      </c>
      <c r="H376" s="26">
        <f>IFERROR(VLOOKUP(Tabla2[[#This Row],[CODIGO]],Tabla1[],10,0),"")</f>
        <v>22</v>
      </c>
      <c r="I376" s="7">
        <v>-2</v>
      </c>
      <c r="J376" s="29" t="s">
        <v>350</v>
      </c>
      <c r="K376" s="26" t="str">
        <f>IFERROR(VLOOKUP(Tabla2[[#This Row],[CODIGO]],Tabla1[],11,0),"")</f>
        <v>COMPRA</v>
      </c>
      <c r="L376" s="67" t="s">
        <v>236</v>
      </c>
      <c r="M376" s="67" t="s">
        <v>239</v>
      </c>
      <c r="N376" s="70"/>
      <c r="O376" s="70">
        <f>Tabla2[[#This Row],[CANTIDAD]]*Tabla2[[#This Row],[PREC. UNITARIO]]</f>
        <v>0</v>
      </c>
      <c r="R376" t="str">
        <f>Tabla2[[#This Row],[QUIEN RECIBE]]&amp;"-"&amp;TEXT(Tabla2[[#This Row],[FECHA]],"dd/mm/yyyy")</f>
        <v>JEREMIAS PALOMINO, NORBERTO LEONCIO-26/09/2025</v>
      </c>
    </row>
    <row r="377" spans="2:18" ht="20.45" hidden="1" customHeight="1" x14ac:dyDescent="0.25">
      <c r="B377" s="5">
        <v>45926</v>
      </c>
      <c r="C377" s="2" t="str">
        <f>IFERROR(_xlfn.XLOOKUP(Tabla2[[#This Row],[PRODUCTO]],Tabla1[PRODUCTO],Tabla1[CODIGO]),"")</f>
        <v>HM-37</v>
      </c>
      <c r="D377" s="31" t="s">
        <v>404</v>
      </c>
      <c r="E377" s="31" t="str">
        <f>IFERROR(VLOOKUP(Tabla2[[#This Row],[CODIGO]],Tabla1[],3,0),"")</f>
        <v>HERRAMIENTAS</v>
      </c>
      <c r="F377" s="28" t="str">
        <f>IFERROR(VLOOKUP(Tabla2[[#This Row],[CODIGO]],Tabla1[],5,0),"")</f>
        <v>ALMACEN TICAPAMPA</v>
      </c>
      <c r="G377" s="26" t="str">
        <f>IFERROR(VLOOKUP(Tabla2[[#This Row],[CODIGO]],Tabla1[],6,0),"")</f>
        <v>UNI</v>
      </c>
      <c r="H377" s="26">
        <f>IFERROR(VLOOKUP(Tabla2[[#This Row],[CODIGO]],Tabla1[],10,0),"")</f>
        <v>4</v>
      </c>
      <c r="I377" s="7">
        <v>-1</v>
      </c>
      <c r="J377" s="29" t="s">
        <v>350</v>
      </c>
      <c r="K377" s="26" t="str">
        <f>IFERROR(VLOOKUP(Tabla2[[#This Row],[CODIGO]],Tabla1[],11,0),"")</f>
        <v>COMPRA</v>
      </c>
      <c r="L377" s="67" t="s">
        <v>236</v>
      </c>
      <c r="M377" s="67" t="s">
        <v>239</v>
      </c>
      <c r="N377" s="70"/>
      <c r="O377" s="70">
        <f>Tabla2[[#This Row],[CANTIDAD]]*Tabla2[[#This Row],[PREC. UNITARIO]]</f>
        <v>0</v>
      </c>
      <c r="R377" t="str">
        <f>Tabla2[[#This Row],[QUIEN RECIBE]]&amp;"-"&amp;TEXT(Tabla2[[#This Row],[FECHA]],"dd/mm/yyyy")</f>
        <v>JEREMIAS PALOMINO, NORBERTO LEONCIO-26/09/2025</v>
      </c>
    </row>
    <row r="378" spans="2:18" ht="20.45" hidden="1" customHeight="1" x14ac:dyDescent="0.25">
      <c r="B378" s="5">
        <v>45926</v>
      </c>
      <c r="C378" s="2" t="str">
        <f>IFERROR(_xlfn.XLOOKUP(Tabla2[[#This Row],[PRODUCTO]],Tabla1[PRODUCTO],Tabla1[CODIGO]),"")</f>
        <v>UE-57</v>
      </c>
      <c r="D378" s="31" t="s">
        <v>368</v>
      </c>
      <c r="E378" s="31" t="str">
        <f>IFERROR(VLOOKUP(Tabla2[[#This Row],[CODIGO]],Tabla1[],3,0),"")</f>
        <v>UTILES DE ESCRITORIO</v>
      </c>
      <c r="F378" s="28" t="str">
        <f>IFERROR(VLOOKUP(Tabla2[[#This Row],[CODIGO]],Tabla1[],5,0),"")</f>
        <v>ALMACEN TICAPAMPA</v>
      </c>
      <c r="G378" s="26" t="str">
        <f>IFERROR(VLOOKUP(Tabla2[[#This Row],[CODIGO]],Tabla1[],6,0),"")</f>
        <v>UNI</v>
      </c>
      <c r="H378" s="26">
        <f>IFERROR(VLOOKUP(Tabla2[[#This Row],[CODIGO]],Tabla1[],10,0),"")</f>
        <v>13</v>
      </c>
      <c r="I378" s="7">
        <v>-1</v>
      </c>
      <c r="J378" s="29" t="s">
        <v>383</v>
      </c>
      <c r="K378" s="26" t="str">
        <f>IFERROR(VLOOKUP(Tabla2[[#This Row],[CODIGO]],Tabla1[],11,0),"")</f>
        <v>COMPRA</v>
      </c>
      <c r="L378" s="67" t="s">
        <v>236</v>
      </c>
      <c r="M378" s="67" t="s">
        <v>472</v>
      </c>
      <c r="N378" s="70"/>
      <c r="O378" s="70">
        <f>Tabla2[[#This Row],[CANTIDAD]]*Tabla2[[#This Row],[PREC. UNITARIO]]</f>
        <v>0</v>
      </c>
      <c r="R378" t="str">
        <f>Tabla2[[#This Row],[QUIEN RECIBE]]&amp;"-"&amp;TEXT(Tabla2[[#This Row],[FECHA]],"dd/mm/yyyy")</f>
        <v>ACUACHI LANCHIPA ERNESTO ALONSO-26/09/2025</v>
      </c>
    </row>
    <row r="379" spans="2:18" ht="20.45" hidden="1" customHeight="1" x14ac:dyDescent="0.25">
      <c r="B379" s="5">
        <v>45926</v>
      </c>
      <c r="C379" s="2" t="str">
        <f>IFERROR(_xlfn.XLOOKUP(Tabla2[[#This Row],[PRODUCTO]],Tabla1[PRODUCTO],Tabla1[CODIGO]),"")</f>
        <v>UE-57</v>
      </c>
      <c r="D379" s="31" t="s">
        <v>368</v>
      </c>
      <c r="E379" s="31" t="str">
        <f>IFERROR(VLOOKUP(Tabla2[[#This Row],[CODIGO]],Tabla1[],3,0),"")</f>
        <v>UTILES DE ESCRITORIO</v>
      </c>
      <c r="F379" s="28" t="str">
        <f>IFERROR(VLOOKUP(Tabla2[[#This Row],[CODIGO]],Tabla1[],5,0),"")</f>
        <v>ALMACEN TICAPAMPA</v>
      </c>
      <c r="G379" s="26" t="str">
        <f>IFERROR(VLOOKUP(Tabla2[[#This Row],[CODIGO]],Tabla1[],6,0),"")</f>
        <v>UNI</v>
      </c>
      <c r="H379" s="26">
        <f>IFERROR(VLOOKUP(Tabla2[[#This Row],[CODIGO]],Tabla1[],10,0),"")</f>
        <v>13</v>
      </c>
      <c r="I379" s="7">
        <v>-3</v>
      </c>
      <c r="J379" s="29" t="s">
        <v>420</v>
      </c>
      <c r="K379" s="26" t="str">
        <f>IFERROR(VLOOKUP(Tabla2[[#This Row],[CODIGO]],Tabla1[],11,0),"")</f>
        <v>COMPRA</v>
      </c>
      <c r="L379" s="67" t="s">
        <v>250</v>
      </c>
      <c r="M379" s="67" t="s">
        <v>256</v>
      </c>
      <c r="N379" s="70"/>
      <c r="O379" s="70">
        <f>Tabla2[[#This Row],[CANTIDAD]]*Tabla2[[#This Row],[PREC. UNITARIO]]</f>
        <v>0</v>
      </c>
      <c r="R379" t="str">
        <f>Tabla2[[#This Row],[QUIEN RECIBE]]&amp;"-"&amp;TEXT(Tabla2[[#This Row],[FECHA]],"dd/mm/yyyy")</f>
        <v>SILVA BORDA, ARLETTE NINOSKA-26/09/2025</v>
      </c>
    </row>
    <row r="380" spans="2:18" ht="20.45" hidden="1" customHeight="1" x14ac:dyDescent="0.25">
      <c r="B380" s="5">
        <v>45926</v>
      </c>
      <c r="C380" s="2" t="str">
        <f>IFERROR(_xlfn.XLOOKUP(Tabla2[[#This Row],[PRODUCTO]],Tabla1[PRODUCTO],Tabla1[CODIGO]),"")</f>
        <v>UE-13</v>
      </c>
      <c r="D380" s="31" t="s">
        <v>167</v>
      </c>
      <c r="E380" s="31" t="str">
        <f>IFERROR(VLOOKUP(Tabla2[[#This Row],[CODIGO]],Tabla1[],3,0),"")</f>
        <v>UTILES DE ESCRITORIO</v>
      </c>
      <c r="F380" s="28" t="str">
        <f>IFERROR(VLOOKUP(Tabla2[[#This Row],[CODIGO]],Tabla1[],5,0),"")</f>
        <v>ALMACEN TICAPAMPA</v>
      </c>
      <c r="G380" s="26" t="str">
        <f>IFERROR(VLOOKUP(Tabla2[[#This Row],[CODIGO]],Tabla1[],6,0),"")</f>
        <v>UNI</v>
      </c>
      <c r="H380" s="26">
        <f>IFERROR(VLOOKUP(Tabla2[[#This Row],[CODIGO]],Tabla1[],10,0),"")</f>
        <v>95</v>
      </c>
      <c r="I380" s="7">
        <v>-5</v>
      </c>
      <c r="J380" s="29" t="s">
        <v>420</v>
      </c>
      <c r="K380" s="26" t="str">
        <f>IFERROR(VLOOKUP(Tabla2[[#This Row],[CODIGO]],Tabla1[],11,0),"")</f>
        <v>COMPRA</v>
      </c>
      <c r="L380" s="67" t="s">
        <v>250</v>
      </c>
      <c r="M380" s="67" t="s">
        <v>256</v>
      </c>
      <c r="N380" s="70"/>
      <c r="O380" s="70">
        <f>Tabla2[[#This Row],[CANTIDAD]]*Tabla2[[#This Row],[PREC. UNITARIO]]</f>
        <v>0</v>
      </c>
      <c r="R380" t="str">
        <f>Tabla2[[#This Row],[QUIEN RECIBE]]&amp;"-"&amp;TEXT(Tabla2[[#This Row],[FECHA]],"dd/mm/yyyy")</f>
        <v>SILVA BORDA, ARLETTE NINOSKA-26/09/2025</v>
      </c>
    </row>
    <row r="381" spans="2:18" ht="20.45" hidden="1" customHeight="1" x14ac:dyDescent="0.25">
      <c r="B381" s="5">
        <v>45924</v>
      </c>
      <c r="C381" s="2" t="str">
        <f>IFERROR(_xlfn.XLOOKUP(Tabla2[[#This Row],[PRODUCTO]],Tabla1[PRODUCTO],Tabla1[CODIGO]),"")</f>
        <v>HM-20</v>
      </c>
      <c r="D381" s="31" t="s">
        <v>387</v>
      </c>
      <c r="E381" s="31" t="str">
        <f>IFERROR(VLOOKUP(Tabla2[[#This Row],[CODIGO]],Tabla1[],3,0),"")</f>
        <v>HERRAMIENTAS</v>
      </c>
      <c r="F381" s="28" t="str">
        <f>IFERROR(VLOOKUP(Tabla2[[#This Row],[CODIGO]],Tabla1[],5,0),"")</f>
        <v>ALMACEN TICAPAMPA</v>
      </c>
      <c r="G381" s="26" t="str">
        <f>IFERROR(VLOOKUP(Tabla2[[#This Row],[CODIGO]],Tabla1[],6,0),"")</f>
        <v>UNI</v>
      </c>
      <c r="H381" s="26">
        <f>IFERROR(VLOOKUP(Tabla2[[#This Row],[CODIGO]],Tabla1[],10,0),"")</f>
        <v>1</v>
      </c>
      <c r="I381" s="7">
        <v>1</v>
      </c>
      <c r="J381" s="29" t="s">
        <v>320</v>
      </c>
      <c r="K381" s="26" t="str">
        <f>IFERROR(VLOOKUP(Tabla2[[#This Row],[CODIGO]],Tabla1[],11,0),"")</f>
        <v>COMPRA</v>
      </c>
      <c r="L381" s="67"/>
      <c r="M381" s="67"/>
      <c r="N381" s="70"/>
      <c r="O381" s="70">
        <f>Tabla2[[#This Row],[CANTIDAD]]*Tabla2[[#This Row],[PREC. UNITARIO]]</f>
        <v>0</v>
      </c>
      <c r="R381" t="str">
        <f>Tabla2[[#This Row],[QUIEN RECIBE]]&amp;"-"&amp;TEXT(Tabla2[[#This Row],[FECHA]],"dd/mm/yyyy")</f>
        <v>-24/09/2025</v>
      </c>
    </row>
    <row r="382" spans="2:18" ht="20.45" hidden="1" customHeight="1" x14ac:dyDescent="0.25">
      <c r="B382" s="5">
        <v>45924</v>
      </c>
      <c r="C382" s="2" t="str">
        <f>IFERROR(_xlfn.XLOOKUP(Tabla2[[#This Row],[PRODUCTO]],Tabla1[PRODUCTO],Tabla1[CODIGO]),"")</f>
        <v>HM-21</v>
      </c>
      <c r="D382" s="31" t="s">
        <v>388</v>
      </c>
      <c r="E382" s="31" t="str">
        <f>IFERROR(VLOOKUP(Tabla2[[#This Row],[CODIGO]],Tabla1[],3,0),"")</f>
        <v>HERRAMIENTAS</v>
      </c>
      <c r="F382" s="28" t="str">
        <f>IFERROR(VLOOKUP(Tabla2[[#This Row],[CODIGO]],Tabla1[],5,0),"")</f>
        <v>ALMACEN TICAPAMPA</v>
      </c>
      <c r="G382" s="26" t="str">
        <f>IFERROR(VLOOKUP(Tabla2[[#This Row],[CODIGO]],Tabla1[],6,0),"")</f>
        <v>UNI</v>
      </c>
      <c r="H382" s="26">
        <f>IFERROR(VLOOKUP(Tabla2[[#This Row],[CODIGO]],Tabla1[],10,0),"")</f>
        <v>1</v>
      </c>
      <c r="I382" s="7">
        <v>1</v>
      </c>
      <c r="J382" s="29" t="s">
        <v>320</v>
      </c>
      <c r="K382" s="26" t="str">
        <f>IFERROR(VLOOKUP(Tabla2[[#This Row],[CODIGO]],Tabla1[],11,0),"")</f>
        <v>COMPRA</v>
      </c>
      <c r="L382" s="67"/>
      <c r="M382" s="67"/>
      <c r="N382" s="70"/>
      <c r="O382" s="70">
        <f>Tabla2[[#This Row],[CANTIDAD]]*Tabla2[[#This Row],[PREC. UNITARIO]]</f>
        <v>0</v>
      </c>
      <c r="R382" t="str">
        <f>Tabla2[[#This Row],[QUIEN RECIBE]]&amp;"-"&amp;TEXT(Tabla2[[#This Row],[FECHA]],"dd/mm/yyyy")</f>
        <v>-24/09/2025</v>
      </c>
    </row>
    <row r="383" spans="2:18" ht="20.45" hidden="1" customHeight="1" x14ac:dyDescent="0.25">
      <c r="B383" s="5">
        <v>45924</v>
      </c>
      <c r="C383" s="2" t="str">
        <f>IFERROR(_xlfn.XLOOKUP(Tabla2[[#This Row],[PRODUCTO]],Tabla1[PRODUCTO],Tabla1[CODIGO]),"")</f>
        <v>HM-22</v>
      </c>
      <c r="D383" s="31" t="s">
        <v>389</v>
      </c>
      <c r="E383" s="31" t="str">
        <f>IFERROR(VLOOKUP(Tabla2[[#This Row],[CODIGO]],Tabla1[],3,0),"")</f>
        <v>HERRAMIENTAS</v>
      </c>
      <c r="F383" s="28" t="str">
        <f>IFERROR(VLOOKUP(Tabla2[[#This Row],[CODIGO]],Tabla1[],5,0),"")</f>
        <v>ALMACEN TICAPAMPA</v>
      </c>
      <c r="G383" s="26" t="str">
        <f>IFERROR(VLOOKUP(Tabla2[[#This Row],[CODIGO]],Tabla1[],6,0),"")</f>
        <v>UNI</v>
      </c>
      <c r="H383" s="26">
        <f>IFERROR(VLOOKUP(Tabla2[[#This Row],[CODIGO]],Tabla1[],10,0),"")</f>
        <v>1</v>
      </c>
      <c r="I383" s="7">
        <v>1</v>
      </c>
      <c r="J383" s="29" t="s">
        <v>320</v>
      </c>
      <c r="K383" s="26" t="str">
        <f>IFERROR(VLOOKUP(Tabla2[[#This Row],[CODIGO]],Tabla1[],11,0),"")</f>
        <v>COMPRA</v>
      </c>
      <c r="L383" s="67"/>
      <c r="M383" s="67"/>
      <c r="N383" s="70"/>
      <c r="O383" s="70">
        <f>Tabla2[[#This Row],[CANTIDAD]]*Tabla2[[#This Row],[PREC. UNITARIO]]</f>
        <v>0</v>
      </c>
      <c r="R383" t="str">
        <f>Tabla2[[#This Row],[QUIEN RECIBE]]&amp;"-"&amp;TEXT(Tabla2[[#This Row],[FECHA]],"dd/mm/yyyy")</f>
        <v>-24/09/2025</v>
      </c>
    </row>
    <row r="384" spans="2:18" ht="20.45" hidden="1" customHeight="1" x14ac:dyDescent="0.25">
      <c r="B384" s="5">
        <v>45924</v>
      </c>
      <c r="C384" s="2" t="str">
        <f>IFERROR(_xlfn.XLOOKUP(Tabla2[[#This Row],[PRODUCTO]],Tabla1[PRODUCTO],Tabla1[CODIGO]),"")</f>
        <v>HM-23</v>
      </c>
      <c r="D384" s="31" t="s">
        <v>390</v>
      </c>
      <c r="E384" s="31" t="str">
        <f>IFERROR(VLOOKUP(Tabla2[[#This Row],[CODIGO]],Tabla1[],3,0),"")</f>
        <v>HERRAMIENTAS</v>
      </c>
      <c r="F384" s="28" t="str">
        <f>IFERROR(VLOOKUP(Tabla2[[#This Row],[CODIGO]],Tabla1[],5,0),"")</f>
        <v>ALMACEN TICAPAMPA</v>
      </c>
      <c r="G384" s="26" t="str">
        <f>IFERROR(VLOOKUP(Tabla2[[#This Row],[CODIGO]],Tabla1[],6,0),"")</f>
        <v>UNI</v>
      </c>
      <c r="H384" s="26">
        <f>IFERROR(VLOOKUP(Tabla2[[#This Row],[CODIGO]],Tabla1[],10,0),"")</f>
        <v>1</v>
      </c>
      <c r="I384" s="7">
        <v>1</v>
      </c>
      <c r="J384" s="29" t="s">
        <v>320</v>
      </c>
      <c r="K384" s="26" t="str">
        <f>IFERROR(VLOOKUP(Tabla2[[#This Row],[CODIGO]],Tabla1[],11,0),"")</f>
        <v>COMPRA</v>
      </c>
      <c r="L384" s="67"/>
      <c r="M384" s="67"/>
      <c r="N384" s="70"/>
      <c r="O384" s="70">
        <f>Tabla2[[#This Row],[CANTIDAD]]*Tabla2[[#This Row],[PREC. UNITARIO]]</f>
        <v>0</v>
      </c>
      <c r="R384" t="str">
        <f>Tabla2[[#This Row],[QUIEN RECIBE]]&amp;"-"&amp;TEXT(Tabla2[[#This Row],[FECHA]],"dd/mm/yyyy")</f>
        <v>-24/09/2025</v>
      </c>
    </row>
    <row r="385" spans="2:18" ht="20.45" hidden="1" customHeight="1" x14ac:dyDescent="0.25">
      <c r="B385" s="5">
        <v>45924</v>
      </c>
      <c r="C385" s="2" t="str">
        <f>IFERROR(_xlfn.XLOOKUP(Tabla2[[#This Row],[PRODUCTO]],Tabla1[PRODUCTO],Tabla1[CODIGO]),"")</f>
        <v>HM-24</v>
      </c>
      <c r="D385" s="31" t="s">
        <v>391</v>
      </c>
      <c r="E385" s="31" t="str">
        <f>IFERROR(VLOOKUP(Tabla2[[#This Row],[CODIGO]],Tabla1[],3,0),"")</f>
        <v>HERRAMIENTAS</v>
      </c>
      <c r="F385" s="28" t="str">
        <f>IFERROR(VLOOKUP(Tabla2[[#This Row],[CODIGO]],Tabla1[],5,0),"")</f>
        <v>ALMACEN TICAPAMPA</v>
      </c>
      <c r="G385" s="26" t="str">
        <f>IFERROR(VLOOKUP(Tabla2[[#This Row],[CODIGO]],Tabla1[],6,0),"")</f>
        <v>UNI</v>
      </c>
      <c r="H385" s="26">
        <f>IFERROR(VLOOKUP(Tabla2[[#This Row],[CODIGO]],Tabla1[],10,0),"")</f>
        <v>1</v>
      </c>
      <c r="I385" s="7">
        <v>1</v>
      </c>
      <c r="J385" s="29" t="s">
        <v>320</v>
      </c>
      <c r="K385" s="26" t="str">
        <f>IFERROR(VLOOKUP(Tabla2[[#This Row],[CODIGO]],Tabla1[],11,0),"")</f>
        <v>COMPRA</v>
      </c>
      <c r="L385" s="67"/>
      <c r="M385" s="67"/>
      <c r="N385" s="70"/>
      <c r="O385" s="70">
        <f>Tabla2[[#This Row],[CANTIDAD]]*Tabla2[[#This Row],[PREC. UNITARIO]]</f>
        <v>0</v>
      </c>
      <c r="R385" t="str">
        <f>Tabla2[[#This Row],[QUIEN RECIBE]]&amp;"-"&amp;TEXT(Tabla2[[#This Row],[FECHA]],"dd/mm/yyyy")</f>
        <v>-24/09/2025</v>
      </c>
    </row>
    <row r="386" spans="2:18" ht="20.45" hidden="1" customHeight="1" x14ac:dyDescent="0.25">
      <c r="B386" s="5">
        <v>45924</v>
      </c>
      <c r="C386" s="2" t="str">
        <f>IFERROR(_xlfn.XLOOKUP(Tabla2[[#This Row],[PRODUCTO]],Tabla1[PRODUCTO],Tabla1[CODIGO]),"")</f>
        <v>UE-58</v>
      </c>
      <c r="D386" s="31" t="s">
        <v>421</v>
      </c>
      <c r="E386" s="31" t="str">
        <f>IFERROR(VLOOKUP(Tabla2[[#This Row],[CODIGO]],Tabla1[],3,0),"")</f>
        <v>UTILES DE ESCRITORIO</v>
      </c>
      <c r="F386" s="28" t="str">
        <f>IFERROR(VLOOKUP(Tabla2[[#This Row],[CODIGO]],Tabla1[],5,0),"")</f>
        <v>ALMACEN TICAPAMPA</v>
      </c>
      <c r="G386" s="26" t="str">
        <f>IFERROR(VLOOKUP(Tabla2[[#This Row],[CODIGO]],Tabla1[],6,0),"")</f>
        <v>UNI</v>
      </c>
      <c r="H386" s="26">
        <f>IFERROR(VLOOKUP(Tabla2[[#This Row],[CODIGO]],Tabla1[],10,0),"")</f>
        <v>28</v>
      </c>
      <c r="I386" s="7">
        <v>24</v>
      </c>
      <c r="J386" s="29" t="s">
        <v>320</v>
      </c>
      <c r="K386" s="26" t="str">
        <f>IFERROR(VLOOKUP(Tabla2[[#This Row],[CODIGO]],Tabla1[],11,0),"")</f>
        <v>COMPRA</v>
      </c>
      <c r="L386" s="67"/>
      <c r="M386" s="67"/>
      <c r="N386" s="70"/>
      <c r="O386" s="70">
        <f>Tabla2[[#This Row],[CANTIDAD]]*Tabla2[[#This Row],[PREC. UNITARIO]]</f>
        <v>0</v>
      </c>
      <c r="R386" t="str">
        <f>Tabla2[[#This Row],[QUIEN RECIBE]]&amp;"-"&amp;TEXT(Tabla2[[#This Row],[FECHA]],"dd/mm/yyyy")</f>
        <v>-24/09/2025</v>
      </c>
    </row>
    <row r="387" spans="2:18" ht="20.45" hidden="1" customHeight="1" x14ac:dyDescent="0.25">
      <c r="B387" s="5">
        <v>45926</v>
      </c>
      <c r="C387" s="2" t="str">
        <f>IFERROR(_xlfn.XLOOKUP(Tabla2[[#This Row],[PRODUCTO]],Tabla1[PRODUCTO],Tabla1[CODIGO]),"")</f>
        <v>UE-58</v>
      </c>
      <c r="D387" s="31" t="s">
        <v>421</v>
      </c>
      <c r="E387" s="31" t="str">
        <f>IFERROR(VLOOKUP(Tabla2[[#This Row],[CODIGO]],Tabla1[],3,0),"")</f>
        <v>UTILES DE ESCRITORIO</v>
      </c>
      <c r="F387" s="28" t="str">
        <f>IFERROR(VLOOKUP(Tabla2[[#This Row],[CODIGO]],Tabla1[],5,0),"")</f>
        <v>ALMACEN TICAPAMPA</v>
      </c>
      <c r="G387" s="26" t="str">
        <f>IFERROR(VLOOKUP(Tabla2[[#This Row],[CODIGO]],Tabla1[],6,0),"")</f>
        <v>UNI</v>
      </c>
      <c r="H387" s="26">
        <f>IFERROR(VLOOKUP(Tabla2[[#This Row],[CODIGO]],Tabla1[],10,0),"")</f>
        <v>28</v>
      </c>
      <c r="I387" s="7">
        <v>-3</v>
      </c>
      <c r="J387" s="29" t="s">
        <v>383</v>
      </c>
      <c r="K387" s="26" t="str">
        <f>IFERROR(VLOOKUP(Tabla2[[#This Row],[CODIGO]],Tabla1[],11,0),"")</f>
        <v>COMPRA</v>
      </c>
      <c r="L387" s="67" t="s">
        <v>236</v>
      </c>
      <c r="M387" s="67" t="s">
        <v>472</v>
      </c>
      <c r="N387" s="70"/>
      <c r="O387" s="70">
        <f>Tabla2[[#This Row],[CANTIDAD]]*Tabla2[[#This Row],[PREC. UNITARIO]]</f>
        <v>0</v>
      </c>
      <c r="R387" t="str">
        <f>Tabla2[[#This Row],[QUIEN RECIBE]]&amp;"-"&amp;TEXT(Tabla2[[#This Row],[FECHA]],"dd/mm/yyyy")</f>
        <v>ACUACHI LANCHIPA ERNESTO ALONSO-26/09/2025</v>
      </c>
    </row>
    <row r="388" spans="2:18" ht="20.45" hidden="1" customHeight="1" x14ac:dyDescent="0.25">
      <c r="B388" s="5">
        <v>45926</v>
      </c>
      <c r="C388" s="2" t="str">
        <f>IFERROR(_xlfn.XLOOKUP(Tabla2[[#This Row],[PRODUCTO]],Tabla1[PRODUCTO],Tabla1[CODIGO]),"")</f>
        <v>UE-58</v>
      </c>
      <c r="D388" s="31" t="s">
        <v>421</v>
      </c>
      <c r="E388" s="31" t="str">
        <f>IFERROR(VLOOKUP(Tabla2[[#This Row],[CODIGO]],Tabla1[],3,0),"")</f>
        <v>UTILES DE ESCRITORIO</v>
      </c>
      <c r="F388" s="28" t="str">
        <f>IFERROR(VLOOKUP(Tabla2[[#This Row],[CODIGO]],Tabla1[],5,0),"")</f>
        <v>ALMACEN TICAPAMPA</v>
      </c>
      <c r="G388" s="26" t="str">
        <f>IFERROR(VLOOKUP(Tabla2[[#This Row],[CODIGO]],Tabla1[],6,0),"")</f>
        <v>UNI</v>
      </c>
      <c r="H388" s="26">
        <f>IFERROR(VLOOKUP(Tabla2[[#This Row],[CODIGO]],Tabla1[],10,0),"")</f>
        <v>28</v>
      </c>
      <c r="I388" s="7">
        <v>-1</v>
      </c>
      <c r="J388" s="29" t="s">
        <v>350</v>
      </c>
      <c r="K388" s="26" t="str">
        <f>IFERROR(VLOOKUP(Tabla2[[#This Row],[CODIGO]],Tabla1[],11,0),"")</f>
        <v>COMPRA</v>
      </c>
      <c r="L388" s="67" t="s">
        <v>250</v>
      </c>
      <c r="M388" s="67" t="s">
        <v>241</v>
      </c>
      <c r="N388" s="70"/>
      <c r="O388" s="70">
        <f>Tabla2[[#This Row],[CANTIDAD]]*Tabla2[[#This Row],[PREC. UNITARIO]]</f>
        <v>0</v>
      </c>
      <c r="R388" t="str">
        <f>Tabla2[[#This Row],[QUIEN RECIBE]]&amp;"-"&amp;TEXT(Tabla2[[#This Row],[FECHA]],"dd/mm/yyyy")</f>
        <v>PIÑA CHUJANDAMA, KEVIN-26/09/2025</v>
      </c>
    </row>
    <row r="389" spans="2:18" ht="20.45" hidden="1" customHeight="1" x14ac:dyDescent="0.25">
      <c r="B389" s="5">
        <v>45926</v>
      </c>
      <c r="C389" s="2" t="str">
        <f>IFERROR(_xlfn.XLOOKUP(Tabla2[[#This Row],[PRODUCTO]],Tabla1[PRODUCTO],Tabla1[CODIGO]),"")</f>
        <v>AF-1</v>
      </c>
      <c r="D389" s="31" t="s">
        <v>92</v>
      </c>
      <c r="E389" s="31" t="str">
        <f>IFERROR(VLOOKUP(Tabla2[[#This Row],[CODIGO]],Tabla1[],3,0),"")</f>
        <v>ALAMBRES Y FIERROS</v>
      </c>
      <c r="F389" s="28" t="str">
        <f>IFERROR(VLOOKUP(Tabla2[[#This Row],[CODIGO]],Tabla1[],5,0),"")</f>
        <v>ALMACEN TICAPAMPA</v>
      </c>
      <c r="G389" s="26" t="str">
        <f>IFERROR(VLOOKUP(Tabla2[[#This Row],[CODIGO]],Tabla1[],6,0),"")</f>
        <v>ROL</v>
      </c>
      <c r="H389" s="26">
        <f>IFERROR(VLOOKUP(Tabla2[[#This Row],[CODIGO]],Tabla1[],10,0),"")</f>
        <v>4</v>
      </c>
      <c r="I389" s="7">
        <v>-1</v>
      </c>
      <c r="J389" s="29" t="s">
        <v>350</v>
      </c>
      <c r="K389" s="26" t="str">
        <f>IFERROR(VLOOKUP(Tabla2[[#This Row],[CODIGO]],Tabla1[],11,0),"")</f>
        <v>COMPRA</v>
      </c>
      <c r="L389" s="67" t="s">
        <v>250</v>
      </c>
      <c r="M389" s="67" t="s">
        <v>240</v>
      </c>
      <c r="N389" s="70"/>
      <c r="O389" s="70">
        <f>Tabla2[[#This Row],[CANTIDAD]]*Tabla2[[#This Row],[PREC. UNITARIO]]</f>
        <v>0</v>
      </c>
      <c r="R389" t="str">
        <f>Tabla2[[#This Row],[QUIEN RECIBE]]&amp;"-"&amp;TEXT(Tabla2[[#This Row],[FECHA]],"dd/mm/yyyy")</f>
        <v>LOZANO MALDONADO, HERNAN-26/09/2025</v>
      </c>
    </row>
    <row r="390" spans="2:18" ht="20.45" hidden="1" customHeight="1" x14ac:dyDescent="0.25">
      <c r="B390" s="5">
        <v>45924</v>
      </c>
      <c r="C390" s="2" t="str">
        <f>IFERROR(_xlfn.XLOOKUP(Tabla2[[#This Row],[PRODUCTO]],Tabla1[PRODUCTO],Tabla1[CODIGO]),"")</f>
        <v>HM-25</v>
      </c>
      <c r="D390" s="31" t="s">
        <v>392</v>
      </c>
      <c r="E390" s="31" t="str">
        <f>IFERROR(VLOOKUP(Tabla2[[#This Row],[CODIGO]],Tabla1[],3,0),"")</f>
        <v>HERRAMIENTAS</v>
      </c>
      <c r="F390" s="28" t="str">
        <f>IFERROR(VLOOKUP(Tabla2[[#This Row],[CODIGO]],Tabla1[],5,0),"")</f>
        <v>ALMACEN TICAPAMPA</v>
      </c>
      <c r="G390" s="26" t="str">
        <f>IFERROR(VLOOKUP(Tabla2[[#This Row],[CODIGO]],Tabla1[],6,0),"")</f>
        <v>UNI</v>
      </c>
      <c r="H390" s="26">
        <f>IFERROR(VLOOKUP(Tabla2[[#This Row],[CODIGO]],Tabla1[],10,0),"")</f>
        <v>1</v>
      </c>
      <c r="I390" s="7">
        <v>1</v>
      </c>
      <c r="J390" s="29" t="s">
        <v>320</v>
      </c>
      <c r="K390" s="26" t="str">
        <f>IFERROR(VLOOKUP(Tabla2[[#This Row],[CODIGO]],Tabla1[],11,0),"")</f>
        <v>COMPRA</v>
      </c>
      <c r="L390" s="67"/>
      <c r="M390" s="67"/>
      <c r="N390" s="70"/>
      <c r="O390" s="70">
        <f>Tabla2[[#This Row],[CANTIDAD]]*Tabla2[[#This Row],[PREC. UNITARIO]]</f>
        <v>0</v>
      </c>
      <c r="R390" t="str">
        <f>Tabla2[[#This Row],[QUIEN RECIBE]]&amp;"-"&amp;TEXT(Tabla2[[#This Row],[FECHA]],"dd/mm/yyyy")</f>
        <v>-24/09/2025</v>
      </c>
    </row>
    <row r="391" spans="2:18" ht="20.45" hidden="1" customHeight="1" x14ac:dyDescent="0.25">
      <c r="B391" s="5">
        <v>45924</v>
      </c>
      <c r="C391" s="2" t="str">
        <f>IFERROR(_xlfn.XLOOKUP(Tabla2[[#This Row],[PRODUCTO]],Tabla1[PRODUCTO],Tabla1[CODIGO]),"")</f>
        <v>HM-26</v>
      </c>
      <c r="D391" s="31" t="s">
        <v>393</v>
      </c>
      <c r="E391" s="31" t="str">
        <f>IFERROR(VLOOKUP(Tabla2[[#This Row],[CODIGO]],Tabla1[],3,0),"")</f>
        <v>HERRAMIENTAS</v>
      </c>
      <c r="F391" s="28" t="str">
        <f>IFERROR(VLOOKUP(Tabla2[[#This Row],[CODIGO]],Tabla1[],5,0),"")</f>
        <v>ALMACEN TICAPAMPA</v>
      </c>
      <c r="G391" s="26" t="str">
        <f>IFERROR(VLOOKUP(Tabla2[[#This Row],[CODIGO]],Tabla1[],6,0),"")</f>
        <v>UNI</v>
      </c>
      <c r="H391" s="26">
        <f>IFERROR(VLOOKUP(Tabla2[[#This Row],[CODIGO]],Tabla1[],10,0),"")</f>
        <v>1</v>
      </c>
      <c r="I391" s="7">
        <v>1</v>
      </c>
      <c r="J391" s="29" t="s">
        <v>320</v>
      </c>
      <c r="K391" s="26" t="str">
        <f>IFERROR(VLOOKUP(Tabla2[[#This Row],[CODIGO]],Tabla1[],11,0),"")</f>
        <v>COMPRA</v>
      </c>
      <c r="L391" s="67"/>
      <c r="M391" s="67"/>
      <c r="N391" s="70"/>
      <c r="O391" s="70">
        <f>Tabla2[[#This Row],[CANTIDAD]]*Tabla2[[#This Row],[PREC. UNITARIO]]</f>
        <v>0</v>
      </c>
      <c r="R391" t="str">
        <f>Tabla2[[#This Row],[QUIEN RECIBE]]&amp;"-"&amp;TEXT(Tabla2[[#This Row],[FECHA]],"dd/mm/yyyy")</f>
        <v>-24/09/2025</v>
      </c>
    </row>
    <row r="392" spans="2:18" ht="20.45" hidden="1" customHeight="1" x14ac:dyDescent="0.25">
      <c r="B392" s="5">
        <v>45924</v>
      </c>
      <c r="C392" s="2" t="str">
        <f>IFERROR(_xlfn.XLOOKUP(Tabla2[[#This Row],[PRODUCTO]],Tabla1[PRODUCTO],Tabla1[CODIGO]),"")</f>
        <v>HM-27</v>
      </c>
      <c r="D392" s="31" t="s">
        <v>394</v>
      </c>
      <c r="E392" s="31" t="str">
        <f>IFERROR(VLOOKUP(Tabla2[[#This Row],[CODIGO]],Tabla1[],3,0),"")</f>
        <v>HERRAMIENTAS</v>
      </c>
      <c r="F392" s="28" t="str">
        <f>IFERROR(VLOOKUP(Tabla2[[#This Row],[CODIGO]],Tabla1[],5,0),"")</f>
        <v>ALMACEN TICAPAMPA</v>
      </c>
      <c r="G392" s="26" t="str">
        <f>IFERROR(VLOOKUP(Tabla2[[#This Row],[CODIGO]],Tabla1[],6,0),"")</f>
        <v>UNI</v>
      </c>
      <c r="H392" s="26">
        <f>IFERROR(VLOOKUP(Tabla2[[#This Row],[CODIGO]],Tabla1[],10,0),"")</f>
        <v>1</v>
      </c>
      <c r="I392" s="7">
        <v>1</v>
      </c>
      <c r="J392" s="29" t="s">
        <v>320</v>
      </c>
      <c r="K392" s="26" t="str">
        <f>IFERROR(VLOOKUP(Tabla2[[#This Row],[CODIGO]],Tabla1[],11,0),"")</f>
        <v>COMPRA</v>
      </c>
      <c r="L392" s="67"/>
      <c r="M392" s="67"/>
      <c r="N392" s="70"/>
      <c r="O392" s="70">
        <f>Tabla2[[#This Row],[CANTIDAD]]*Tabla2[[#This Row],[PREC. UNITARIO]]</f>
        <v>0</v>
      </c>
      <c r="R392" t="str">
        <f>Tabla2[[#This Row],[QUIEN RECIBE]]&amp;"-"&amp;TEXT(Tabla2[[#This Row],[FECHA]],"dd/mm/yyyy")</f>
        <v>-24/09/2025</v>
      </c>
    </row>
    <row r="393" spans="2:18" ht="20.45" hidden="1" customHeight="1" x14ac:dyDescent="0.25">
      <c r="B393" s="5">
        <v>45924</v>
      </c>
      <c r="C393" s="2" t="str">
        <f>IFERROR(_xlfn.XLOOKUP(Tabla2[[#This Row],[PRODUCTO]],Tabla1[PRODUCTO],Tabla1[CODIGO]),"")</f>
        <v>HM-28</v>
      </c>
      <c r="D393" s="31" t="s">
        <v>395</v>
      </c>
      <c r="E393" s="31" t="str">
        <f>IFERROR(VLOOKUP(Tabla2[[#This Row],[CODIGO]],Tabla1[],3,0),"")</f>
        <v>HERRAMIENTAS</v>
      </c>
      <c r="F393" s="28" t="str">
        <f>IFERROR(VLOOKUP(Tabla2[[#This Row],[CODIGO]],Tabla1[],5,0),"")</f>
        <v>ALMACEN TICAPAMPA</v>
      </c>
      <c r="G393" s="26" t="str">
        <f>IFERROR(VLOOKUP(Tabla2[[#This Row],[CODIGO]],Tabla1[],6,0),"")</f>
        <v>UNI</v>
      </c>
      <c r="H393" s="26">
        <f>IFERROR(VLOOKUP(Tabla2[[#This Row],[CODIGO]],Tabla1[],10,0),"")</f>
        <v>1</v>
      </c>
      <c r="I393" s="7">
        <v>1</v>
      </c>
      <c r="J393" s="29" t="s">
        <v>320</v>
      </c>
      <c r="K393" s="26" t="str">
        <f>IFERROR(VLOOKUP(Tabla2[[#This Row],[CODIGO]],Tabla1[],11,0),"")</f>
        <v>COMPRA</v>
      </c>
      <c r="L393" s="67"/>
      <c r="M393" s="67"/>
      <c r="N393" s="70"/>
      <c r="O393" s="70">
        <f>Tabla2[[#This Row],[CANTIDAD]]*Tabla2[[#This Row],[PREC. UNITARIO]]</f>
        <v>0</v>
      </c>
      <c r="R393" t="str">
        <f>Tabla2[[#This Row],[QUIEN RECIBE]]&amp;"-"&amp;TEXT(Tabla2[[#This Row],[FECHA]],"dd/mm/yyyy")</f>
        <v>-24/09/2025</v>
      </c>
    </row>
    <row r="394" spans="2:18" ht="20.45" hidden="1" customHeight="1" x14ac:dyDescent="0.25">
      <c r="B394" s="5">
        <v>45924</v>
      </c>
      <c r="C394" s="2" t="str">
        <f>IFERROR(_xlfn.XLOOKUP(Tabla2[[#This Row],[PRODUCTO]],Tabla1[PRODUCTO],Tabla1[CODIGO]),"")</f>
        <v>HM-29</v>
      </c>
      <c r="D394" s="31" t="s">
        <v>396</v>
      </c>
      <c r="E394" s="31" t="str">
        <f>IFERROR(VLOOKUP(Tabla2[[#This Row],[CODIGO]],Tabla1[],3,0),"")</f>
        <v>HERRAMIENTAS</v>
      </c>
      <c r="F394" s="28" t="str">
        <f>IFERROR(VLOOKUP(Tabla2[[#This Row],[CODIGO]],Tabla1[],5,0),"")</f>
        <v>ALMACEN TICAPAMPA</v>
      </c>
      <c r="G394" s="26" t="str">
        <f>IFERROR(VLOOKUP(Tabla2[[#This Row],[CODIGO]],Tabla1[],6,0),"")</f>
        <v>UNI</v>
      </c>
      <c r="H394" s="26">
        <f>IFERROR(VLOOKUP(Tabla2[[#This Row],[CODIGO]],Tabla1[],10,0),"")</f>
        <v>1</v>
      </c>
      <c r="I394" s="7">
        <v>1</v>
      </c>
      <c r="J394" s="29" t="s">
        <v>320</v>
      </c>
      <c r="K394" s="26" t="str">
        <f>IFERROR(VLOOKUP(Tabla2[[#This Row],[CODIGO]],Tabla1[],11,0),"")</f>
        <v>COMPRA</v>
      </c>
      <c r="L394" s="67"/>
      <c r="M394" s="67"/>
      <c r="N394" s="70"/>
      <c r="O394" s="70">
        <f>Tabla2[[#This Row],[CANTIDAD]]*Tabla2[[#This Row],[PREC. UNITARIO]]</f>
        <v>0</v>
      </c>
      <c r="R394" t="str">
        <f>Tabla2[[#This Row],[QUIEN RECIBE]]&amp;"-"&amp;TEXT(Tabla2[[#This Row],[FECHA]],"dd/mm/yyyy")</f>
        <v>-24/09/2025</v>
      </c>
    </row>
    <row r="395" spans="2:18" ht="20.45" hidden="1" customHeight="1" x14ac:dyDescent="0.25">
      <c r="B395" s="5">
        <v>45924</v>
      </c>
      <c r="C395" s="2" t="str">
        <f>IFERROR(_xlfn.XLOOKUP(Tabla2[[#This Row],[PRODUCTO]],Tabla1[PRODUCTO],Tabla1[CODIGO]),"")</f>
        <v>HM-30</v>
      </c>
      <c r="D395" s="31" t="s">
        <v>397</v>
      </c>
      <c r="E395" s="31" t="str">
        <f>IFERROR(VLOOKUP(Tabla2[[#This Row],[CODIGO]],Tabla1[],3,0),"")</f>
        <v>HERRAMIENTAS</v>
      </c>
      <c r="F395" s="28" t="str">
        <f>IFERROR(VLOOKUP(Tabla2[[#This Row],[CODIGO]],Tabla1[],5,0),"")</f>
        <v>ALMACEN TICAPAMPA</v>
      </c>
      <c r="G395" s="26" t="str">
        <f>IFERROR(VLOOKUP(Tabla2[[#This Row],[CODIGO]],Tabla1[],6,0),"")</f>
        <v>UNI</v>
      </c>
      <c r="H395" s="26">
        <f>IFERROR(VLOOKUP(Tabla2[[#This Row],[CODIGO]],Tabla1[],10,0),"")</f>
        <v>1</v>
      </c>
      <c r="I395" s="7">
        <v>1</v>
      </c>
      <c r="J395" s="29" t="s">
        <v>320</v>
      </c>
      <c r="K395" s="26" t="str">
        <f>IFERROR(VLOOKUP(Tabla2[[#This Row],[CODIGO]],Tabla1[],11,0),"")</f>
        <v>COMPRA</v>
      </c>
      <c r="L395" s="67"/>
      <c r="M395" s="67"/>
      <c r="N395" s="70"/>
      <c r="O395" s="70">
        <f>Tabla2[[#This Row],[CANTIDAD]]*Tabla2[[#This Row],[PREC. UNITARIO]]</f>
        <v>0</v>
      </c>
      <c r="R395" t="str">
        <f>Tabla2[[#This Row],[QUIEN RECIBE]]&amp;"-"&amp;TEXT(Tabla2[[#This Row],[FECHA]],"dd/mm/yyyy")</f>
        <v>-24/09/2025</v>
      </c>
    </row>
    <row r="396" spans="2:18" ht="20.45" hidden="1" customHeight="1" x14ac:dyDescent="0.25">
      <c r="B396" s="5">
        <v>45924</v>
      </c>
      <c r="C396" s="2" t="str">
        <f>IFERROR(_xlfn.XLOOKUP(Tabla2[[#This Row],[PRODUCTO]],Tabla1[PRODUCTO],Tabla1[CODIGO]),"")</f>
        <v>HM-31</v>
      </c>
      <c r="D396" s="31" t="s">
        <v>398</v>
      </c>
      <c r="E396" s="31" t="str">
        <f>IFERROR(VLOOKUP(Tabla2[[#This Row],[CODIGO]],Tabla1[],3,0),"")</f>
        <v>HERRAMIENTAS</v>
      </c>
      <c r="F396" s="28" t="str">
        <f>IFERROR(VLOOKUP(Tabla2[[#This Row],[CODIGO]],Tabla1[],5,0),"")</f>
        <v>ALMACEN TICAPAMPA</v>
      </c>
      <c r="G396" s="26" t="str">
        <f>IFERROR(VLOOKUP(Tabla2[[#This Row],[CODIGO]],Tabla1[],6,0),"")</f>
        <v>UNI</v>
      </c>
      <c r="H396" s="26">
        <f>IFERROR(VLOOKUP(Tabla2[[#This Row],[CODIGO]],Tabla1[],10,0),"")</f>
        <v>1</v>
      </c>
      <c r="I396" s="7">
        <v>1</v>
      </c>
      <c r="J396" s="29" t="s">
        <v>320</v>
      </c>
      <c r="K396" s="26" t="str">
        <f>IFERROR(VLOOKUP(Tabla2[[#This Row],[CODIGO]],Tabla1[],11,0),"")</f>
        <v>COMPRA</v>
      </c>
      <c r="L396" s="67"/>
      <c r="M396" s="67"/>
      <c r="N396" s="70"/>
      <c r="O396" s="70">
        <f>Tabla2[[#This Row],[CANTIDAD]]*Tabla2[[#This Row],[PREC. UNITARIO]]</f>
        <v>0</v>
      </c>
      <c r="R396" t="str">
        <f>Tabla2[[#This Row],[QUIEN RECIBE]]&amp;"-"&amp;TEXT(Tabla2[[#This Row],[FECHA]],"dd/mm/yyyy")</f>
        <v>-24/09/2025</v>
      </c>
    </row>
    <row r="397" spans="2:18" ht="20.45" hidden="1" customHeight="1" x14ac:dyDescent="0.25">
      <c r="B397" s="5">
        <v>45924</v>
      </c>
      <c r="C397" s="2" t="str">
        <f>IFERROR(_xlfn.XLOOKUP(Tabla2[[#This Row],[PRODUCTO]],Tabla1[PRODUCTO],Tabla1[CODIGO]),"")</f>
        <v>HM-32</v>
      </c>
      <c r="D397" s="31" t="s">
        <v>399</v>
      </c>
      <c r="E397" s="31" t="str">
        <f>IFERROR(VLOOKUP(Tabla2[[#This Row],[CODIGO]],Tabla1[],3,0),"")</f>
        <v>HERRAMIENTAS</v>
      </c>
      <c r="F397" s="28" t="str">
        <f>IFERROR(VLOOKUP(Tabla2[[#This Row],[CODIGO]],Tabla1[],5,0),"")</f>
        <v>ALMACEN TICAPAMPA</v>
      </c>
      <c r="G397" s="26" t="str">
        <f>IFERROR(VLOOKUP(Tabla2[[#This Row],[CODIGO]],Tabla1[],6,0),"")</f>
        <v>UNI</v>
      </c>
      <c r="H397" s="26">
        <f>IFERROR(VLOOKUP(Tabla2[[#This Row],[CODIGO]],Tabla1[],10,0),"")</f>
        <v>1</v>
      </c>
      <c r="I397" s="7">
        <v>1</v>
      </c>
      <c r="J397" s="29" t="s">
        <v>320</v>
      </c>
      <c r="K397" s="26" t="str">
        <f>IFERROR(VLOOKUP(Tabla2[[#This Row],[CODIGO]],Tabla1[],11,0),"")</f>
        <v>COMPRA</v>
      </c>
      <c r="L397" s="67"/>
      <c r="M397" s="67"/>
      <c r="N397" s="70"/>
      <c r="O397" s="70">
        <f>Tabla2[[#This Row],[CANTIDAD]]*Tabla2[[#This Row],[PREC. UNITARIO]]</f>
        <v>0</v>
      </c>
      <c r="R397" t="str">
        <f>Tabla2[[#This Row],[QUIEN RECIBE]]&amp;"-"&amp;TEXT(Tabla2[[#This Row],[FECHA]],"dd/mm/yyyy")</f>
        <v>-24/09/2025</v>
      </c>
    </row>
    <row r="398" spans="2:18" ht="20.45" hidden="1" customHeight="1" x14ac:dyDescent="0.25">
      <c r="B398" s="5">
        <v>45924</v>
      </c>
      <c r="C398" s="2" t="str">
        <f>IFERROR(_xlfn.XLOOKUP(Tabla2[[#This Row],[PRODUCTO]],Tabla1[PRODUCTO],Tabla1[CODIGO]),"")</f>
        <v>HM-33</v>
      </c>
      <c r="D398" s="31" t="s">
        <v>400</v>
      </c>
      <c r="E398" s="31" t="str">
        <f>IFERROR(VLOOKUP(Tabla2[[#This Row],[CODIGO]],Tabla1[],3,0),"")</f>
        <v>HERRAMIENTAS</v>
      </c>
      <c r="F398" s="28" t="str">
        <f>IFERROR(VLOOKUP(Tabla2[[#This Row],[CODIGO]],Tabla1[],5,0),"")</f>
        <v>ALMACEN TICAPAMPA</v>
      </c>
      <c r="G398" s="26" t="str">
        <f>IFERROR(VLOOKUP(Tabla2[[#This Row],[CODIGO]],Tabla1[],6,0),"")</f>
        <v>UNI</v>
      </c>
      <c r="H398" s="26">
        <f>IFERROR(VLOOKUP(Tabla2[[#This Row],[CODIGO]],Tabla1[],10,0),"")</f>
        <v>1</v>
      </c>
      <c r="I398" s="7">
        <v>1</v>
      </c>
      <c r="J398" s="29" t="s">
        <v>320</v>
      </c>
      <c r="K398" s="26" t="str">
        <f>IFERROR(VLOOKUP(Tabla2[[#This Row],[CODIGO]],Tabla1[],11,0),"")</f>
        <v>COMPRA</v>
      </c>
      <c r="L398" s="67"/>
      <c r="M398" s="67"/>
      <c r="N398" s="70"/>
      <c r="O398" s="70">
        <f>Tabla2[[#This Row],[CANTIDAD]]*Tabla2[[#This Row],[PREC. UNITARIO]]</f>
        <v>0</v>
      </c>
      <c r="R398" t="str">
        <f>Tabla2[[#This Row],[QUIEN RECIBE]]&amp;"-"&amp;TEXT(Tabla2[[#This Row],[FECHA]],"dd/mm/yyyy")</f>
        <v>-24/09/2025</v>
      </c>
    </row>
    <row r="399" spans="2:18" ht="20.45" hidden="1" customHeight="1" x14ac:dyDescent="0.25">
      <c r="B399" s="5">
        <v>45924</v>
      </c>
      <c r="C399" s="2" t="str">
        <f>IFERROR(_xlfn.XLOOKUP(Tabla2[[#This Row],[PRODUCTO]],Tabla1[PRODUCTO],Tabla1[CODIGO]),"")</f>
        <v>HM-34</v>
      </c>
      <c r="D399" s="31" t="s">
        <v>401</v>
      </c>
      <c r="E399" s="31" t="str">
        <f>IFERROR(VLOOKUP(Tabla2[[#This Row],[CODIGO]],Tabla1[],3,0),"")</f>
        <v>HERRAMIENTAS</v>
      </c>
      <c r="F399" s="28" t="str">
        <f>IFERROR(VLOOKUP(Tabla2[[#This Row],[CODIGO]],Tabla1[],5,0),"")</f>
        <v>ALMACEN TICAPAMPA</v>
      </c>
      <c r="G399" s="26" t="str">
        <f>IFERROR(VLOOKUP(Tabla2[[#This Row],[CODIGO]],Tabla1[],6,0),"")</f>
        <v>UNI</v>
      </c>
      <c r="H399" s="26">
        <f>IFERROR(VLOOKUP(Tabla2[[#This Row],[CODIGO]],Tabla1[],10,0),"")</f>
        <v>1</v>
      </c>
      <c r="I399" s="7">
        <v>1</v>
      </c>
      <c r="J399" s="29" t="s">
        <v>320</v>
      </c>
      <c r="K399" s="26" t="str">
        <f>IFERROR(VLOOKUP(Tabla2[[#This Row],[CODIGO]],Tabla1[],11,0),"")</f>
        <v>COMPRA</v>
      </c>
      <c r="L399" s="67"/>
      <c r="M399" s="67"/>
      <c r="N399" s="70"/>
      <c r="O399" s="70">
        <f>Tabla2[[#This Row],[CANTIDAD]]*Tabla2[[#This Row],[PREC. UNITARIO]]</f>
        <v>0</v>
      </c>
      <c r="R399" t="str">
        <f>Tabla2[[#This Row],[QUIEN RECIBE]]&amp;"-"&amp;TEXT(Tabla2[[#This Row],[FECHA]],"dd/mm/yyyy")</f>
        <v>-24/09/2025</v>
      </c>
    </row>
    <row r="400" spans="2:18" ht="20.45" hidden="1" customHeight="1" x14ac:dyDescent="0.25">
      <c r="B400" s="5">
        <v>45924</v>
      </c>
      <c r="C400" s="2" t="str">
        <f>IFERROR(_xlfn.XLOOKUP(Tabla2[[#This Row],[PRODUCTO]],Tabla1[PRODUCTO],Tabla1[CODIGO]),"")</f>
        <v>HM-35</v>
      </c>
      <c r="D400" s="31" t="s">
        <v>402</v>
      </c>
      <c r="E400" s="31" t="str">
        <f>IFERROR(VLOOKUP(Tabla2[[#This Row],[CODIGO]],Tabla1[],3,0),"")</f>
        <v>HERRAMIENTAS</v>
      </c>
      <c r="F400" s="28" t="str">
        <f>IFERROR(VLOOKUP(Tabla2[[#This Row],[CODIGO]],Tabla1[],5,0),"")</f>
        <v>ALMACEN TICAPAMPA</v>
      </c>
      <c r="G400" s="26" t="str">
        <f>IFERROR(VLOOKUP(Tabla2[[#This Row],[CODIGO]],Tabla1[],6,0),"")</f>
        <v>UNI</v>
      </c>
      <c r="H400" s="26">
        <f>IFERROR(VLOOKUP(Tabla2[[#This Row],[CODIGO]],Tabla1[],10,0),"")</f>
        <v>1</v>
      </c>
      <c r="I400" s="7">
        <v>1</v>
      </c>
      <c r="J400" s="29" t="s">
        <v>320</v>
      </c>
      <c r="K400" s="26" t="str">
        <f>IFERROR(VLOOKUP(Tabla2[[#This Row],[CODIGO]],Tabla1[],11,0),"")</f>
        <v>COMPRA</v>
      </c>
      <c r="L400" s="67"/>
      <c r="M400" s="67"/>
      <c r="N400" s="70"/>
      <c r="O400" s="70">
        <f>Tabla2[[#This Row],[CANTIDAD]]*Tabla2[[#This Row],[PREC. UNITARIO]]</f>
        <v>0</v>
      </c>
      <c r="R400" t="str">
        <f>Tabla2[[#This Row],[QUIEN RECIBE]]&amp;"-"&amp;TEXT(Tabla2[[#This Row],[FECHA]],"dd/mm/yyyy")</f>
        <v>-24/09/2025</v>
      </c>
    </row>
    <row r="401" spans="2:18" ht="20.45" hidden="1" customHeight="1" x14ac:dyDescent="0.25">
      <c r="B401" s="5">
        <v>45924</v>
      </c>
      <c r="C401" s="2" t="str">
        <f>IFERROR(_xlfn.XLOOKUP(Tabla2[[#This Row],[PRODUCTO]],Tabla1[PRODUCTO],Tabla1[CODIGO]),"")</f>
        <v>HM-38</v>
      </c>
      <c r="D401" s="31" t="s">
        <v>405</v>
      </c>
      <c r="E401" s="31" t="str">
        <f>IFERROR(VLOOKUP(Tabla2[[#This Row],[CODIGO]],Tabla1[],3,0),"")</f>
        <v>HERRAMIENTAS</v>
      </c>
      <c r="F401" s="28" t="str">
        <f>IFERROR(VLOOKUP(Tabla2[[#This Row],[CODIGO]],Tabla1[],5,0),"")</f>
        <v>ALMACEN TICAPAMPA</v>
      </c>
      <c r="G401" s="26" t="str">
        <f>IFERROR(VLOOKUP(Tabla2[[#This Row],[CODIGO]],Tabla1[],6,0),"")</f>
        <v>UNI</v>
      </c>
      <c r="H401" s="26">
        <f>IFERROR(VLOOKUP(Tabla2[[#This Row],[CODIGO]],Tabla1[],10,0),"")</f>
        <v>1</v>
      </c>
      <c r="I401" s="7">
        <v>1</v>
      </c>
      <c r="J401" s="29" t="s">
        <v>320</v>
      </c>
      <c r="K401" s="26" t="str">
        <f>IFERROR(VLOOKUP(Tabla2[[#This Row],[CODIGO]],Tabla1[],11,0),"")</f>
        <v>COMPRA</v>
      </c>
      <c r="L401" s="67"/>
      <c r="M401" s="67"/>
      <c r="N401" s="70"/>
      <c r="O401" s="70">
        <f>Tabla2[[#This Row],[CANTIDAD]]*Tabla2[[#This Row],[PREC. UNITARIO]]</f>
        <v>0</v>
      </c>
      <c r="R401" t="str">
        <f>Tabla2[[#This Row],[QUIEN RECIBE]]&amp;"-"&amp;TEXT(Tabla2[[#This Row],[FECHA]],"dd/mm/yyyy")</f>
        <v>-24/09/2025</v>
      </c>
    </row>
    <row r="402" spans="2:18" ht="20.45" hidden="1" customHeight="1" x14ac:dyDescent="0.25">
      <c r="B402" s="5">
        <v>45924</v>
      </c>
      <c r="C402" s="2" t="str">
        <f>IFERROR(_xlfn.XLOOKUP(Tabla2[[#This Row],[PRODUCTO]],Tabla1[PRODUCTO],Tabla1[CODIGO]),"")</f>
        <v>HM-41</v>
      </c>
      <c r="D402" s="31" t="s">
        <v>408</v>
      </c>
      <c r="E402" s="31" t="str">
        <f>IFERROR(VLOOKUP(Tabla2[[#This Row],[CODIGO]],Tabla1[],3,0),"")</f>
        <v>HERRAMIENTAS</v>
      </c>
      <c r="F402" s="28" t="str">
        <f>IFERROR(VLOOKUP(Tabla2[[#This Row],[CODIGO]],Tabla1[],5,0),"")</f>
        <v>ALMACEN TICAPAMPA</v>
      </c>
      <c r="G402" s="26" t="str">
        <f>IFERROR(VLOOKUP(Tabla2[[#This Row],[CODIGO]],Tabla1[],6,0),"")</f>
        <v>UNI</v>
      </c>
      <c r="H402" s="26">
        <f>IFERROR(VLOOKUP(Tabla2[[#This Row],[CODIGO]],Tabla1[],10,0),"")</f>
        <v>5</v>
      </c>
      <c r="I402" s="7">
        <v>1</v>
      </c>
      <c r="J402" s="29" t="s">
        <v>320</v>
      </c>
      <c r="K402" s="26" t="str">
        <f>IFERROR(VLOOKUP(Tabla2[[#This Row],[CODIGO]],Tabla1[],11,0),"")</f>
        <v>COMPRA</v>
      </c>
      <c r="L402" s="67"/>
      <c r="M402" s="67"/>
      <c r="N402" s="70"/>
      <c r="O402" s="70">
        <f>Tabla2[[#This Row],[CANTIDAD]]*Tabla2[[#This Row],[PREC. UNITARIO]]</f>
        <v>0</v>
      </c>
      <c r="R402" t="str">
        <f>Tabla2[[#This Row],[QUIEN RECIBE]]&amp;"-"&amp;TEXT(Tabla2[[#This Row],[FECHA]],"dd/mm/yyyy")</f>
        <v>-24/09/2025</v>
      </c>
    </row>
    <row r="403" spans="2:18" ht="20.45" hidden="1" customHeight="1" x14ac:dyDescent="0.25">
      <c r="B403" s="5">
        <v>45924</v>
      </c>
      <c r="C403" s="2" t="str">
        <f>IFERROR(_xlfn.XLOOKUP(Tabla2[[#This Row],[PRODUCTO]],Tabla1[PRODUCTO],Tabla1[CODIGO]),"")</f>
        <v>HM-8</v>
      </c>
      <c r="D403" s="31" t="s">
        <v>326</v>
      </c>
      <c r="E403" s="31" t="str">
        <f>IFERROR(VLOOKUP(Tabla2[[#This Row],[CODIGO]],Tabla1[],3,0),"")</f>
        <v>HERRAMIENTAS</v>
      </c>
      <c r="F403" s="28" t="str">
        <f>IFERROR(VLOOKUP(Tabla2[[#This Row],[CODIGO]],Tabla1[],5,0),"")</f>
        <v>ALMACEN TICAPAMPA</v>
      </c>
      <c r="G403" s="26" t="str">
        <f>IFERROR(VLOOKUP(Tabla2[[#This Row],[CODIGO]],Tabla1[],6,0),"")</f>
        <v>MT</v>
      </c>
      <c r="H403" s="26">
        <f>IFERROR(VLOOKUP(Tabla2[[#This Row],[CODIGO]],Tabla1[],10,0),"")</f>
        <v>100</v>
      </c>
      <c r="I403" s="7">
        <v>100</v>
      </c>
      <c r="J403" s="29" t="s">
        <v>320</v>
      </c>
      <c r="K403" s="26" t="str">
        <f>IFERROR(VLOOKUP(Tabla2[[#This Row],[CODIGO]],Tabla1[],11,0),"")</f>
        <v>COMPRA</v>
      </c>
      <c r="L403" s="67"/>
      <c r="M403" s="67"/>
      <c r="N403" s="70"/>
      <c r="O403" s="70">
        <f>Tabla2[[#This Row],[CANTIDAD]]*Tabla2[[#This Row],[PREC. UNITARIO]]</f>
        <v>0</v>
      </c>
      <c r="R403" t="str">
        <f>Tabla2[[#This Row],[QUIEN RECIBE]]&amp;"-"&amp;TEXT(Tabla2[[#This Row],[FECHA]],"dd/mm/yyyy")</f>
        <v>-24/09/2025</v>
      </c>
    </row>
    <row r="404" spans="2:18" ht="20.45" hidden="1" customHeight="1" x14ac:dyDescent="0.25">
      <c r="B404" s="5">
        <v>45924</v>
      </c>
      <c r="C404" s="2" t="str">
        <f>IFERROR(_xlfn.XLOOKUP(Tabla2[[#This Row],[PRODUCTO]],Tabla1[PRODUCTO],Tabla1[CODIGO]),"")</f>
        <v>HM-9</v>
      </c>
      <c r="D404" s="31" t="s">
        <v>327</v>
      </c>
      <c r="E404" s="31" t="str">
        <f>IFERROR(VLOOKUP(Tabla2[[#This Row],[CODIGO]],Tabla1[],3,0),"")</f>
        <v>HERRAMIENTAS</v>
      </c>
      <c r="F404" s="28" t="str">
        <f>IFERROR(VLOOKUP(Tabla2[[#This Row],[CODIGO]],Tabla1[],5,0),"")</f>
        <v>ALMACEN TICAPAMPA</v>
      </c>
      <c r="G404" s="26" t="str">
        <f>IFERROR(VLOOKUP(Tabla2[[#This Row],[CODIGO]],Tabla1[],6,0),"")</f>
        <v>MT</v>
      </c>
      <c r="H404" s="26">
        <f>IFERROR(VLOOKUP(Tabla2[[#This Row],[CODIGO]],Tabla1[],10,0),"")</f>
        <v>50</v>
      </c>
      <c r="I404" s="7">
        <v>50</v>
      </c>
      <c r="J404" s="29" t="s">
        <v>320</v>
      </c>
      <c r="K404" s="26" t="str">
        <f>IFERROR(VLOOKUP(Tabla2[[#This Row],[CODIGO]],Tabla1[],11,0),"")</f>
        <v>COMPRA</v>
      </c>
      <c r="L404" s="67"/>
      <c r="M404" s="67"/>
      <c r="N404" s="70"/>
      <c r="O404" s="70">
        <f>Tabla2[[#This Row],[CANTIDAD]]*Tabla2[[#This Row],[PREC. UNITARIO]]</f>
        <v>0</v>
      </c>
      <c r="R404" t="str">
        <f>Tabla2[[#This Row],[QUIEN RECIBE]]&amp;"-"&amp;TEXT(Tabla2[[#This Row],[FECHA]],"dd/mm/yyyy")</f>
        <v>-24/09/2025</v>
      </c>
    </row>
    <row r="405" spans="2:18" ht="20.45" hidden="1" customHeight="1" x14ac:dyDescent="0.25">
      <c r="B405" s="5">
        <v>45924</v>
      </c>
      <c r="C405" s="2" t="str">
        <f>IFERROR(_xlfn.XLOOKUP(Tabla2[[#This Row],[PRODUCTO]],Tabla1[PRODUCTO],Tabla1[CODIGO]),"")</f>
        <v>HM-10</v>
      </c>
      <c r="D405" s="31" t="s">
        <v>328</v>
      </c>
      <c r="E405" s="31" t="str">
        <f>IFERROR(VLOOKUP(Tabla2[[#This Row],[CODIGO]],Tabla1[],3,0),"")</f>
        <v>HERRAMIENTAS</v>
      </c>
      <c r="F405" s="28" t="str">
        <f>IFERROR(VLOOKUP(Tabla2[[#This Row],[CODIGO]],Tabla1[],5,0),"")</f>
        <v>ALMACEN TICAPAMPA</v>
      </c>
      <c r="G405" s="26" t="str">
        <f>IFERROR(VLOOKUP(Tabla2[[#This Row],[CODIGO]],Tabla1[],6,0),"")</f>
        <v>MT</v>
      </c>
      <c r="H405" s="26">
        <f>IFERROR(VLOOKUP(Tabla2[[#This Row],[CODIGO]],Tabla1[],10,0),"")</f>
        <v>50</v>
      </c>
      <c r="I405" s="7">
        <v>50</v>
      </c>
      <c r="J405" s="29" t="s">
        <v>320</v>
      </c>
      <c r="K405" s="26" t="str">
        <f>IFERROR(VLOOKUP(Tabla2[[#This Row],[CODIGO]],Tabla1[],11,0),"")</f>
        <v>COMPRA</v>
      </c>
      <c r="L405" s="67"/>
      <c r="M405" s="67"/>
      <c r="N405" s="70"/>
      <c r="O405" s="70">
        <f>Tabla2[[#This Row],[CANTIDAD]]*Tabla2[[#This Row],[PREC. UNITARIO]]</f>
        <v>0</v>
      </c>
      <c r="R405" t="str">
        <f>Tabla2[[#This Row],[QUIEN RECIBE]]&amp;"-"&amp;TEXT(Tabla2[[#This Row],[FECHA]],"dd/mm/yyyy")</f>
        <v>-24/09/2025</v>
      </c>
    </row>
    <row r="406" spans="2:18" ht="20.45" hidden="1" customHeight="1" x14ac:dyDescent="0.25">
      <c r="B406" s="5">
        <v>45924</v>
      </c>
      <c r="C406" s="2" t="str">
        <f>IFERROR(_xlfn.XLOOKUP(Tabla2[[#This Row],[PRODUCTO]],Tabla1[PRODUCTO],Tabla1[CODIGO]),"")</f>
        <v>ULI-2</v>
      </c>
      <c r="D406" s="31" t="s">
        <v>329</v>
      </c>
      <c r="E406" s="31" t="str">
        <f>IFERROR(VLOOKUP(Tabla2[[#This Row],[CODIGO]],Tabla1[],3,0),"")</f>
        <v>UTILES LIMPIEZA</v>
      </c>
      <c r="F406" s="28" t="str">
        <f>IFERROR(VLOOKUP(Tabla2[[#This Row],[CODIGO]],Tabla1[],5,0),"")</f>
        <v>ALMACEN TICAPAMPA</v>
      </c>
      <c r="G406" s="26" t="str">
        <f>IFERROR(VLOOKUP(Tabla2[[#This Row],[CODIGO]],Tabla1[],6,0),"")</f>
        <v>GLN</v>
      </c>
      <c r="H406" s="26">
        <f>IFERROR(VLOOKUP(Tabla2[[#This Row],[CODIGO]],Tabla1[],10,0),"")</f>
        <v>1</v>
      </c>
      <c r="I406" s="7">
        <v>1</v>
      </c>
      <c r="J406" s="29" t="s">
        <v>320</v>
      </c>
      <c r="K406" s="26" t="str">
        <f>IFERROR(VLOOKUP(Tabla2[[#This Row],[CODIGO]],Tabla1[],11,0),"")</f>
        <v>COMPRA</v>
      </c>
      <c r="L406" s="67"/>
      <c r="M406" s="67"/>
      <c r="N406" s="70"/>
      <c r="O406" s="70">
        <f>Tabla2[[#This Row],[CANTIDAD]]*Tabla2[[#This Row],[PREC. UNITARIO]]</f>
        <v>0</v>
      </c>
      <c r="R406" t="str">
        <f>Tabla2[[#This Row],[QUIEN RECIBE]]&amp;"-"&amp;TEXT(Tabla2[[#This Row],[FECHA]],"dd/mm/yyyy")</f>
        <v>-24/09/2025</v>
      </c>
    </row>
    <row r="407" spans="2:18" ht="20.45" hidden="1" customHeight="1" x14ac:dyDescent="0.25">
      <c r="B407" s="5">
        <v>45924</v>
      </c>
      <c r="C407" s="2" t="str">
        <f>IFERROR(_xlfn.XLOOKUP(Tabla2[[#This Row],[PRODUCTO]],Tabla1[PRODUCTO],Tabla1[CODIGO]),"")</f>
        <v>ULI-3</v>
      </c>
      <c r="D407" s="31" t="s">
        <v>330</v>
      </c>
      <c r="E407" s="31" t="str">
        <f>IFERROR(VLOOKUP(Tabla2[[#This Row],[CODIGO]],Tabla1[],3,0),"")</f>
        <v>UTILES LIMPIEZA</v>
      </c>
      <c r="F407" s="28" t="str">
        <f>IFERROR(VLOOKUP(Tabla2[[#This Row],[CODIGO]],Tabla1[],5,0),"")</f>
        <v>ALMACEN TICAPAMPA</v>
      </c>
      <c r="G407" s="26" t="str">
        <f>IFERROR(VLOOKUP(Tabla2[[#This Row],[CODIGO]],Tabla1[],6,0),"")</f>
        <v>LTS</v>
      </c>
      <c r="H407" s="26">
        <f>IFERROR(VLOOKUP(Tabla2[[#This Row],[CODIGO]],Tabla1[],10,0),"")</f>
        <v>2</v>
      </c>
      <c r="I407" s="7">
        <v>2</v>
      </c>
      <c r="J407" s="29" t="s">
        <v>320</v>
      </c>
      <c r="K407" s="26" t="str">
        <f>IFERROR(VLOOKUP(Tabla2[[#This Row],[CODIGO]],Tabla1[],11,0),"")</f>
        <v>COMPRA</v>
      </c>
      <c r="L407" s="67"/>
      <c r="M407" s="67"/>
      <c r="N407" s="70"/>
      <c r="O407" s="70">
        <f>Tabla2[[#This Row],[CANTIDAD]]*Tabla2[[#This Row],[PREC. UNITARIO]]</f>
        <v>0</v>
      </c>
      <c r="R407" t="str">
        <f>Tabla2[[#This Row],[QUIEN RECIBE]]&amp;"-"&amp;TEXT(Tabla2[[#This Row],[FECHA]],"dd/mm/yyyy")</f>
        <v>-24/09/2025</v>
      </c>
    </row>
    <row r="408" spans="2:18" ht="20.45" hidden="1" customHeight="1" x14ac:dyDescent="0.25">
      <c r="B408" s="5">
        <v>45924</v>
      </c>
      <c r="C408" s="2" t="str">
        <f>IFERROR(_xlfn.XLOOKUP(Tabla2[[#This Row],[PRODUCTO]],Tabla1[PRODUCTO],Tabla1[CODIGO]),"")</f>
        <v>ULI-4</v>
      </c>
      <c r="D408" s="31" t="s">
        <v>331</v>
      </c>
      <c r="E408" s="31" t="str">
        <f>IFERROR(VLOOKUP(Tabla2[[#This Row],[CODIGO]],Tabla1[],3,0),"")</f>
        <v>UTILES LIMPIEZA</v>
      </c>
      <c r="F408" s="28" t="str">
        <f>IFERROR(VLOOKUP(Tabla2[[#This Row],[CODIGO]],Tabla1[],5,0),"")</f>
        <v>ALMACEN TICAPAMPA</v>
      </c>
      <c r="G408" s="26" t="str">
        <f>IFERROR(VLOOKUP(Tabla2[[#This Row],[CODIGO]],Tabla1[],6,0),"")</f>
        <v>BT</v>
      </c>
      <c r="H408" s="26">
        <f>IFERROR(VLOOKUP(Tabla2[[#This Row],[CODIGO]],Tabla1[],10,0),"")</f>
        <v>2</v>
      </c>
      <c r="I408" s="7">
        <v>2</v>
      </c>
      <c r="J408" s="29" t="s">
        <v>320</v>
      </c>
      <c r="K408" s="26" t="str">
        <f>IFERROR(VLOOKUP(Tabla2[[#This Row],[CODIGO]],Tabla1[],11,0),"")</f>
        <v>COMPRA</v>
      </c>
      <c r="L408" s="67"/>
      <c r="M408" s="67"/>
      <c r="N408" s="70"/>
      <c r="O408" s="70">
        <f>Tabla2[[#This Row],[CANTIDAD]]*Tabla2[[#This Row],[PREC. UNITARIO]]</f>
        <v>0</v>
      </c>
      <c r="R408" t="str">
        <f>Tabla2[[#This Row],[QUIEN RECIBE]]&amp;"-"&amp;TEXT(Tabla2[[#This Row],[FECHA]],"dd/mm/yyyy")</f>
        <v>-24/09/2025</v>
      </c>
    </row>
    <row r="409" spans="2:18" ht="20.45" hidden="1" customHeight="1" x14ac:dyDescent="0.25">
      <c r="B409" s="5">
        <v>45924</v>
      </c>
      <c r="C409" s="2" t="str">
        <f>IFERROR(_xlfn.XLOOKUP(Tabla2[[#This Row],[PRODUCTO]],Tabla1[PRODUCTO],Tabla1[CODIGO]),"")</f>
        <v>ULI-5</v>
      </c>
      <c r="D409" s="31" t="s">
        <v>335</v>
      </c>
      <c r="E409" s="31" t="str">
        <f>IFERROR(VLOOKUP(Tabla2[[#This Row],[CODIGO]],Tabla1[],3,0),"")</f>
        <v>UTILES LIMPIEZA</v>
      </c>
      <c r="F409" s="28" t="str">
        <f>IFERROR(VLOOKUP(Tabla2[[#This Row],[CODIGO]],Tabla1[],5,0),"")</f>
        <v>ALMACEN TICAPAMPA</v>
      </c>
      <c r="G409" s="26" t="str">
        <f>IFERROR(VLOOKUP(Tabla2[[#This Row],[CODIGO]],Tabla1[],6,0),"")</f>
        <v>LTS</v>
      </c>
      <c r="H409" s="26">
        <f>IFERROR(VLOOKUP(Tabla2[[#This Row],[CODIGO]],Tabla1[],10,0),"")</f>
        <v>3</v>
      </c>
      <c r="I409" s="7">
        <v>3</v>
      </c>
      <c r="J409" s="29" t="s">
        <v>320</v>
      </c>
      <c r="K409" s="26" t="str">
        <f>IFERROR(VLOOKUP(Tabla2[[#This Row],[CODIGO]],Tabla1[],11,0),"")</f>
        <v>COMPRA</v>
      </c>
      <c r="L409" s="67"/>
      <c r="M409" s="67"/>
      <c r="N409" s="70"/>
      <c r="O409" s="70">
        <f>Tabla2[[#This Row],[CANTIDAD]]*Tabla2[[#This Row],[PREC. UNITARIO]]</f>
        <v>0</v>
      </c>
      <c r="R409" t="str">
        <f>Tabla2[[#This Row],[QUIEN RECIBE]]&amp;"-"&amp;TEXT(Tabla2[[#This Row],[FECHA]],"dd/mm/yyyy")</f>
        <v>-24/09/2025</v>
      </c>
    </row>
    <row r="410" spans="2:18" ht="20.45" hidden="1" customHeight="1" x14ac:dyDescent="0.25">
      <c r="B410" s="5">
        <v>45926</v>
      </c>
      <c r="C410" s="2" t="str">
        <f>IFERROR(_xlfn.XLOOKUP(Tabla2[[#This Row],[PRODUCTO]],Tabla1[PRODUCTO],Tabla1[CODIGO]),"")</f>
        <v>UE-58</v>
      </c>
      <c r="D410" s="31" t="s">
        <v>421</v>
      </c>
      <c r="E410" s="31" t="str">
        <f>IFERROR(VLOOKUP(Tabla2[[#This Row],[CODIGO]],Tabla1[],3,0),"")</f>
        <v>UTILES DE ESCRITORIO</v>
      </c>
      <c r="F410" s="28" t="str">
        <f>IFERROR(VLOOKUP(Tabla2[[#This Row],[CODIGO]],Tabla1[],5,0),"")</f>
        <v>ALMACEN TICAPAMPA</v>
      </c>
      <c r="G410" s="26" t="str">
        <f>IFERROR(VLOOKUP(Tabla2[[#This Row],[CODIGO]],Tabla1[],6,0),"")</f>
        <v>UNI</v>
      </c>
      <c r="H410" s="26">
        <f>IFERROR(VLOOKUP(Tabla2[[#This Row],[CODIGO]],Tabla1[],10,0),"")</f>
        <v>28</v>
      </c>
      <c r="I410" s="7">
        <v>-1</v>
      </c>
      <c r="J410" s="29" t="s">
        <v>350</v>
      </c>
      <c r="K410" s="26" t="str">
        <f>IFERROR(VLOOKUP(Tabla2[[#This Row],[CODIGO]],Tabla1[],11,0),"")</f>
        <v>COMPRA</v>
      </c>
      <c r="L410" s="67" t="s">
        <v>250</v>
      </c>
      <c r="M410" s="67" t="s">
        <v>265</v>
      </c>
      <c r="N410" s="70"/>
      <c r="O410" s="70">
        <f>Tabla2[[#This Row],[CANTIDAD]]*Tabla2[[#This Row],[PREC. UNITARIO]]</f>
        <v>0</v>
      </c>
      <c r="R410" t="str">
        <f>Tabla2[[#This Row],[QUIEN RECIBE]]&amp;"-"&amp;TEXT(Tabla2[[#This Row],[FECHA]],"dd/mm/yyyy")</f>
        <v>ORDOÑEZ CONDORI, GILBERTO -26/09/2025</v>
      </c>
    </row>
    <row r="411" spans="2:18" ht="20.45" hidden="1" customHeight="1" x14ac:dyDescent="0.25">
      <c r="B411" s="5">
        <v>45926</v>
      </c>
      <c r="C411" s="2" t="str">
        <f>IFERROR(_xlfn.XLOOKUP(Tabla2[[#This Row],[PRODUCTO]],Tabla1[PRODUCTO],Tabla1[CODIGO]),"")</f>
        <v>CAR-1</v>
      </c>
      <c r="D411" s="31" t="s">
        <v>89</v>
      </c>
      <c r="E411" s="31" t="str">
        <f>IFERROR(VLOOKUP(Tabla2[[#This Row],[CODIGO]],Tabla1[],3,0),"")</f>
        <v>CARPINTERIA</v>
      </c>
      <c r="F411" s="28" t="str">
        <f>IFERROR(VLOOKUP(Tabla2[[#This Row],[CODIGO]],Tabla1[],5,0),"")</f>
        <v>ALMACEN TICAPAMPA</v>
      </c>
      <c r="G411" s="26" t="str">
        <f>IFERROR(VLOOKUP(Tabla2[[#This Row],[CODIGO]],Tabla1[],6,0),"")</f>
        <v>UNI</v>
      </c>
      <c r="H411" s="26">
        <f>IFERROR(VLOOKUP(Tabla2[[#This Row],[CODIGO]],Tabla1[],10,0),"")</f>
        <v>32</v>
      </c>
      <c r="I411" s="7">
        <v>-1</v>
      </c>
      <c r="J411" s="29" t="s">
        <v>320</v>
      </c>
      <c r="K411" s="26" t="str">
        <f>IFERROR(VLOOKUP(Tabla2[[#This Row],[CODIGO]],Tabla1[],11,0),"")</f>
        <v>COMPRA</v>
      </c>
      <c r="L411" s="67"/>
      <c r="M411" s="67"/>
      <c r="N411" s="70"/>
      <c r="O411" s="70">
        <f>Tabla2[[#This Row],[CANTIDAD]]*Tabla2[[#This Row],[PREC. UNITARIO]]</f>
        <v>0</v>
      </c>
      <c r="R411" t="str">
        <f>Tabla2[[#This Row],[QUIEN RECIBE]]&amp;"-"&amp;TEXT(Tabla2[[#This Row],[FECHA]],"dd/mm/yyyy")</f>
        <v>-26/09/2025</v>
      </c>
    </row>
    <row r="412" spans="2:18" ht="20.45" hidden="1" customHeight="1" x14ac:dyDescent="0.25">
      <c r="B412" s="5">
        <v>45926</v>
      </c>
      <c r="C412" s="2" t="str">
        <f>IFERROR(_xlfn.XLOOKUP(Tabla2[[#This Row],[PRODUCTO]],Tabla1[PRODUCTO],Tabla1[CODIGO]),"")</f>
        <v>UE-22</v>
      </c>
      <c r="D412" s="31" t="s">
        <v>176</v>
      </c>
      <c r="E412" s="31" t="str">
        <f>IFERROR(VLOOKUP(Tabla2[[#This Row],[CODIGO]],Tabla1[],3,0),"")</f>
        <v>UTILES DE ESCRITORIO</v>
      </c>
      <c r="F412" s="28" t="str">
        <f>IFERROR(VLOOKUP(Tabla2[[#This Row],[CODIGO]],Tabla1[],5,0),"")</f>
        <v>ALMACEN TICAPAMPA</v>
      </c>
      <c r="G412" s="26" t="str">
        <f>IFERROR(VLOOKUP(Tabla2[[#This Row],[CODIGO]],Tabla1[],6,0),"")</f>
        <v>UNI</v>
      </c>
      <c r="H412" s="26">
        <f>IFERROR(VLOOKUP(Tabla2[[#This Row],[CODIGO]],Tabla1[],10,0),"")</f>
        <v>0</v>
      </c>
      <c r="I412" s="7">
        <v>-8</v>
      </c>
      <c r="J412" s="29" t="s">
        <v>420</v>
      </c>
      <c r="K412" s="26" t="str">
        <f>IFERROR(VLOOKUP(Tabla2[[#This Row],[CODIGO]],Tabla1[],11,0),"")</f>
        <v>COMPRA</v>
      </c>
      <c r="L412" s="67" t="s">
        <v>236</v>
      </c>
      <c r="M412" s="67" t="s">
        <v>338</v>
      </c>
      <c r="N412" s="70"/>
      <c r="O412" s="70">
        <f>Tabla2[[#This Row],[CANTIDAD]]*Tabla2[[#This Row],[PREC. UNITARIO]]</f>
        <v>0</v>
      </c>
      <c r="R412" t="str">
        <f>Tabla2[[#This Row],[QUIEN RECIBE]]&amp;"-"&amp;TEXT(Tabla2[[#This Row],[FECHA]],"dd/mm/yyyy")</f>
        <v>YEANCARLO -26/09/2025</v>
      </c>
    </row>
    <row r="413" spans="2:18" ht="20.45" hidden="1" customHeight="1" x14ac:dyDescent="0.25">
      <c r="B413" s="5">
        <v>45923</v>
      </c>
      <c r="C413" s="2" t="str">
        <f>IFERROR(_xlfn.XLOOKUP(Tabla2[[#This Row],[PRODUCTO]],Tabla1[PRODUCTO],Tabla1[CODIGO]),"")</f>
        <v>UE-22</v>
      </c>
      <c r="D413" s="31" t="s">
        <v>176</v>
      </c>
      <c r="E413" s="31" t="str">
        <f>IFERROR(VLOOKUP(Tabla2[[#This Row],[CODIGO]],Tabla1[],3,0),"")</f>
        <v>UTILES DE ESCRITORIO</v>
      </c>
      <c r="F413" s="28" t="str">
        <f>IFERROR(VLOOKUP(Tabla2[[#This Row],[CODIGO]],Tabla1[],5,0),"")</f>
        <v>ALMACEN TICAPAMPA</v>
      </c>
      <c r="G413" s="26" t="str">
        <f>IFERROR(VLOOKUP(Tabla2[[#This Row],[CODIGO]],Tabla1[],6,0),"")</f>
        <v>UNI</v>
      </c>
      <c r="H413" s="26">
        <f>IFERROR(VLOOKUP(Tabla2[[#This Row],[CODIGO]],Tabla1[],10,0),"")</f>
        <v>0</v>
      </c>
      <c r="I413" s="7">
        <v>-2</v>
      </c>
      <c r="J413" s="29" t="s">
        <v>422</v>
      </c>
      <c r="K413" s="26" t="str">
        <f>IFERROR(VLOOKUP(Tabla2[[#This Row],[CODIGO]],Tabla1[],11,0),"")</f>
        <v>COMPRA</v>
      </c>
      <c r="L413" s="67" t="s">
        <v>236</v>
      </c>
      <c r="M413" s="67" t="s">
        <v>236</v>
      </c>
      <c r="N413" s="70"/>
      <c r="O413" s="70">
        <f>Tabla2[[#This Row],[CANTIDAD]]*Tabla2[[#This Row],[PREC. UNITARIO]]</f>
        <v>0</v>
      </c>
      <c r="R413" t="str">
        <f>Tabla2[[#This Row],[QUIEN RECIBE]]&amp;"-"&amp;TEXT(Tabla2[[#This Row],[FECHA]],"dd/mm/yyyy")</f>
        <v>NAVARRO LOZANO, ANGEL JAROL-23/09/2025</v>
      </c>
    </row>
    <row r="414" spans="2:18" ht="20.45" hidden="1" customHeight="1" x14ac:dyDescent="0.25">
      <c r="B414" s="5">
        <v>45927</v>
      </c>
      <c r="C414" s="2" t="str">
        <f>IFERROR(_xlfn.XLOOKUP(Tabla2[[#This Row],[PRODUCTO]],Tabla1[PRODUCTO],Tabla1[CODIGO]),"")</f>
        <v>IS-40</v>
      </c>
      <c r="D414" s="31" t="s">
        <v>409</v>
      </c>
      <c r="E414" s="31" t="str">
        <f>IFERROR(VLOOKUP(Tabla2[[#This Row],[CODIGO]],Tabla1[],3,0),"")</f>
        <v>IMPLEMENTOS DE SEGURIDAD</v>
      </c>
      <c r="F414" s="28" t="str">
        <f>IFERROR(VLOOKUP(Tabla2[[#This Row],[CODIGO]],Tabla1[],5,0),"")</f>
        <v>ALMACEN TICAPAMPA</v>
      </c>
      <c r="G414" s="26" t="str">
        <f>IFERROR(VLOOKUP(Tabla2[[#This Row],[CODIGO]],Tabla1[],6,0),"")</f>
        <v>UNI</v>
      </c>
      <c r="H414" s="26">
        <f>IFERROR(VLOOKUP(Tabla2[[#This Row],[CODIGO]],Tabla1[],10,0),"")</f>
        <v>22</v>
      </c>
      <c r="I414" s="7">
        <v>-1</v>
      </c>
      <c r="J414" s="29" t="s">
        <v>350</v>
      </c>
      <c r="K414" s="26" t="str">
        <f>IFERROR(VLOOKUP(Tabla2[[#This Row],[CODIGO]],Tabla1[],11,0),"")</f>
        <v>COMPRA</v>
      </c>
      <c r="L414" s="67" t="s">
        <v>236</v>
      </c>
      <c r="M414" s="67" t="s">
        <v>323</v>
      </c>
      <c r="N414" s="70"/>
      <c r="O414" s="70">
        <f>Tabla2[[#This Row],[CANTIDAD]]*Tabla2[[#This Row],[PREC. UNITARIO]]</f>
        <v>0</v>
      </c>
      <c r="R414" t="str">
        <f>Tabla2[[#This Row],[QUIEN RECIBE]]&amp;"-"&amp;TEXT(Tabla2[[#This Row],[FECHA]],"dd/mm/yyyy")</f>
        <v>TUANAMA PILCO, CRHIS-27/09/2025</v>
      </c>
    </row>
    <row r="415" spans="2:18" ht="20.45" hidden="1" customHeight="1" x14ac:dyDescent="0.25">
      <c r="B415" s="5">
        <v>45927</v>
      </c>
      <c r="C415" s="2" t="str">
        <f>IFERROR(_xlfn.XLOOKUP(Tabla2[[#This Row],[PRODUCTO]],Tabla1[PRODUCTO],Tabla1[CODIGO]),"")</f>
        <v>IS-40</v>
      </c>
      <c r="D415" s="31" t="s">
        <v>409</v>
      </c>
      <c r="E415" s="31" t="str">
        <f>IFERROR(VLOOKUP(Tabla2[[#This Row],[CODIGO]],Tabla1[],3,0),"")</f>
        <v>IMPLEMENTOS DE SEGURIDAD</v>
      </c>
      <c r="F415" s="28" t="str">
        <f>IFERROR(VLOOKUP(Tabla2[[#This Row],[CODIGO]],Tabla1[],5,0),"")</f>
        <v>ALMACEN TICAPAMPA</v>
      </c>
      <c r="G415" s="26" t="str">
        <f>IFERROR(VLOOKUP(Tabla2[[#This Row],[CODIGO]],Tabla1[],6,0),"")</f>
        <v>UNI</v>
      </c>
      <c r="H415" s="26">
        <f>IFERROR(VLOOKUP(Tabla2[[#This Row],[CODIGO]],Tabla1[],10,0),"")</f>
        <v>22</v>
      </c>
      <c r="I415" s="7">
        <v>-1</v>
      </c>
      <c r="J415" s="29" t="s">
        <v>350</v>
      </c>
      <c r="K415" s="26" t="str">
        <f>IFERROR(VLOOKUP(Tabla2[[#This Row],[CODIGO]],Tabla1[],11,0),"")</f>
        <v>COMPRA</v>
      </c>
      <c r="L415" s="67" t="s">
        <v>236</v>
      </c>
      <c r="M415" s="67" t="s">
        <v>302</v>
      </c>
      <c r="N415" s="70"/>
      <c r="O415" s="70">
        <f>Tabla2[[#This Row],[CANTIDAD]]*Tabla2[[#This Row],[PREC. UNITARIO]]</f>
        <v>0</v>
      </c>
      <c r="R415" t="str">
        <f>Tabla2[[#This Row],[QUIEN RECIBE]]&amp;"-"&amp;TEXT(Tabla2[[#This Row],[FECHA]],"dd/mm/yyyy")</f>
        <v>QUISPE LIMACHE, ROGELIO -27/09/2025</v>
      </c>
    </row>
    <row r="416" spans="2:18" ht="20.45" hidden="1" customHeight="1" x14ac:dyDescent="0.25">
      <c r="B416" s="5">
        <v>45927</v>
      </c>
      <c r="C416" s="2" t="str">
        <f>IFERROR(_xlfn.XLOOKUP(Tabla2[[#This Row],[PRODUCTO]],Tabla1[PRODUCTO],Tabla1[CODIGO]),"")</f>
        <v>IS-40</v>
      </c>
      <c r="D416" s="31" t="s">
        <v>409</v>
      </c>
      <c r="E416" s="31" t="str">
        <f>IFERROR(VLOOKUP(Tabla2[[#This Row],[CODIGO]],Tabla1[],3,0),"")</f>
        <v>IMPLEMENTOS DE SEGURIDAD</v>
      </c>
      <c r="F416" s="28" t="str">
        <f>IFERROR(VLOOKUP(Tabla2[[#This Row],[CODIGO]],Tabla1[],5,0),"")</f>
        <v>ALMACEN TICAPAMPA</v>
      </c>
      <c r="G416" s="26" t="str">
        <f>IFERROR(VLOOKUP(Tabla2[[#This Row],[CODIGO]],Tabla1[],6,0),"")</f>
        <v>UNI</v>
      </c>
      <c r="H416" s="26">
        <f>IFERROR(VLOOKUP(Tabla2[[#This Row],[CODIGO]],Tabla1[],10,0),"")</f>
        <v>22</v>
      </c>
      <c r="I416" s="7">
        <v>-1</v>
      </c>
      <c r="J416" s="29" t="s">
        <v>350</v>
      </c>
      <c r="K416" s="26" t="str">
        <f>IFERROR(VLOOKUP(Tabla2[[#This Row],[CODIGO]],Tabla1[],11,0),"")</f>
        <v>COMPRA</v>
      </c>
      <c r="L416" s="67" t="s">
        <v>236</v>
      </c>
      <c r="M416" s="67" t="s">
        <v>307</v>
      </c>
      <c r="N416" s="70"/>
      <c r="O416" s="70">
        <f>Tabla2[[#This Row],[CANTIDAD]]*Tabla2[[#This Row],[PREC. UNITARIO]]</f>
        <v>0</v>
      </c>
      <c r="R416" t="str">
        <f>Tabla2[[#This Row],[QUIEN RECIBE]]&amp;"-"&amp;TEXT(Tabla2[[#This Row],[FECHA]],"dd/mm/yyyy")</f>
        <v>CACERES CALACHUA, YEYSON JORGE-27/09/2025</v>
      </c>
    </row>
    <row r="417" spans="2:18" ht="20.45" hidden="1" customHeight="1" x14ac:dyDescent="0.25">
      <c r="B417" s="5">
        <v>45926</v>
      </c>
      <c r="C417" s="2" t="str">
        <f>IFERROR(_xlfn.XLOOKUP(Tabla2[[#This Row],[PRODUCTO]],Tabla1[PRODUCTO],Tabla1[CODIGO]),"")</f>
        <v>IS-40</v>
      </c>
      <c r="D417" s="31" t="s">
        <v>409</v>
      </c>
      <c r="E417" s="31" t="str">
        <f>IFERROR(VLOOKUP(Tabla2[[#This Row],[CODIGO]],Tabla1[],3,0),"")</f>
        <v>IMPLEMENTOS DE SEGURIDAD</v>
      </c>
      <c r="F417" s="28" t="str">
        <f>IFERROR(VLOOKUP(Tabla2[[#This Row],[CODIGO]],Tabla1[],5,0),"")</f>
        <v>ALMACEN TICAPAMPA</v>
      </c>
      <c r="G417" s="26" t="str">
        <f>IFERROR(VLOOKUP(Tabla2[[#This Row],[CODIGO]],Tabla1[],6,0),"")</f>
        <v>UNI</v>
      </c>
      <c r="H417" s="26">
        <f>IFERROR(VLOOKUP(Tabla2[[#This Row],[CODIGO]],Tabla1[],10,0),"")</f>
        <v>22</v>
      </c>
      <c r="I417" s="7">
        <v>-1</v>
      </c>
      <c r="J417" s="29" t="s">
        <v>350</v>
      </c>
      <c r="K417" s="26" t="str">
        <f>IFERROR(VLOOKUP(Tabla2[[#This Row],[CODIGO]],Tabla1[],11,0),"")</f>
        <v>COMPRA</v>
      </c>
      <c r="L417" s="67" t="s">
        <v>236</v>
      </c>
      <c r="M417" s="67" t="s">
        <v>301</v>
      </c>
      <c r="N417" s="70"/>
      <c r="O417" s="70">
        <f>Tabla2[[#This Row],[CANTIDAD]]*Tabla2[[#This Row],[PREC. UNITARIO]]</f>
        <v>0</v>
      </c>
      <c r="R417" t="str">
        <f>Tabla2[[#This Row],[QUIEN RECIBE]]&amp;"-"&amp;TEXT(Tabla2[[#This Row],[FECHA]],"dd/mm/yyyy")</f>
        <v>GUTARATE SABINO, ADRIEL ANTONY-26/09/2025</v>
      </c>
    </row>
    <row r="418" spans="2:18" ht="20.45" hidden="1" customHeight="1" x14ac:dyDescent="0.25">
      <c r="B418" s="5">
        <v>45923</v>
      </c>
      <c r="C418" s="2" t="str">
        <f>IFERROR(_xlfn.XLOOKUP(Tabla2[[#This Row],[PRODUCTO]],Tabla1[PRODUCTO],Tabla1[CODIGO]),"")</f>
        <v>AF-4</v>
      </c>
      <c r="D418" s="31" t="s">
        <v>349</v>
      </c>
      <c r="E418" s="31" t="str">
        <f>IFERROR(VLOOKUP(Tabla2[[#This Row],[CODIGO]],Tabla1[],3,0),"")</f>
        <v>ALAMBRES Y FIERROS</v>
      </c>
      <c r="F418" s="28" t="str">
        <f>IFERROR(VLOOKUP(Tabla2[[#This Row],[CODIGO]],Tabla1[],5,0),"")</f>
        <v>ALMACEN TICAPAMPA</v>
      </c>
      <c r="G418" s="26" t="str">
        <f>IFERROR(VLOOKUP(Tabla2[[#This Row],[CODIGO]],Tabla1[],6,0),"")</f>
        <v>UNI</v>
      </c>
      <c r="H418" s="26">
        <f>IFERROR(VLOOKUP(Tabla2[[#This Row],[CODIGO]],Tabla1[],10,0),"")</f>
        <v>1783</v>
      </c>
      <c r="I418" s="7">
        <v>-20</v>
      </c>
      <c r="J418" s="29" t="s">
        <v>423</v>
      </c>
      <c r="K418" s="26" t="str">
        <f>IFERROR(VLOOKUP(Tabla2[[#This Row],[CODIGO]],Tabla1[],11,0),"")</f>
        <v>COMPRA</v>
      </c>
      <c r="L418" s="67" t="s">
        <v>236</v>
      </c>
      <c r="M418" s="67"/>
      <c r="N418" s="70"/>
      <c r="O418" s="70">
        <f>Tabla2[[#This Row],[CANTIDAD]]*Tabla2[[#This Row],[PREC. UNITARIO]]</f>
        <v>0</v>
      </c>
      <c r="R418" t="str">
        <f>Tabla2[[#This Row],[QUIEN RECIBE]]&amp;"-"&amp;TEXT(Tabla2[[#This Row],[FECHA]],"dd/mm/yyyy")</f>
        <v>-23/09/2025</v>
      </c>
    </row>
    <row r="419" spans="2:18" ht="20.45" hidden="1" customHeight="1" x14ac:dyDescent="0.25">
      <c r="B419" s="5">
        <v>45927</v>
      </c>
      <c r="C419" s="2" t="str">
        <f>IFERROR(_xlfn.XLOOKUP(Tabla2[[#This Row],[PRODUCTO]],Tabla1[PRODUCTO],Tabla1[CODIGO]),"")</f>
        <v>IS-41</v>
      </c>
      <c r="D419" s="31" t="s">
        <v>424</v>
      </c>
      <c r="E419" s="31" t="str">
        <f>IFERROR(VLOOKUP(Tabla2[[#This Row],[CODIGO]],Tabla1[],3,0),"")</f>
        <v>IMPLEMENTOS DE SEGURIDAD</v>
      </c>
      <c r="F419" s="28" t="str">
        <f>IFERROR(VLOOKUP(Tabla2[[#This Row],[CODIGO]],Tabla1[],5,0),"")</f>
        <v>ALMACEN TICAPAMPA</v>
      </c>
      <c r="G419" s="26" t="str">
        <f>IFERROR(VLOOKUP(Tabla2[[#This Row],[CODIGO]],Tabla1[],6,0),"")</f>
        <v>UNI</v>
      </c>
      <c r="H419" s="26">
        <f>IFERROR(VLOOKUP(Tabla2[[#This Row],[CODIGO]],Tabla1[],10,0),"")</f>
        <v>10</v>
      </c>
      <c r="I419" s="7">
        <v>10</v>
      </c>
      <c r="J419" s="29" t="s">
        <v>320</v>
      </c>
      <c r="K419" s="26" t="str">
        <f>IFERROR(VLOOKUP(Tabla2[[#This Row],[CODIGO]],Tabla1[],11,0),"")</f>
        <v>ALMACEN CENTRAL</v>
      </c>
      <c r="L419" s="67" t="s">
        <v>308</v>
      </c>
      <c r="M419" s="67" t="s">
        <v>472</v>
      </c>
      <c r="N419" s="70"/>
      <c r="O419" s="70">
        <f>Tabla2[[#This Row],[CANTIDAD]]*Tabla2[[#This Row],[PREC. UNITARIO]]</f>
        <v>0</v>
      </c>
      <c r="R419" t="str">
        <f>Tabla2[[#This Row],[QUIEN RECIBE]]&amp;"-"&amp;TEXT(Tabla2[[#This Row],[FECHA]],"dd/mm/yyyy")</f>
        <v>ACUACHI LANCHIPA ERNESTO ALONSO-27/09/2025</v>
      </c>
    </row>
    <row r="420" spans="2:18" ht="20.45" hidden="1" customHeight="1" x14ac:dyDescent="0.25">
      <c r="B420" s="5">
        <v>45927</v>
      </c>
      <c r="C420" s="2" t="str">
        <f>IFERROR(_xlfn.XLOOKUP(Tabla2[[#This Row],[PRODUCTO]],Tabla1[PRODUCTO],Tabla1[CODIGO]),"")</f>
        <v>IS-42</v>
      </c>
      <c r="D420" s="31" t="s">
        <v>425</v>
      </c>
      <c r="E420" s="31" t="str">
        <f>IFERROR(VLOOKUP(Tabla2[[#This Row],[CODIGO]],Tabla1[],3,0),"")</f>
        <v>IMPLEMENTOS DE SEGURIDAD</v>
      </c>
      <c r="F420" s="28" t="str">
        <f>IFERROR(VLOOKUP(Tabla2[[#This Row],[CODIGO]],Tabla1[],5,0),"")</f>
        <v>ALMACEN TICAPAMPA</v>
      </c>
      <c r="G420" s="26" t="str">
        <f>IFERROR(VLOOKUP(Tabla2[[#This Row],[CODIGO]],Tabla1[],6,0),"")</f>
        <v>UNI</v>
      </c>
      <c r="H420" s="26">
        <f>IFERROR(VLOOKUP(Tabla2[[#This Row],[CODIGO]],Tabla1[],10,0),"")</f>
        <v>28</v>
      </c>
      <c r="I420" s="7">
        <v>31</v>
      </c>
      <c r="J420" s="29" t="s">
        <v>320</v>
      </c>
      <c r="K420" s="26" t="str">
        <f>IFERROR(VLOOKUP(Tabla2[[#This Row],[CODIGO]],Tabla1[],11,0),"")</f>
        <v>ALMACEN CENTRAL</v>
      </c>
      <c r="L420" s="67"/>
      <c r="M420" s="67"/>
      <c r="N420" s="70"/>
      <c r="O420" s="70">
        <f>Tabla2[[#This Row],[CANTIDAD]]*Tabla2[[#This Row],[PREC. UNITARIO]]</f>
        <v>0</v>
      </c>
      <c r="R420" t="str">
        <f>Tabla2[[#This Row],[QUIEN RECIBE]]&amp;"-"&amp;TEXT(Tabla2[[#This Row],[FECHA]],"dd/mm/yyyy")</f>
        <v>-27/09/2025</v>
      </c>
    </row>
    <row r="421" spans="2:18" ht="20.45" hidden="1" customHeight="1" x14ac:dyDescent="0.25">
      <c r="B421" s="5">
        <v>45927</v>
      </c>
      <c r="C421" s="2" t="str">
        <f>IFERROR(_xlfn.XLOOKUP(Tabla2[[#This Row],[PRODUCTO]],Tabla1[PRODUCTO],Tabla1[CODIGO]),"")</f>
        <v>OTR-10</v>
      </c>
      <c r="D421" s="31" t="s">
        <v>426</v>
      </c>
      <c r="E421" s="31" t="str">
        <f>IFERROR(VLOOKUP(Tabla2[[#This Row],[CODIGO]],Tabla1[],3,0),"")</f>
        <v>OTROS</v>
      </c>
      <c r="F421" s="28" t="str">
        <f>IFERROR(VLOOKUP(Tabla2[[#This Row],[CODIGO]],Tabla1[],5,0),"")</f>
        <v>ALMACEN TICAPAMPA</v>
      </c>
      <c r="G421" s="26" t="str">
        <f>IFERROR(VLOOKUP(Tabla2[[#This Row],[CODIGO]],Tabla1[],6,0),"")</f>
        <v>UNI</v>
      </c>
      <c r="H421" s="26">
        <f>IFERROR(VLOOKUP(Tabla2[[#This Row],[CODIGO]],Tabla1[],10,0),"")</f>
        <v>111</v>
      </c>
      <c r="I421" s="7">
        <v>21</v>
      </c>
      <c r="J421" s="29" t="s">
        <v>320</v>
      </c>
      <c r="K421" s="26" t="str">
        <f>IFERROR(VLOOKUP(Tabla2[[#This Row],[CODIGO]],Tabla1[],11,0),"")</f>
        <v>COMPRA</v>
      </c>
      <c r="L421" s="67"/>
      <c r="M421" s="67"/>
      <c r="N421" s="70"/>
      <c r="O421" s="70">
        <f>Tabla2[[#This Row],[CANTIDAD]]*Tabla2[[#This Row],[PREC. UNITARIO]]</f>
        <v>0</v>
      </c>
      <c r="R421" t="str">
        <f>Tabla2[[#This Row],[QUIEN RECIBE]]&amp;"-"&amp;TEXT(Tabla2[[#This Row],[FECHA]],"dd/mm/yyyy")</f>
        <v>-27/09/2025</v>
      </c>
    </row>
    <row r="422" spans="2:18" ht="20.45" hidden="1" customHeight="1" x14ac:dyDescent="0.25">
      <c r="B422" s="5">
        <v>45918</v>
      </c>
      <c r="C422" s="2" t="str">
        <f>IFERROR(_xlfn.XLOOKUP(Tabla2[[#This Row],[PRODUCTO]],Tabla1[PRODUCTO],Tabla1[CODIGO]),"")</f>
        <v>ISA-11</v>
      </c>
      <c r="D422" s="31" t="s">
        <v>336</v>
      </c>
      <c r="E422" s="31" t="str">
        <f>IFERROR(VLOOKUP(Tabla2[[#This Row],[CODIGO]],Tabla1[],3,0),"")</f>
        <v>INSTALACIONES SANITARIAS</v>
      </c>
      <c r="F422" s="28" t="str">
        <f>IFERROR(VLOOKUP(Tabla2[[#This Row],[CODIGO]],Tabla1[],5,0),"")</f>
        <v>ALMACEN TICAPAMPA</v>
      </c>
      <c r="G422" s="26" t="str">
        <f>IFERROR(VLOOKUP(Tabla2[[#This Row],[CODIGO]],Tabla1[],6,0),"")</f>
        <v>GLN</v>
      </c>
      <c r="H422" s="26">
        <f>IFERROR(VLOOKUP(Tabla2[[#This Row],[CODIGO]],Tabla1[],10,0),"")</f>
        <v>1</v>
      </c>
      <c r="I422" s="7">
        <v>1</v>
      </c>
      <c r="J422" s="29" t="s">
        <v>320</v>
      </c>
      <c r="K422" s="26" t="str">
        <f>IFERROR(VLOOKUP(Tabla2[[#This Row],[CODIGO]],Tabla1[],11,0),"")</f>
        <v>COMPRA</v>
      </c>
      <c r="L422" s="67"/>
      <c r="M422" s="67"/>
      <c r="N422" s="70"/>
      <c r="O422" s="70">
        <f>Tabla2[[#This Row],[CANTIDAD]]*Tabla2[[#This Row],[PREC. UNITARIO]]</f>
        <v>0</v>
      </c>
      <c r="R422" t="str">
        <f>Tabla2[[#This Row],[QUIEN RECIBE]]&amp;"-"&amp;TEXT(Tabla2[[#This Row],[FECHA]],"dd/mm/yyyy")</f>
        <v>-18/09/2025</v>
      </c>
    </row>
    <row r="423" spans="2:18" ht="20.45" hidden="1" customHeight="1" x14ac:dyDescent="0.25">
      <c r="B423" s="5">
        <v>45918</v>
      </c>
      <c r="C423" s="2" t="str">
        <f>IFERROR(_xlfn.XLOOKUP(Tabla2[[#This Row],[PRODUCTO]],Tabla1[PRODUCTO],Tabla1[CODIGO]),"")</f>
        <v>HM-46</v>
      </c>
      <c r="D423" s="31" t="s">
        <v>427</v>
      </c>
      <c r="E423" s="31" t="str">
        <f>IFERROR(VLOOKUP(Tabla2[[#This Row],[CODIGO]],Tabla1[],3,0),"")</f>
        <v>HERRAMIENTAS</v>
      </c>
      <c r="F423" s="28" t="str">
        <f>IFERROR(VLOOKUP(Tabla2[[#This Row],[CODIGO]],Tabla1[],5,0),"")</f>
        <v>ALMACEN TICAPAMPA</v>
      </c>
      <c r="G423" s="26" t="str">
        <f>IFERROR(VLOOKUP(Tabla2[[#This Row],[CODIGO]],Tabla1[],6,0),"")</f>
        <v>UNI</v>
      </c>
      <c r="H423" s="26">
        <f>IFERROR(VLOOKUP(Tabla2[[#This Row],[CODIGO]],Tabla1[],10,0),"")</f>
        <v>1</v>
      </c>
      <c r="I423" s="7">
        <v>1</v>
      </c>
      <c r="J423" s="29" t="s">
        <v>320</v>
      </c>
      <c r="K423" s="26" t="str">
        <f>IFERROR(VLOOKUP(Tabla2[[#This Row],[CODIGO]],Tabla1[],11,0),"")</f>
        <v>ALMACEN CENTRAL</v>
      </c>
      <c r="L423" s="67"/>
      <c r="M423" s="67"/>
      <c r="N423" s="70"/>
      <c r="O423" s="70">
        <f>Tabla2[[#This Row],[CANTIDAD]]*Tabla2[[#This Row],[PREC. UNITARIO]]</f>
        <v>0</v>
      </c>
      <c r="R423" t="str">
        <f>Tabla2[[#This Row],[QUIEN RECIBE]]&amp;"-"&amp;TEXT(Tabla2[[#This Row],[FECHA]],"dd/mm/yyyy")</f>
        <v>-18/09/2025</v>
      </c>
    </row>
    <row r="424" spans="2:18" ht="20.45" hidden="1" customHeight="1" x14ac:dyDescent="0.25">
      <c r="B424" s="5">
        <v>45929</v>
      </c>
      <c r="C424" s="2" t="str">
        <f>IFERROR(_xlfn.XLOOKUP(Tabla2[[#This Row],[PRODUCTO]],Tabla1[PRODUCTO],Tabla1[CODIGO]),"")</f>
        <v>HM-47</v>
      </c>
      <c r="D424" s="31" t="s">
        <v>428</v>
      </c>
      <c r="E424" s="31" t="str">
        <f>IFERROR(VLOOKUP(Tabla2[[#This Row],[CODIGO]],Tabla1[],3,0),"")</f>
        <v>HERRAMIENTAS</v>
      </c>
      <c r="F424" s="28" t="str">
        <f>IFERROR(VLOOKUP(Tabla2[[#This Row],[CODIGO]],Tabla1[],5,0),"")</f>
        <v>ALMACEN TICAPAMPA</v>
      </c>
      <c r="G424" s="26" t="str">
        <f>IFERROR(VLOOKUP(Tabla2[[#This Row],[CODIGO]],Tabla1[],6,0),"")</f>
        <v>UNI</v>
      </c>
      <c r="H424" s="26">
        <f>IFERROR(VLOOKUP(Tabla2[[#This Row],[CODIGO]],Tabla1[],10,0),"")</f>
        <v>0</v>
      </c>
      <c r="I424" s="7">
        <v>1</v>
      </c>
      <c r="J424" s="29" t="s">
        <v>320</v>
      </c>
      <c r="K424" s="26" t="str">
        <f>IFERROR(VLOOKUP(Tabla2[[#This Row],[CODIGO]],Tabla1[],11,0),"")</f>
        <v>COMPRA</v>
      </c>
      <c r="L424" s="67"/>
      <c r="M424" s="67"/>
      <c r="N424" s="70"/>
      <c r="O424" s="70">
        <f>Tabla2[[#This Row],[CANTIDAD]]*Tabla2[[#This Row],[PREC. UNITARIO]]</f>
        <v>0</v>
      </c>
      <c r="R424" t="str">
        <f>Tabla2[[#This Row],[QUIEN RECIBE]]&amp;"-"&amp;TEXT(Tabla2[[#This Row],[FECHA]],"dd/mm/yyyy")</f>
        <v>-29/09/2025</v>
      </c>
    </row>
    <row r="425" spans="2:18" ht="20.45" hidden="1" customHeight="1" x14ac:dyDescent="0.25">
      <c r="B425" s="5">
        <v>45929</v>
      </c>
      <c r="C425" s="2" t="str">
        <f>IFERROR(_xlfn.XLOOKUP(Tabla2[[#This Row],[PRODUCTO]],Tabla1[PRODUCTO],Tabla1[CODIGO]),"")</f>
        <v>HM-47</v>
      </c>
      <c r="D425" s="31" t="s">
        <v>428</v>
      </c>
      <c r="E425" s="31" t="str">
        <f>IFERROR(VLOOKUP(Tabla2[[#This Row],[CODIGO]],Tabla1[],3,0),"")</f>
        <v>HERRAMIENTAS</v>
      </c>
      <c r="F425" s="28" t="str">
        <f>IFERROR(VLOOKUP(Tabla2[[#This Row],[CODIGO]],Tabla1[],5,0),"")</f>
        <v>ALMACEN TICAPAMPA</v>
      </c>
      <c r="G425" s="26" t="str">
        <f>IFERROR(VLOOKUP(Tabla2[[#This Row],[CODIGO]],Tabla1[],6,0),"")</f>
        <v>UNI</v>
      </c>
      <c r="H425" s="26">
        <f>IFERROR(VLOOKUP(Tabla2[[#This Row],[CODIGO]],Tabla1[],10,0),"")</f>
        <v>0</v>
      </c>
      <c r="I425" s="7">
        <v>-1</v>
      </c>
      <c r="J425" s="29" t="s">
        <v>429</v>
      </c>
      <c r="K425" s="26" t="str">
        <f>IFERROR(VLOOKUP(Tabla2[[#This Row],[CODIGO]],Tabla1[],11,0),"")</f>
        <v>COMPRA</v>
      </c>
      <c r="L425" s="67" t="s">
        <v>236</v>
      </c>
      <c r="M425" s="67" t="s">
        <v>304</v>
      </c>
      <c r="N425" s="70"/>
      <c r="O425" s="70">
        <f>Tabla2[[#This Row],[CANTIDAD]]*Tabla2[[#This Row],[PREC. UNITARIO]]</f>
        <v>0</v>
      </c>
      <c r="R425" t="str">
        <f>Tabla2[[#This Row],[QUIEN RECIBE]]&amp;"-"&amp;TEXT(Tabla2[[#This Row],[FECHA]],"dd/mm/yyyy")</f>
        <v>LOZA, GUILLERMO-29/09/2025</v>
      </c>
    </row>
    <row r="426" spans="2:18" ht="20.45" hidden="1" customHeight="1" x14ac:dyDescent="0.25">
      <c r="B426" s="5">
        <v>45929</v>
      </c>
      <c r="C426" s="2" t="str">
        <f>IFERROR(_xlfn.XLOOKUP(Tabla2[[#This Row],[PRODUCTO]],Tabla1[PRODUCTO],Tabla1[CODIGO]),"")</f>
        <v>HM-48</v>
      </c>
      <c r="D426" s="31" t="s">
        <v>430</v>
      </c>
      <c r="E426" s="31" t="str">
        <f>IFERROR(VLOOKUP(Tabla2[[#This Row],[CODIGO]],Tabla1[],3,0),"")</f>
        <v>HERRAMIENTAS</v>
      </c>
      <c r="F426" s="28" t="str">
        <f>IFERROR(VLOOKUP(Tabla2[[#This Row],[CODIGO]],Tabla1[],5,0),"")</f>
        <v>ALMACEN TICAPAMPA</v>
      </c>
      <c r="G426" s="26" t="str">
        <f>IFERROR(VLOOKUP(Tabla2[[#This Row],[CODIGO]],Tabla1[],6,0),"")</f>
        <v>UNI</v>
      </c>
      <c r="H426" s="26">
        <f>IFERROR(VLOOKUP(Tabla2[[#This Row],[CODIGO]],Tabla1[],10,0),"")</f>
        <v>0</v>
      </c>
      <c r="I426" s="7">
        <v>1</v>
      </c>
      <c r="J426" s="29" t="s">
        <v>320</v>
      </c>
      <c r="K426" s="26" t="str">
        <f>IFERROR(VLOOKUP(Tabla2[[#This Row],[CODIGO]],Tabla1[],11,0),"")</f>
        <v>COMPRA</v>
      </c>
      <c r="L426" s="67"/>
      <c r="M426" s="67"/>
      <c r="N426" s="70"/>
      <c r="O426" s="70">
        <f>Tabla2[[#This Row],[CANTIDAD]]*Tabla2[[#This Row],[PREC. UNITARIO]]</f>
        <v>0</v>
      </c>
      <c r="R426" t="str">
        <f>Tabla2[[#This Row],[QUIEN RECIBE]]&amp;"-"&amp;TEXT(Tabla2[[#This Row],[FECHA]],"dd/mm/yyyy")</f>
        <v>-29/09/2025</v>
      </c>
    </row>
    <row r="427" spans="2:18" ht="20.45" hidden="1" customHeight="1" x14ac:dyDescent="0.25">
      <c r="B427" s="5">
        <v>45929</v>
      </c>
      <c r="C427" s="2" t="str">
        <f>IFERROR(_xlfn.XLOOKUP(Tabla2[[#This Row],[PRODUCTO]],Tabla1[PRODUCTO],Tabla1[CODIGO]),"")</f>
        <v>HM-48</v>
      </c>
      <c r="D427" s="31" t="s">
        <v>430</v>
      </c>
      <c r="E427" s="31" t="str">
        <f>IFERROR(VLOOKUP(Tabla2[[#This Row],[CODIGO]],Tabla1[],3,0),"")</f>
        <v>HERRAMIENTAS</v>
      </c>
      <c r="F427" s="28" t="str">
        <f>IFERROR(VLOOKUP(Tabla2[[#This Row],[CODIGO]],Tabla1[],5,0),"")</f>
        <v>ALMACEN TICAPAMPA</v>
      </c>
      <c r="G427" s="26" t="str">
        <f>IFERROR(VLOOKUP(Tabla2[[#This Row],[CODIGO]],Tabla1[],6,0),"")</f>
        <v>UNI</v>
      </c>
      <c r="H427" s="26">
        <f>IFERROR(VLOOKUP(Tabla2[[#This Row],[CODIGO]],Tabla1[],10,0),"")</f>
        <v>0</v>
      </c>
      <c r="I427" s="7">
        <v>-1</v>
      </c>
      <c r="J427" s="29" t="s">
        <v>429</v>
      </c>
      <c r="K427" s="26" t="str">
        <f>IFERROR(VLOOKUP(Tabla2[[#This Row],[CODIGO]],Tabla1[],11,0),"")</f>
        <v>COMPRA</v>
      </c>
      <c r="L427" s="67" t="s">
        <v>236</v>
      </c>
      <c r="M427" s="67" t="s">
        <v>304</v>
      </c>
      <c r="N427" s="70"/>
      <c r="O427" s="70">
        <f>Tabla2[[#This Row],[CANTIDAD]]*Tabla2[[#This Row],[PREC. UNITARIO]]</f>
        <v>0</v>
      </c>
      <c r="R427" t="str">
        <f>Tabla2[[#This Row],[QUIEN RECIBE]]&amp;"-"&amp;TEXT(Tabla2[[#This Row],[FECHA]],"dd/mm/yyyy")</f>
        <v>LOZA, GUILLERMO-29/09/2025</v>
      </c>
    </row>
    <row r="428" spans="2:18" ht="20.45" hidden="1" customHeight="1" x14ac:dyDescent="0.25">
      <c r="B428" s="5">
        <v>45929</v>
      </c>
      <c r="C428" s="2" t="str">
        <f>IFERROR(_xlfn.XLOOKUP(Tabla2[[#This Row],[PRODUCTO]],Tabla1[PRODUCTO],Tabla1[CODIGO]),"")</f>
        <v>HM-49</v>
      </c>
      <c r="D428" s="31" t="s">
        <v>431</v>
      </c>
      <c r="E428" s="31" t="str">
        <f>IFERROR(VLOOKUP(Tabla2[[#This Row],[CODIGO]],Tabla1[],3,0),"")</f>
        <v>HERRAMIENTAS</v>
      </c>
      <c r="F428" s="28" t="str">
        <f>IFERROR(VLOOKUP(Tabla2[[#This Row],[CODIGO]],Tabla1[],5,0),"")</f>
        <v>ALMACEN TICAPAMPA</v>
      </c>
      <c r="G428" s="26" t="str">
        <f>IFERROR(VLOOKUP(Tabla2[[#This Row],[CODIGO]],Tabla1[],6,0),"")</f>
        <v>UNI</v>
      </c>
      <c r="H428" s="26">
        <f>IFERROR(VLOOKUP(Tabla2[[#This Row],[CODIGO]],Tabla1[],10,0),"")</f>
        <v>0</v>
      </c>
      <c r="I428" s="7">
        <v>1</v>
      </c>
      <c r="J428" s="29" t="s">
        <v>320</v>
      </c>
      <c r="K428" s="26" t="str">
        <f>IFERROR(VLOOKUP(Tabla2[[#This Row],[CODIGO]],Tabla1[],11,0),"")</f>
        <v>COMPRA</v>
      </c>
      <c r="L428" s="67"/>
      <c r="M428" s="67"/>
      <c r="N428" s="70"/>
      <c r="O428" s="70">
        <f>Tabla2[[#This Row],[CANTIDAD]]*Tabla2[[#This Row],[PREC. UNITARIO]]</f>
        <v>0</v>
      </c>
      <c r="R428" t="str">
        <f>Tabla2[[#This Row],[QUIEN RECIBE]]&amp;"-"&amp;TEXT(Tabla2[[#This Row],[FECHA]],"dd/mm/yyyy")</f>
        <v>-29/09/2025</v>
      </c>
    </row>
    <row r="429" spans="2:18" ht="20.45" hidden="1" customHeight="1" x14ac:dyDescent="0.25">
      <c r="B429" s="5">
        <v>45929</v>
      </c>
      <c r="C429" s="2" t="str">
        <f>IFERROR(_xlfn.XLOOKUP(Tabla2[[#This Row],[PRODUCTO]],Tabla1[PRODUCTO],Tabla1[CODIGO]),"")</f>
        <v>HM-49</v>
      </c>
      <c r="D429" s="31" t="s">
        <v>431</v>
      </c>
      <c r="E429" s="31" t="str">
        <f>IFERROR(VLOOKUP(Tabla2[[#This Row],[CODIGO]],Tabla1[],3,0),"")</f>
        <v>HERRAMIENTAS</v>
      </c>
      <c r="F429" s="28" t="str">
        <f>IFERROR(VLOOKUP(Tabla2[[#This Row],[CODIGO]],Tabla1[],5,0),"")</f>
        <v>ALMACEN TICAPAMPA</v>
      </c>
      <c r="G429" s="26" t="str">
        <f>IFERROR(VLOOKUP(Tabla2[[#This Row],[CODIGO]],Tabla1[],6,0),"")</f>
        <v>UNI</v>
      </c>
      <c r="H429" s="26">
        <f>IFERROR(VLOOKUP(Tabla2[[#This Row],[CODIGO]],Tabla1[],10,0),"")</f>
        <v>0</v>
      </c>
      <c r="I429" s="7">
        <v>-1</v>
      </c>
      <c r="J429" s="29" t="s">
        <v>429</v>
      </c>
      <c r="K429" s="26" t="str">
        <f>IFERROR(VLOOKUP(Tabla2[[#This Row],[CODIGO]],Tabla1[],11,0),"")</f>
        <v>COMPRA</v>
      </c>
      <c r="L429" s="67" t="s">
        <v>236</v>
      </c>
      <c r="M429" s="67" t="s">
        <v>304</v>
      </c>
      <c r="N429" s="70"/>
      <c r="O429" s="70">
        <f>Tabla2[[#This Row],[CANTIDAD]]*Tabla2[[#This Row],[PREC. UNITARIO]]</f>
        <v>0</v>
      </c>
      <c r="R429" t="str">
        <f>Tabla2[[#This Row],[QUIEN RECIBE]]&amp;"-"&amp;TEXT(Tabla2[[#This Row],[FECHA]],"dd/mm/yyyy")</f>
        <v>LOZA, GUILLERMO-29/09/2025</v>
      </c>
    </row>
    <row r="430" spans="2:18" ht="20.45" hidden="1" customHeight="1" x14ac:dyDescent="0.25">
      <c r="B430" s="5">
        <v>45929</v>
      </c>
      <c r="C430" s="2" t="str">
        <f>IFERROR(_xlfn.XLOOKUP(Tabla2[[#This Row],[PRODUCTO]],Tabla1[PRODUCTO],Tabla1[CODIGO]),"")</f>
        <v>HM-50</v>
      </c>
      <c r="D430" s="31" t="s">
        <v>432</v>
      </c>
      <c r="E430" s="31" t="str">
        <f>IFERROR(VLOOKUP(Tabla2[[#This Row],[CODIGO]],Tabla1[],3,0),"")</f>
        <v>HERRAMIENTAS</v>
      </c>
      <c r="F430" s="28" t="str">
        <f>IFERROR(VLOOKUP(Tabla2[[#This Row],[CODIGO]],Tabla1[],5,0),"")</f>
        <v>ALMACEN TICAPAMPA</v>
      </c>
      <c r="G430" s="26" t="str">
        <f>IFERROR(VLOOKUP(Tabla2[[#This Row],[CODIGO]],Tabla1[],6,0),"")</f>
        <v>UNI</v>
      </c>
      <c r="H430" s="26">
        <f>IFERROR(VLOOKUP(Tabla2[[#This Row],[CODIGO]],Tabla1[],10,0),"")</f>
        <v>0</v>
      </c>
      <c r="I430" s="7">
        <v>1</v>
      </c>
      <c r="J430" s="29" t="s">
        <v>320</v>
      </c>
      <c r="K430" s="26" t="str">
        <f>IFERROR(VLOOKUP(Tabla2[[#This Row],[CODIGO]],Tabla1[],11,0),"")</f>
        <v>COMPRA</v>
      </c>
      <c r="L430" s="67"/>
      <c r="M430" s="67"/>
      <c r="N430" s="70"/>
      <c r="O430" s="70">
        <f>Tabla2[[#This Row],[CANTIDAD]]*Tabla2[[#This Row],[PREC. UNITARIO]]</f>
        <v>0</v>
      </c>
      <c r="R430" t="str">
        <f>Tabla2[[#This Row],[QUIEN RECIBE]]&amp;"-"&amp;TEXT(Tabla2[[#This Row],[FECHA]],"dd/mm/yyyy")</f>
        <v>-29/09/2025</v>
      </c>
    </row>
    <row r="431" spans="2:18" ht="20.45" hidden="1" customHeight="1" x14ac:dyDescent="0.25">
      <c r="B431" s="5">
        <v>45929</v>
      </c>
      <c r="C431" s="2" t="str">
        <f>IFERROR(_xlfn.XLOOKUP(Tabla2[[#This Row],[PRODUCTO]],Tabla1[PRODUCTO],Tabla1[CODIGO]),"")</f>
        <v>HM-50</v>
      </c>
      <c r="D431" s="31" t="s">
        <v>432</v>
      </c>
      <c r="E431" s="31" t="str">
        <f>IFERROR(VLOOKUP(Tabla2[[#This Row],[CODIGO]],Tabla1[],3,0),"")</f>
        <v>HERRAMIENTAS</v>
      </c>
      <c r="F431" s="28" t="str">
        <f>IFERROR(VLOOKUP(Tabla2[[#This Row],[CODIGO]],Tabla1[],5,0),"")</f>
        <v>ALMACEN TICAPAMPA</v>
      </c>
      <c r="G431" s="26" t="str">
        <f>IFERROR(VLOOKUP(Tabla2[[#This Row],[CODIGO]],Tabla1[],6,0),"")</f>
        <v>UNI</v>
      </c>
      <c r="H431" s="26">
        <f>IFERROR(VLOOKUP(Tabla2[[#This Row],[CODIGO]],Tabla1[],10,0),"")</f>
        <v>0</v>
      </c>
      <c r="I431" s="7">
        <v>-1</v>
      </c>
      <c r="J431" s="29" t="s">
        <v>429</v>
      </c>
      <c r="K431" s="26" t="str">
        <f>IFERROR(VLOOKUP(Tabla2[[#This Row],[CODIGO]],Tabla1[],11,0),"")</f>
        <v>COMPRA</v>
      </c>
      <c r="L431" s="67" t="s">
        <v>236</v>
      </c>
      <c r="M431" s="67" t="s">
        <v>304</v>
      </c>
      <c r="N431" s="70"/>
      <c r="O431" s="70">
        <f>Tabla2[[#This Row],[CANTIDAD]]*Tabla2[[#This Row],[PREC. UNITARIO]]</f>
        <v>0</v>
      </c>
      <c r="Q431" t="s">
        <v>433</v>
      </c>
      <c r="R431" t="str">
        <f>Tabla2[[#This Row],[QUIEN RECIBE]]&amp;"-"&amp;TEXT(Tabla2[[#This Row],[FECHA]],"dd/mm/yyyy")</f>
        <v>LOZA, GUILLERMO-29/09/2025</v>
      </c>
    </row>
    <row r="432" spans="2:18" ht="20.45" hidden="1" customHeight="1" x14ac:dyDescent="0.25">
      <c r="B432" s="5">
        <v>45929</v>
      </c>
      <c r="C432" s="2" t="str">
        <f>IFERROR(_xlfn.XLOOKUP(Tabla2[[#This Row],[PRODUCTO]],Tabla1[PRODUCTO],Tabla1[CODIGO]),"")</f>
        <v>HM-17</v>
      </c>
      <c r="D432" s="31" t="s">
        <v>377</v>
      </c>
      <c r="E432" s="31" t="str">
        <f>IFERROR(VLOOKUP(Tabla2[[#This Row],[CODIGO]],Tabla1[],3,0),"")</f>
        <v>HERRAMIENTAS</v>
      </c>
      <c r="F432" s="28" t="str">
        <f>IFERROR(VLOOKUP(Tabla2[[#This Row],[CODIGO]],Tabla1[],5,0),"")</f>
        <v>ALMACEN TICAPAMPA</v>
      </c>
      <c r="G432" s="26" t="str">
        <f>IFERROR(VLOOKUP(Tabla2[[#This Row],[CODIGO]],Tabla1[],6,0),"")</f>
        <v>UNI</v>
      </c>
      <c r="H432" s="26">
        <f>IFERROR(VLOOKUP(Tabla2[[#This Row],[CODIGO]],Tabla1[],10,0),"")</f>
        <v>6</v>
      </c>
      <c r="I432" s="7">
        <v>-1</v>
      </c>
      <c r="J432" s="29" t="s">
        <v>350</v>
      </c>
      <c r="K432" s="26" t="str">
        <f>IFERROR(VLOOKUP(Tabla2[[#This Row],[CODIGO]],Tabla1[],11,0),"")</f>
        <v>COMPRA</v>
      </c>
      <c r="L432" s="67" t="s">
        <v>236</v>
      </c>
      <c r="M432" s="67" t="s">
        <v>323</v>
      </c>
      <c r="N432" s="70"/>
      <c r="O432" s="70">
        <f>Tabla2[[#This Row],[CANTIDAD]]*Tabla2[[#This Row],[PREC. UNITARIO]]</f>
        <v>0</v>
      </c>
      <c r="R432" t="str">
        <f>Tabla2[[#This Row],[QUIEN RECIBE]]&amp;"-"&amp;TEXT(Tabla2[[#This Row],[FECHA]],"dd/mm/yyyy")</f>
        <v>TUANAMA PILCO, CRHIS-29/09/2025</v>
      </c>
    </row>
    <row r="433" spans="2:18" ht="20.45" hidden="1" customHeight="1" x14ac:dyDescent="0.25">
      <c r="B433" s="5">
        <v>45929</v>
      </c>
      <c r="C433" s="2" t="str">
        <f>IFERROR(_xlfn.XLOOKUP(Tabla2[[#This Row],[PRODUCTO]],Tabla1[PRODUCTO],Tabla1[CODIGO]),"")</f>
        <v>ISA-12</v>
      </c>
      <c r="D433" s="31" t="s">
        <v>434</v>
      </c>
      <c r="E433" s="31" t="str">
        <f>IFERROR(VLOOKUP(Tabla2[[#This Row],[CODIGO]],Tabla1[],3,0),"")</f>
        <v>INSTALACIONES SANITARIAS</v>
      </c>
      <c r="F433" s="28" t="str">
        <f>IFERROR(VLOOKUP(Tabla2[[#This Row],[CODIGO]],Tabla1[],5,0),"")</f>
        <v>ALMACEN TICAPAMPA</v>
      </c>
      <c r="G433" s="26" t="str">
        <f>IFERROR(VLOOKUP(Tabla2[[#This Row],[CODIGO]],Tabla1[],6,0),"")</f>
        <v>UNI</v>
      </c>
      <c r="H433" s="26">
        <f>IFERROR(VLOOKUP(Tabla2[[#This Row],[CODIGO]],Tabla1[],10,0),"")</f>
        <v>0</v>
      </c>
      <c r="I433" s="7">
        <v>1</v>
      </c>
      <c r="J433" s="29" t="s">
        <v>320</v>
      </c>
      <c r="K433" s="26" t="str">
        <f>IFERROR(VLOOKUP(Tabla2[[#This Row],[CODIGO]],Tabla1[],11,0),"")</f>
        <v>COMPRA</v>
      </c>
      <c r="L433" s="67"/>
      <c r="M433" s="67"/>
      <c r="N433" s="70"/>
      <c r="O433" s="70">
        <f>Tabla2[[#This Row],[CANTIDAD]]*Tabla2[[#This Row],[PREC. UNITARIO]]</f>
        <v>0</v>
      </c>
      <c r="R433" t="str">
        <f>Tabla2[[#This Row],[QUIEN RECIBE]]&amp;"-"&amp;TEXT(Tabla2[[#This Row],[FECHA]],"dd/mm/yyyy")</f>
        <v>-29/09/2025</v>
      </c>
    </row>
    <row r="434" spans="2:18" ht="20.45" hidden="1" customHeight="1" x14ac:dyDescent="0.25">
      <c r="B434" s="5">
        <v>45929</v>
      </c>
      <c r="C434" s="2" t="str">
        <f>IFERROR(_xlfn.XLOOKUP(Tabla2[[#This Row],[PRODUCTO]],Tabla1[PRODUCTO],Tabla1[CODIGO]),"")</f>
        <v>ISA-13</v>
      </c>
      <c r="D434" s="31" t="s">
        <v>435</v>
      </c>
      <c r="E434" s="31" t="str">
        <f>IFERROR(VLOOKUP(Tabla2[[#This Row],[CODIGO]],Tabla1[],3,0),"")</f>
        <v>INSTALACIONES SANITARIAS</v>
      </c>
      <c r="F434" s="28" t="str">
        <f>IFERROR(VLOOKUP(Tabla2[[#This Row],[CODIGO]],Tabla1[],5,0),"")</f>
        <v>ALMACEN TICAPAMPA</v>
      </c>
      <c r="G434" s="26" t="str">
        <f>IFERROR(VLOOKUP(Tabla2[[#This Row],[CODIGO]],Tabla1[],6,0),"")</f>
        <v>UNI</v>
      </c>
      <c r="H434" s="26">
        <f>IFERROR(VLOOKUP(Tabla2[[#This Row],[CODIGO]],Tabla1[],10,0),"")</f>
        <v>0</v>
      </c>
      <c r="I434" s="7">
        <v>4</v>
      </c>
      <c r="J434" s="29" t="s">
        <v>320</v>
      </c>
      <c r="K434" s="26" t="str">
        <f>IFERROR(VLOOKUP(Tabla2[[#This Row],[CODIGO]],Tabla1[],11,0),"")</f>
        <v>COMPRA</v>
      </c>
      <c r="L434" s="67"/>
      <c r="M434" s="67"/>
      <c r="N434" s="70"/>
      <c r="O434" s="70">
        <f>Tabla2[[#This Row],[CANTIDAD]]*Tabla2[[#This Row],[PREC. UNITARIO]]</f>
        <v>0</v>
      </c>
      <c r="R434" t="str">
        <f>Tabla2[[#This Row],[QUIEN RECIBE]]&amp;"-"&amp;TEXT(Tabla2[[#This Row],[FECHA]],"dd/mm/yyyy")</f>
        <v>-29/09/2025</v>
      </c>
    </row>
    <row r="435" spans="2:18" ht="20.45" hidden="1" customHeight="1" x14ac:dyDescent="0.25">
      <c r="B435" s="5">
        <v>45929</v>
      </c>
      <c r="C435" s="2" t="str">
        <f>IFERROR(_xlfn.XLOOKUP(Tabla2[[#This Row],[PRODUCTO]],Tabla1[PRODUCTO],Tabla1[CODIGO]),"")</f>
        <v>ISA-14</v>
      </c>
      <c r="D435" s="31" t="s">
        <v>436</v>
      </c>
      <c r="E435" s="31" t="str">
        <f>IFERROR(VLOOKUP(Tabla2[[#This Row],[CODIGO]],Tabla1[],3,0),"")</f>
        <v>INSTALACIONES SANITARIAS</v>
      </c>
      <c r="F435" s="28" t="str">
        <f>IFERROR(VLOOKUP(Tabla2[[#This Row],[CODIGO]],Tabla1[],5,0),"")</f>
        <v>ALMACEN TICAPAMPA</v>
      </c>
      <c r="G435" s="26" t="str">
        <f>IFERROR(VLOOKUP(Tabla2[[#This Row],[CODIGO]],Tabla1[],6,0),"")</f>
        <v>UNI</v>
      </c>
      <c r="H435" s="26">
        <f>IFERROR(VLOOKUP(Tabla2[[#This Row],[CODIGO]],Tabla1[],10,0),"")</f>
        <v>0</v>
      </c>
      <c r="I435" s="7">
        <v>2</v>
      </c>
      <c r="J435" s="29" t="s">
        <v>320</v>
      </c>
      <c r="K435" s="26" t="str">
        <f>IFERROR(VLOOKUP(Tabla2[[#This Row],[CODIGO]],Tabla1[],11,0),"")</f>
        <v>COMPRA</v>
      </c>
      <c r="L435" s="67"/>
      <c r="M435" s="67"/>
      <c r="N435" s="70"/>
      <c r="O435" s="70">
        <f>Tabla2[[#This Row],[CANTIDAD]]*Tabla2[[#This Row],[PREC. UNITARIO]]</f>
        <v>0</v>
      </c>
      <c r="R435" t="str">
        <f>Tabla2[[#This Row],[QUIEN RECIBE]]&amp;"-"&amp;TEXT(Tabla2[[#This Row],[FECHA]],"dd/mm/yyyy")</f>
        <v>-29/09/2025</v>
      </c>
    </row>
    <row r="436" spans="2:18" ht="20.45" hidden="1" customHeight="1" x14ac:dyDescent="0.25">
      <c r="B436" s="5">
        <v>45929</v>
      </c>
      <c r="C436" s="2" t="str">
        <f>IFERROR(_xlfn.XLOOKUP(Tabla2[[#This Row],[PRODUCTO]],Tabla1[PRODUCTO],Tabla1[CODIGO]),"")</f>
        <v>ISA-8</v>
      </c>
      <c r="D436" s="31" t="s">
        <v>279</v>
      </c>
      <c r="E436" s="31" t="str">
        <f>IFERROR(VLOOKUP(Tabla2[[#This Row],[CODIGO]],Tabla1[],3,0),"")</f>
        <v>INSTALACIONES SANITARIAS</v>
      </c>
      <c r="F436" s="28" t="str">
        <f>IFERROR(VLOOKUP(Tabla2[[#This Row],[CODIGO]],Tabla1[],5,0),"")</f>
        <v>ALMACEN TICAPAMPA</v>
      </c>
      <c r="G436" s="26" t="str">
        <f>IFERROR(VLOOKUP(Tabla2[[#This Row],[CODIGO]],Tabla1[],6,0),"")</f>
        <v>UNI</v>
      </c>
      <c r="H436" s="26">
        <f>IFERROR(VLOOKUP(Tabla2[[#This Row],[CODIGO]],Tabla1[],10,0),"")</f>
        <v>1</v>
      </c>
      <c r="I436" s="7">
        <v>1</v>
      </c>
      <c r="J436" s="29" t="s">
        <v>320</v>
      </c>
      <c r="K436" s="26" t="str">
        <f>IFERROR(VLOOKUP(Tabla2[[#This Row],[CODIGO]],Tabla1[],11,0),"")</f>
        <v>COMPRA</v>
      </c>
      <c r="L436" s="67"/>
      <c r="M436" s="67"/>
      <c r="N436" s="70"/>
      <c r="O436" s="70">
        <f>Tabla2[[#This Row],[CANTIDAD]]*Tabla2[[#This Row],[PREC. UNITARIO]]</f>
        <v>0</v>
      </c>
      <c r="R436" t="str">
        <f>Tabla2[[#This Row],[QUIEN RECIBE]]&amp;"-"&amp;TEXT(Tabla2[[#This Row],[FECHA]],"dd/mm/yyyy")</f>
        <v>-29/09/2025</v>
      </c>
    </row>
    <row r="437" spans="2:18" ht="20.45" hidden="1" customHeight="1" x14ac:dyDescent="0.25">
      <c r="B437" s="5">
        <v>45929</v>
      </c>
      <c r="C437" s="2" t="str">
        <f>IFERROR(_xlfn.XLOOKUP(Tabla2[[#This Row],[PRODUCTO]],Tabla1[PRODUCTO],Tabla1[CODIGO]),"")</f>
        <v>ISA-15</v>
      </c>
      <c r="D437" s="31" t="s">
        <v>437</v>
      </c>
      <c r="E437" s="31" t="str">
        <f>IFERROR(VLOOKUP(Tabla2[[#This Row],[CODIGO]],Tabla1[],3,0),"")</f>
        <v>INSTALACIONES SANITARIAS</v>
      </c>
      <c r="F437" s="28" t="str">
        <f>IFERROR(VLOOKUP(Tabla2[[#This Row],[CODIGO]],Tabla1[],5,0),"")</f>
        <v>ALMACEN TICAPAMPA</v>
      </c>
      <c r="G437" s="26" t="str">
        <f>IFERROR(VLOOKUP(Tabla2[[#This Row],[CODIGO]],Tabla1[],6,0),"")</f>
        <v>UNI</v>
      </c>
      <c r="H437" s="26">
        <f>IFERROR(VLOOKUP(Tabla2[[#This Row],[CODIGO]],Tabla1[],10,0),"")</f>
        <v>0</v>
      </c>
      <c r="I437" s="7">
        <v>1</v>
      </c>
      <c r="J437" s="29" t="s">
        <v>320</v>
      </c>
      <c r="K437" s="26" t="str">
        <f>IFERROR(VLOOKUP(Tabla2[[#This Row],[CODIGO]],Tabla1[],11,0),"")</f>
        <v>COMPRA</v>
      </c>
      <c r="L437" s="67"/>
      <c r="M437" s="67"/>
      <c r="N437" s="70"/>
      <c r="O437" s="70">
        <f>Tabla2[[#This Row],[CANTIDAD]]*Tabla2[[#This Row],[PREC. UNITARIO]]</f>
        <v>0</v>
      </c>
      <c r="R437" t="str">
        <f>Tabla2[[#This Row],[QUIEN RECIBE]]&amp;"-"&amp;TEXT(Tabla2[[#This Row],[FECHA]],"dd/mm/yyyy")</f>
        <v>-29/09/2025</v>
      </c>
    </row>
    <row r="438" spans="2:18" ht="20.45" hidden="1" customHeight="1" x14ac:dyDescent="0.25">
      <c r="B438" s="5">
        <v>45929</v>
      </c>
      <c r="C438" s="2" t="str">
        <f>IFERROR(_xlfn.XLOOKUP(Tabla2[[#This Row],[PRODUCTO]],Tabla1[PRODUCTO],Tabla1[CODIGO]),"")</f>
        <v>ISA-16</v>
      </c>
      <c r="D438" s="31" t="s">
        <v>438</v>
      </c>
      <c r="E438" s="31" t="str">
        <f>IFERROR(VLOOKUP(Tabla2[[#This Row],[CODIGO]],Tabla1[],3,0),"")</f>
        <v>INSTALACIONES SANITARIAS</v>
      </c>
      <c r="F438" s="28" t="str">
        <f>IFERROR(VLOOKUP(Tabla2[[#This Row],[CODIGO]],Tabla1[],5,0),"")</f>
        <v>ALMACEN TICAPAMPA</v>
      </c>
      <c r="G438" s="26" t="str">
        <f>IFERROR(VLOOKUP(Tabla2[[#This Row],[CODIGO]],Tabla1[],6,0),"")</f>
        <v>UNI</v>
      </c>
      <c r="H438" s="26">
        <f>IFERROR(VLOOKUP(Tabla2[[#This Row],[CODIGO]],Tabla1[],10,0),"")</f>
        <v>0</v>
      </c>
      <c r="I438" s="7">
        <v>3</v>
      </c>
      <c r="J438" s="29" t="s">
        <v>320</v>
      </c>
      <c r="K438" s="26" t="str">
        <f>IFERROR(VLOOKUP(Tabla2[[#This Row],[CODIGO]],Tabla1[],11,0),"")</f>
        <v>COMPRA</v>
      </c>
      <c r="L438" s="67"/>
      <c r="M438" s="67"/>
      <c r="N438" s="70"/>
      <c r="O438" s="70">
        <f>Tabla2[[#This Row],[CANTIDAD]]*Tabla2[[#This Row],[PREC. UNITARIO]]</f>
        <v>0</v>
      </c>
      <c r="R438" t="str">
        <f>Tabla2[[#This Row],[QUIEN RECIBE]]&amp;"-"&amp;TEXT(Tabla2[[#This Row],[FECHA]],"dd/mm/yyyy")</f>
        <v>-29/09/2025</v>
      </c>
    </row>
    <row r="439" spans="2:18" ht="20.45" hidden="1" customHeight="1" x14ac:dyDescent="0.25">
      <c r="B439" s="5">
        <v>45929</v>
      </c>
      <c r="C439" s="2" t="str">
        <f>IFERROR(_xlfn.XLOOKUP(Tabla2[[#This Row],[PRODUCTO]],Tabla1[PRODUCTO],Tabla1[CODIGO]),"")</f>
        <v>ISA-6</v>
      </c>
      <c r="D439" s="31" t="s">
        <v>139</v>
      </c>
      <c r="E439" s="31" t="str">
        <f>IFERROR(VLOOKUP(Tabla2[[#This Row],[CODIGO]],Tabla1[],3,0),"")</f>
        <v>INSTALACIONES SANITARIAS</v>
      </c>
      <c r="F439" s="28" t="str">
        <f>IFERROR(VLOOKUP(Tabla2[[#This Row],[CODIGO]],Tabla1[],5,0),"")</f>
        <v>ALMACEN TICAPAMPA</v>
      </c>
      <c r="G439" s="26" t="str">
        <f>IFERROR(VLOOKUP(Tabla2[[#This Row],[CODIGO]],Tabla1[],6,0),"")</f>
        <v>UNI</v>
      </c>
      <c r="H439" s="26">
        <f>IFERROR(VLOOKUP(Tabla2[[#This Row],[CODIGO]],Tabla1[],10,0),"")</f>
        <v>97</v>
      </c>
      <c r="I439" s="7">
        <v>-3</v>
      </c>
      <c r="J439" s="29" t="s">
        <v>439</v>
      </c>
      <c r="K439" s="26" t="str">
        <f>IFERROR(VLOOKUP(Tabla2[[#This Row],[CODIGO]],Tabla1[],11,0),"")</f>
        <v>COMPRA</v>
      </c>
      <c r="L439" s="67" t="s">
        <v>236</v>
      </c>
      <c r="M439" s="67" t="s">
        <v>258</v>
      </c>
      <c r="N439" s="70"/>
      <c r="O439" s="70">
        <f>Tabla2[[#This Row],[CANTIDAD]]*Tabla2[[#This Row],[PREC. UNITARIO]]</f>
        <v>0</v>
      </c>
      <c r="R439" t="str">
        <f>Tabla2[[#This Row],[QUIEN RECIBE]]&amp;"-"&amp;TEXT(Tabla2[[#This Row],[FECHA]],"dd/mm/yyyy")</f>
        <v>ADUVIRE ARGUATA, MARIO ARTURO-29/09/2025</v>
      </c>
    </row>
    <row r="440" spans="2:18" ht="20.45" hidden="1" customHeight="1" x14ac:dyDescent="0.25">
      <c r="B440" s="5">
        <v>45929</v>
      </c>
      <c r="C440" s="2" t="str">
        <f>IFERROR(_xlfn.XLOOKUP(Tabla2[[#This Row],[PRODUCTO]],Tabla1[PRODUCTO],Tabla1[CODIGO]),"")</f>
        <v>ISA-12</v>
      </c>
      <c r="D440" s="31" t="s">
        <v>434</v>
      </c>
      <c r="E440" s="31" t="str">
        <f>IFERROR(VLOOKUP(Tabla2[[#This Row],[CODIGO]],Tabla1[],3,0),"")</f>
        <v>INSTALACIONES SANITARIAS</v>
      </c>
      <c r="F440" s="28" t="str">
        <f>IFERROR(VLOOKUP(Tabla2[[#This Row],[CODIGO]],Tabla1[],5,0),"")</f>
        <v>ALMACEN TICAPAMPA</v>
      </c>
      <c r="G440" s="26" t="str">
        <f>IFERROR(VLOOKUP(Tabla2[[#This Row],[CODIGO]],Tabla1[],6,0),"")</f>
        <v>UNI</v>
      </c>
      <c r="H440" s="26">
        <f>IFERROR(VLOOKUP(Tabla2[[#This Row],[CODIGO]],Tabla1[],10,0),"")</f>
        <v>0</v>
      </c>
      <c r="I440" s="7">
        <v>-1</v>
      </c>
      <c r="J440" s="29" t="s">
        <v>439</v>
      </c>
      <c r="K440" s="26" t="str">
        <f>IFERROR(VLOOKUP(Tabla2[[#This Row],[CODIGO]],Tabla1[],11,0),"")</f>
        <v>COMPRA</v>
      </c>
      <c r="L440" s="67" t="s">
        <v>236</v>
      </c>
      <c r="M440" s="67" t="s">
        <v>258</v>
      </c>
      <c r="N440" s="70"/>
      <c r="O440" s="70">
        <f>Tabla2[[#This Row],[CANTIDAD]]*Tabla2[[#This Row],[PREC. UNITARIO]]</f>
        <v>0</v>
      </c>
      <c r="R440" t="str">
        <f>Tabla2[[#This Row],[QUIEN RECIBE]]&amp;"-"&amp;TEXT(Tabla2[[#This Row],[FECHA]],"dd/mm/yyyy")</f>
        <v>ADUVIRE ARGUATA, MARIO ARTURO-29/09/2025</v>
      </c>
    </row>
    <row r="441" spans="2:18" ht="20.45" hidden="1" customHeight="1" x14ac:dyDescent="0.25">
      <c r="B441" s="5">
        <v>45929</v>
      </c>
      <c r="C441" s="2" t="str">
        <f>IFERROR(_xlfn.XLOOKUP(Tabla2[[#This Row],[PRODUCTO]],Tabla1[PRODUCTO],Tabla1[CODIGO]),"")</f>
        <v>ISA-13</v>
      </c>
      <c r="D441" s="31" t="s">
        <v>435</v>
      </c>
      <c r="E441" s="31" t="str">
        <f>IFERROR(VLOOKUP(Tabla2[[#This Row],[CODIGO]],Tabla1[],3,0),"")</f>
        <v>INSTALACIONES SANITARIAS</v>
      </c>
      <c r="F441" s="28" t="str">
        <f>IFERROR(VLOOKUP(Tabla2[[#This Row],[CODIGO]],Tabla1[],5,0),"")</f>
        <v>ALMACEN TICAPAMPA</v>
      </c>
      <c r="G441" s="26" t="str">
        <f>IFERROR(VLOOKUP(Tabla2[[#This Row],[CODIGO]],Tabla1[],6,0),"")</f>
        <v>UNI</v>
      </c>
      <c r="H441" s="26">
        <f>IFERROR(VLOOKUP(Tabla2[[#This Row],[CODIGO]],Tabla1[],10,0),"")</f>
        <v>0</v>
      </c>
      <c r="I441" s="7">
        <v>-4</v>
      </c>
      <c r="J441" s="29" t="s">
        <v>439</v>
      </c>
      <c r="K441" s="26" t="str">
        <f>IFERROR(VLOOKUP(Tabla2[[#This Row],[CODIGO]],Tabla1[],11,0),"")</f>
        <v>COMPRA</v>
      </c>
      <c r="L441" s="67" t="s">
        <v>236</v>
      </c>
      <c r="M441" s="67" t="s">
        <v>258</v>
      </c>
      <c r="N441" s="70"/>
      <c r="O441" s="70">
        <f>Tabla2[[#This Row],[CANTIDAD]]*Tabla2[[#This Row],[PREC. UNITARIO]]</f>
        <v>0</v>
      </c>
      <c r="R441" t="str">
        <f>Tabla2[[#This Row],[QUIEN RECIBE]]&amp;"-"&amp;TEXT(Tabla2[[#This Row],[FECHA]],"dd/mm/yyyy")</f>
        <v>ADUVIRE ARGUATA, MARIO ARTURO-29/09/2025</v>
      </c>
    </row>
    <row r="442" spans="2:18" ht="20.45" hidden="1" customHeight="1" x14ac:dyDescent="0.25">
      <c r="B442" s="5">
        <v>45929</v>
      </c>
      <c r="C442" s="2" t="str">
        <f>IFERROR(_xlfn.XLOOKUP(Tabla2[[#This Row],[PRODUCTO]],Tabla1[PRODUCTO],Tabla1[CODIGO]),"")</f>
        <v>ISA-14</v>
      </c>
      <c r="D442" s="31" t="s">
        <v>436</v>
      </c>
      <c r="E442" s="31" t="str">
        <f>IFERROR(VLOOKUP(Tabla2[[#This Row],[CODIGO]],Tabla1[],3,0),"")</f>
        <v>INSTALACIONES SANITARIAS</v>
      </c>
      <c r="F442" s="28" t="str">
        <f>IFERROR(VLOOKUP(Tabla2[[#This Row],[CODIGO]],Tabla1[],5,0),"")</f>
        <v>ALMACEN TICAPAMPA</v>
      </c>
      <c r="G442" s="26" t="str">
        <f>IFERROR(VLOOKUP(Tabla2[[#This Row],[CODIGO]],Tabla1[],6,0),"")</f>
        <v>UNI</v>
      </c>
      <c r="H442" s="26">
        <f>IFERROR(VLOOKUP(Tabla2[[#This Row],[CODIGO]],Tabla1[],10,0),"")</f>
        <v>0</v>
      </c>
      <c r="I442" s="7">
        <v>-2</v>
      </c>
      <c r="J442" s="29" t="s">
        <v>439</v>
      </c>
      <c r="K442" s="26" t="str">
        <f>IFERROR(VLOOKUP(Tabla2[[#This Row],[CODIGO]],Tabla1[],11,0),"")</f>
        <v>COMPRA</v>
      </c>
      <c r="L442" s="67" t="s">
        <v>236</v>
      </c>
      <c r="M442" s="67" t="s">
        <v>258</v>
      </c>
      <c r="N442" s="70"/>
      <c r="O442" s="70">
        <f>Tabla2[[#This Row],[CANTIDAD]]*Tabla2[[#This Row],[PREC. UNITARIO]]</f>
        <v>0</v>
      </c>
      <c r="R442" t="str">
        <f>Tabla2[[#This Row],[QUIEN RECIBE]]&amp;"-"&amp;TEXT(Tabla2[[#This Row],[FECHA]],"dd/mm/yyyy")</f>
        <v>ADUVIRE ARGUATA, MARIO ARTURO-29/09/2025</v>
      </c>
    </row>
    <row r="443" spans="2:18" ht="20.45" hidden="1" customHeight="1" x14ac:dyDescent="0.25">
      <c r="B443" s="5">
        <v>45929</v>
      </c>
      <c r="C443" s="2" t="str">
        <f>IFERROR(_xlfn.XLOOKUP(Tabla2[[#This Row],[PRODUCTO]],Tabla1[PRODUCTO],Tabla1[CODIGO]),"")</f>
        <v>ISA-8</v>
      </c>
      <c r="D443" s="31" t="s">
        <v>279</v>
      </c>
      <c r="E443" s="31" t="str">
        <f>IFERROR(VLOOKUP(Tabla2[[#This Row],[CODIGO]],Tabla1[],3,0),"")</f>
        <v>INSTALACIONES SANITARIAS</v>
      </c>
      <c r="F443" s="28" t="str">
        <f>IFERROR(VLOOKUP(Tabla2[[#This Row],[CODIGO]],Tabla1[],5,0),"")</f>
        <v>ALMACEN TICAPAMPA</v>
      </c>
      <c r="G443" s="26" t="str">
        <f>IFERROR(VLOOKUP(Tabla2[[#This Row],[CODIGO]],Tabla1[],6,0),"")</f>
        <v>UNI</v>
      </c>
      <c r="H443" s="26">
        <f>IFERROR(VLOOKUP(Tabla2[[#This Row],[CODIGO]],Tabla1[],10,0),"")</f>
        <v>1</v>
      </c>
      <c r="I443" s="7">
        <v>-1</v>
      </c>
      <c r="J443" s="29" t="s">
        <v>439</v>
      </c>
      <c r="K443" s="26" t="str">
        <f>IFERROR(VLOOKUP(Tabla2[[#This Row],[CODIGO]],Tabla1[],11,0),"")</f>
        <v>COMPRA</v>
      </c>
      <c r="L443" s="67" t="s">
        <v>236</v>
      </c>
      <c r="M443" s="67" t="s">
        <v>258</v>
      </c>
      <c r="N443" s="70"/>
      <c r="O443" s="70">
        <f>Tabla2[[#This Row],[CANTIDAD]]*Tabla2[[#This Row],[PREC. UNITARIO]]</f>
        <v>0</v>
      </c>
      <c r="R443" t="str">
        <f>Tabla2[[#This Row],[QUIEN RECIBE]]&amp;"-"&amp;TEXT(Tabla2[[#This Row],[FECHA]],"dd/mm/yyyy")</f>
        <v>ADUVIRE ARGUATA, MARIO ARTURO-29/09/2025</v>
      </c>
    </row>
    <row r="444" spans="2:18" ht="20.45" hidden="1" customHeight="1" x14ac:dyDescent="0.25">
      <c r="B444" s="5">
        <v>45929</v>
      </c>
      <c r="C444" s="2" t="str">
        <f>IFERROR(_xlfn.XLOOKUP(Tabla2[[#This Row],[PRODUCTO]],Tabla1[PRODUCTO],Tabla1[CODIGO]),"")</f>
        <v>ISA-15</v>
      </c>
      <c r="D444" s="31" t="s">
        <v>437</v>
      </c>
      <c r="E444" s="31" t="str">
        <f>IFERROR(VLOOKUP(Tabla2[[#This Row],[CODIGO]],Tabla1[],3,0),"")</f>
        <v>INSTALACIONES SANITARIAS</v>
      </c>
      <c r="F444" s="28" t="str">
        <f>IFERROR(VLOOKUP(Tabla2[[#This Row],[CODIGO]],Tabla1[],5,0),"")</f>
        <v>ALMACEN TICAPAMPA</v>
      </c>
      <c r="G444" s="26" t="str">
        <f>IFERROR(VLOOKUP(Tabla2[[#This Row],[CODIGO]],Tabla1[],6,0),"")</f>
        <v>UNI</v>
      </c>
      <c r="H444" s="26">
        <f>IFERROR(VLOOKUP(Tabla2[[#This Row],[CODIGO]],Tabla1[],10,0),"")</f>
        <v>0</v>
      </c>
      <c r="I444" s="7">
        <v>-1</v>
      </c>
      <c r="J444" s="29" t="s">
        <v>439</v>
      </c>
      <c r="K444" s="26" t="str">
        <f>IFERROR(VLOOKUP(Tabla2[[#This Row],[CODIGO]],Tabla1[],11,0),"")</f>
        <v>COMPRA</v>
      </c>
      <c r="L444" s="67" t="s">
        <v>236</v>
      </c>
      <c r="M444" s="67" t="s">
        <v>258</v>
      </c>
      <c r="N444" s="70"/>
      <c r="O444" s="70">
        <f>Tabla2[[#This Row],[CANTIDAD]]*Tabla2[[#This Row],[PREC. UNITARIO]]</f>
        <v>0</v>
      </c>
      <c r="R444" t="str">
        <f>Tabla2[[#This Row],[QUIEN RECIBE]]&amp;"-"&amp;TEXT(Tabla2[[#This Row],[FECHA]],"dd/mm/yyyy")</f>
        <v>ADUVIRE ARGUATA, MARIO ARTURO-29/09/2025</v>
      </c>
    </row>
    <row r="445" spans="2:18" ht="20.45" hidden="1" customHeight="1" x14ac:dyDescent="0.25">
      <c r="B445" s="5">
        <v>45929</v>
      </c>
      <c r="C445" s="2" t="str">
        <f>IFERROR(_xlfn.XLOOKUP(Tabla2[[#This Row],[PRODUCTO]],Tabla1[PRODUCTO],Tabla1[CODIGO]),"")</f>
        <v>ISA-16</v>
      </c>
      <c r="D445" s="31" t="s">
        <v>438</v>
      </c>
      <c r="E445" s="31" t="str">
        <f>IFERROR(VLOOKUP(Tabla2[[#This Row],[CODIGO]],Tabla1[],3,0),"")</f>
        <v>INSTALACIONES SANITARIAS</v>
      </c>
      <c r="F445" s="28" t="str">
        <f>IFERROR(VLOOKUP(Tabla2[[#This Row],[CODIGO]],Tabla1[],5,0),"")</f>
        <v>ALMACEN TICAPAMPA</v>
      </c>
      <c r="G445" s="26" t="str">
        <f>IFERROR(VLOOKUP(Tabla2[[#This Row],[CODIGO]],Tabla1[],6,0),"")</f>
        <v>UNI</v>
      </c>
      <c r="H445" s="26">
        <f>IFERROR(VLOOKUP(Tabla2[[#This Row],[CODIGO]],Tabla1[],10,0),"")</f>
        <v>0</v>
      </c>
      <c r="I445" s="7">
        <v>-3</v>
      </c>
      <c r="J445" s="29" t="s">
        <v>439</v>
      </c>
      <c r="K445" s="26" t="str">
        <f>IFERROR(VLOOKUP(Tabla2[[#This Row],[CODIGO]],Tabla1[],11,0),"")</f>
        <v>COMPRA</v>
      </c>
      <c r="L445" s="67" t="s">
        <v>236</v>
      </c>
      <c r="M445" s="67" t="s">
        <v>258</v>
      </c>
      <c r="N445" s="70"/>
      <c r="O445" s="70">
        <f>Tabla2[[#This Row],[CANTIDAD]]*Tabla2[[#This Row],[PREC. UNITARIO]]</f>
        <v>0</v>
      </c>
      <c r="R445" t="str">
        <f>Tabla2[[#This Row],[QUIEN RECIBE]]&amp;"-"&amp;TEXT(Tabla2[[#This Row],[FECHA]],"dd/mm/yyyy")</f>
        <v>ADUVIRE ARGUATA, MARIO ARTURO-29/09/2025</v>
      </c>
    </row>
    <row r="446" spans="2:18" ht="20.45" hidden="1" customHeight="1" x14ac:dyDescent="0.25">
      <c r="B446" s="5">
        <v>45929</v>
      </c>
      <c r="C446" s="2" t="str">
        <f>IFERROR(_xlfn.XLOOKUP(Tabla2[[#This Row],[PRODUCTO]],Tabla1[PRODUCTO],Tabla1[CODIGO]),"")</f>
        <v>HM-51</v>
      </c>
      <c r="D446" s="31" t="s">
        <v>446</v>
      </c>
      <c r="E446" s="31" t="str">
        <f>IFERROR(VLOOKUP(Tabla2[[#This Row],[CODIGO]],Tabla1[],3,0),"")</f>
        <v>HERRAMIENTAS</v>
      </c>
      <c r="F446" s="28" t="str">
        <f>IFERROR(VLOOKUP(Tabla2[[#This Row],[CODIGO]],Tabla1[],5,0),"")</f>
        <v>ALMACEN TICAPAMPA</v>
      </c>
      <c r="G446" s="26" t="str">
        <f>IFERROR(VLOOKUP(Tabla2[[#This Row],[CODIGO]],Tabla1[],6,0),"")</f>
        <v>UNI</v>
      </c>
      <c r="H446" s="26">
        <f>IFERROR(VLOOKUP(Tabla2[[#This Row],[CODIGO]],Tabla1[],10,0),"")</f>
        <v>0</v>
      </c>
      <c r="I446" s="7">
        <v>1</v>
      </c>
      <c r="J446" s="29" t="s">
        <v>320</v>
      </c>
      <c r="K446" s="26" t="str">
        <f>IFERROR(VLOOKUP(Tabla2[[#This Row],[CODIGO]],Tabla1[],11,0),"")</f>
        <v>COMPRA</v>
      </c>
      <c r="L446" s="67"/>
      <c r="M446" s="67"/>
      <c r="N446" s="70"/>
      <c r="O446" s="70">
        <f>Tabla2[[#This Row],[CANTIDAD]]*Tabla2[[#This Row],[PREC. UNITARIO]]</f>
        <v>0</v>
      </c>
      <c r="R446" t="str">
        <f>Tabla2[[#This Row],[QUIEN RECIBE]]&amp;"-"&amp;TEXT(Tabla2[[#This Row],[FECHA]],"dd/mm/yyyy")</f>
        <v>-29/09/2025</v>
      </c>
    </row>
    <row r="447" spans="2:18" ht="20.45" hidden="1" customHeight="1" x14ac:dyDescent="0.25">
      <c r="B447" s="5">
        <v>45929</v>
      </c>
      <c r="C447" s="2" t="str">
        <f>IFERROR(_xlfn.XLOOKUP(Tabla2[[#This Row],[PRODUCTO]],Tabla1[PRODUCTO],Tabla1[CODIGO]),"")</f>
        <v>HM-51</v>
      </c>
      <c r="D447" s="31" t="s">
        <v>446</v>
      </c>
      <c r="E447" s="31" t="str">
        <f>IFERROR(VLOOKUP(Tabla2[[#This Row],[CODIGO]],Tabla1[],3,0),"")</f>
        <v>HERRAMIENTAS</v>
      </c>
      <c r="F447" s="28" t="str">
        <f>IFERROR(VLOOKUP(Tabla2[[#This Row],[CODIGO]],Tabla1[],5,0),"")</f>
        <v>ALMACEN TICAPAMPA</v>
      </c>
      <c r="G447" s="26" t="str">
        <f>IFERROR(VLOOKUP(Tabla2[[#This Row],[CODIGO]],Tabla1[],6,0),"")</f>
        <v>UNI</v>
      </c>
      <c r="H447" s="26">
        <f>IFERROR(VLOOKUP(Tabla2[[#This Row],[CODIGO]],Tabla1[],10,0),"")</f>
        <v>0</v>
      </c>
      <c r="I447" s="7">
        <v>-1</v>
      </c>
      <c r="J447" s="29" t="s">
        <v>429</v>
      </c>
      <c r="K447" s="26" t="str">
        <f>IFERROR(VLOOKUP(Tabla2[[#This Row],[CODIGO]],Tabla1[],11,0),"")</f>
        <v>COMPRA</v>
      </c>
      <c r="L447" s="67" t="s">
        <v>236</v>
      </c>
      <c r="M447" s="67" t="s">
        <v>304</v>
      </c>
      <c r="N447" s="70"/>
      <c r="O447" s="70">
        <f>Tabla2[[#This Row],[CANTIDAD]]*Tabla2[[#This Row],[PREC. UNITARIO]]</f>
        <v>0</v>
      </c>
      <c r="R447" t="str">
        <f>Tabla2[[#This Row],[QUIEN RECIBE]]&amp;"-"&amp;TEXT(Tabla2[[#This Row],[FECHA]],"dd/mm/yyyy")</f>
        <v>LOZA, GUILLERMO-29/09/2025</v>
      </c>
    </row>
    <row r="448" spans="2:18" ht="20.45" hidden="1" customHeight="1" x14ac:dyDescent="0.25">
      <c r="B448" s="5">
        <v>45929</v>
      </c>
      <c r="C448" s="2" t="str">
        <f>IFERROR(_xlfn.XLOOKUP(Tabla2[[#This Row],[PRODUCTO]],Tabla1[PRODUCTO],Tabla1[CODIGO]),"")</f>
        <v>ISA-20</v>
      </c>
      <c r="D448" s="31" t="s">
        <v>443</v>
      </c>
      <c r="E448" s="31" t="str">
        <f>IFERROR(VLOOKUP(Tabla2[[#This Row],[CODIGO]],Tabla1[],3,0),"")</f>
        <v>INSTALACIONES SANITARIAS</v>
      </c>
      <c r="F448" s="28" t="str">
        <f>IFERROR(VLOOKUP(Tabla2[[#This Row],[CODIGO]],Tabla1[],5,0),"")</f>
        <v>ALMACEN TICAPAMPA</v>
      </c>
      <c r="G448" s="26" t="str">
        <f>IFERROR(VLOOKUP(Tabla2[[#This Row],[CODIGO]],Tabla1[],6,0),"")</f>
        <v>UNI</v>
      </c>
      <c r="H448" s="26">
        <f>IFERROR(VLOOKUP(Tabla2[[#This Row],[CODIGO]],Tabla1[],10,0),"")</f>
        <v>1</v>
      </c>
      <c r="I448" s="7">
        <v>1</v>
      </c>
      <c r="J448" s="29" t="s">
        <v>320</v>
      </c>
      <c r="K448" s="26" t="str">
        <f>IFERROR(VLOOKUP(Tabla2[[#This Row],[CODIGO]],Tabla1[],11,0),"")</f>
        <v>COMPRA</v>
      </c>
      <c r="L448" s="67"/>
      <c r="M448" s="67"/>
      <c r="N448" s="70"/>
      <c r="O448" s="70">
        <f>Tabla2[[#This Row],[CANTIDAD]]*Tabla2[[#This Row],[PREC. UNITARIO]]</f>
        <v>0</v>
      </c>
      <c r="R448" t="str">
        <f>Tabla2[[#This Row],[QUIEN RECIBE]]&amp;"-"&amp;TEXT(Tabla2[[#This Row],[FECHA]],"dd/mm/yyyy")</f>
        <v>-29/09/2025</v>
      </c>
    </row>
    <row r="449" spans="2:18" ht="20.45" hidden="1" customHeight="1" x14ac:dyDescent="0.25">
      <c r="B449" s="5">
        <v>45929</v>
      </c>
      <c r="C449" s="2" t="str">
        <f>IFERROR(_xlfn.XLOOKUP(Tabla2[[#This Row],[PRODUCTO]],Tabla1[PRODUCTO],Tabla1[CODIGO]),"")</f>
        <v>ISA-18</v>
      </c>
      <c r="D449" s="31" t="s">
        <v>441</v>
      </c>
      <c r="E449" s="31" t="str">
        <f>IFERROR(VLOOKUP(Tabla2[[#This Row],[CODIGO]],Tabla1[],3,0),"")</f>
        <v>INSTALACIONES SANITARIAS</v>
      </c>
      <c r="F449" s="28" t="str">
        <f>IFERROR(VLOOKUP(Tabla2[[#This Row],[CODIGO]],Tabla1[],5,0),"")</f>
        <v>ALMACEN TICAPAMPA</v>
      </c>
      <c r="G449" s="26" t="str">
        <f>IFERROR(VLOOKUP(Tabla2[[#This Row],[CODIGO]],Tabla1[],6,0),"")</f>
        <v>UNI</v>
      </c>
      <c r="H449" s="26">
        <f>IFERROR(VLOOKUP(Tabla2[[#This Row],[CODIGO]],Tabla1[],10,0),"")</f>
        <v>4</v>
      </c>
      <c r="I449" s="7">
        <v>1</v>
      </c>
      <c r="J449" s="29" t="s">
        <v>320</v>
      </c>
      <c r="K449" s="26" t="str">
        <f>IFERROR(VLOOKUP(Tabla2[[#This Row],[CODIGO]],Tabla1[],11,0),"")</f>
        <v>COMPRA</v>
      </c>
      <c r="L449" s="67"/>
      <c r="M449" s="67"/>
      <c r="N449" s="70"/>
      <c r="O449" s="70">
        <f>Tabla2[[#This Row],[CANTIDAD]]*Tabla2[[#This Row],[PREC. UNITARIO]]</f>
        <v>0</v>
      </c>
      <c r="R449" t="str">
        <f>Tabla2[[#This Row],[QUIEN RECIBE]]&amp;"-"&amp;TEXT(Tabla2[[#This Row],[FECHA]],"dd/mm/yyyy")</f>
        <v>-29/09/2025</v>
      </c>
    </row>
    <row r="450" spans="2:18" ht="20.45" hidden="1" customHeight="1" x14ac:dyDescent="0.25">
      <c r="B450" s="5">
        <v>45929</v>
      </c>
      <c r="C450" s="2" t="str">
        <f>IFERROR(_xlfn.XLOOKUP(Tabla2[[#This Row],[PRODUCTO]],Tabla1[PRODUCTO],Tabla1[CODIGO]),"")</f>
        <v>ISA-19</v>
      </c>
      <c r="D450" s="31" t="s">
        <v>442</v>
      </c>
      <c r="E450" s="31" t="str">
        <f>IFERROR(VLOOKUP(Tabla2[[#This Row],[CODIGO]],Tabla1[],3,0),"")</f>
        <v>INSTALACIONES SANITARIAS</v>
      </c>
      <c r="F450" s="28" t="str">
        <f>IFERROR(VLOOKUP(Tabla2[[#This Row],[CODIGO]],Tabla1[],5,0),"")</f>
        <v>ALMACEN TICAPAMPA</v>
      </c>
      <c r="G450" s="26" t="str">
        <f>IFERROR(VLOOKUP(Tabla2[[#This Row],[CODIGO]],Tabla1[],6,0),"")</f>
        <v>UNI</v>
      </c>
      <c r="H450" s="26">
        <f>IFERROR(VLOOKUP(Tabla2[[#This Row],[CODIGO]],Tabla1[],10,0),"")</f>
        <v>1</v>
      </c>
      <c r="I450" s="7">
        <v>1</v>
      </c>
      <c r="J450" s="29" t="s">
        <v>320</v>
      </c>
      <c r="K450" s="26" t="str">
        <f>IFERROR(VLOOKUP(Tabla2[[#This Row],[CODIGO]],Tabla1[],11,0),"")</f>
        <v>COMPRA</v>
      </c>
      <c r="L450" s="67"/>
      <c r="M450" s="67"/>
      <c r="N450" s="70"/>
      <c r="O450" s="70">
        <f>Tabla2[[#This Row],[CANTIDAD]]*Tabla2[[#This Row],[PREC. UNITARIO]]</f>
        <v>0</v>
      </c>
      <c r="R450" t="str">
        <f>Tabla2[[#This Row],[QUIEN RECIBE]]&amp;"-"&amp;TEXT(Tabla2[[#This Row],[FECHA]],"dd/mm/yyyy")</f>
        <v>-29/09/2025</v>
      </c>
    </row>
    <row r="451" spans="2:18" ht="20.45" hidden="1" customHeight="1" x14ac:dyDescent="0.25">
      <c r="B451" s="5">
        <v>45929</v>
      </c>
      <c r="C451" s="2" t="str">
        <f>IFERROR(_xlfn.XLOOKUP(Tabla2[[#This Row],[PRODUCTO]],Tabla1[PRODUCTO],Tabla1[CODIGO]),"")</f>
        <v>ISA-22</v>
      </c>
      <c r="D451" s="31" t="s">
        <v>445</v>
      </c>
      <c r="E451" s="31" t="str">
        <f>IFERROR(VLOOKUP(Tabla2[[#This Row],[CODIGO]],Tabla1[],3,0),"")</f>
        <v>INSTALACIONES SANITARIAS</v>
      </c>
      <c r="F451" s="28" t="str">
        <f>IFERROR(VLOOKUP(Tabla2[[#This Row],[CODIGO]],Tabla1[],5,0),"")</f>
        <v>ALMACEN TICAPAMPA</v>
      </c>
      <c r="G451" s="26" t="str">
        <f>IFERROR(VLOOKUP(Tabla2[[#This Row],[CODIGO]],Tabla1[],6,0),"")</f>
        <v>UNI</v>
      </c>
      <c r="H451" s="26">
        <f>IFERROR(VLOOKUP(Tabla2[[#This Row],[CODIGO]],Tabla1[],10,0),"")</f>
        <v>3</v>
      </c>
      <c r="I451" s="7">
        <v>3</v>
      </c>
      <c r="J451" s="29" t="s">
        <v>320</v>
      </c>
      <c r="K451" s="26" t="str">
        <f>IFERROR(VLOOKUP(Tabla2[[#This Row],[CODIGO]],Tabla1[],11,0),"")</f>
        <v>COMPRA</v>
      </c>
      <c r="L451" s="67"/>
      <c r="M451" s="67"/>
      <c r="N451" s="70"/>
      <c r="O451" s="70">
        <f>Tabla2[[#This Row],[CANTIDAD]]*Tabla2[[#This Row],[PREC. UNITARIO]]</f>
        <v>0</v>
      </c>
      <c r="R451" t="str">
        <f>Tabla2[[#This Row],[QUIEN RECIBE]]&amp;"-"&amp;TEXT(Tabla2[[#This Row],[FECHA]],"dd/mm/yyyy")</f>
        <v>-29/09/2025</v>
      </c>
    </row>
    <row r="452" spans="2:18" ht="20.45" hidden="1" customHeight="1" x14ac:dyDescent="0.25">
      <c r="B452" s="5">
        <v>45929</v>
      </c>
      <c r="C452" s="2" t="str">
        <f>IFERROR(_xlfn.XLOOKUP(Tabla2[[#This Row],[PRODUCTO]],Tabla1[PRODUCTO],Tabla1[CODIGO]),"")</f>
        <v>ISA-21</v>
      </c>
      <c r="D452" s="31" t="s">
        <v>444</v>
      </c>
      <c r="E452" s="31" t="str">
        <f>IFERROR(VLOOKUP(Tabla2[[#This Row],[CODIGO]],Tabla1[],3,0),"")</f>
        <v>INSTALACIONES SANITARIAS</v>
      </c>
      <c r="F452" s="28" t="str">
        <f>IFERROR(VLOOKUP(Tabla2[[#This Row],[CODIGO]],Tabla1[],5,0),"")</f>
        <v>ALMACEN TICAPAMPA</v>
      </c>
      <c r="G452" s="26" t="str">
        <f>IFERROR(VLOOKUP(Tabla2[[#This Row],[CODIGO]],Tabla1[],6,0),"")</f>
        <v>UNI</v>
      </c>
      <c r="H452" s="26">
        <f>IFERROR(VLOOKUP(Tabla2[[#This Row],[CODIGO]],Tabla1[],10,0),"")</f>
        <v>1</v>
      </c>
      <c r="I452" s="7">
        <v>1</v>
      </c>
      <c r="J452" s="29" t="s">
        <v>320</v>
      </c>
      <c r="K452" s="26" t="str">
        <f>IFERROR(VLOOKUP(Tabla2[[#This Row],[CODIGO]],Tabla1[],11,0),"")</f>
        <v>COMPRA</v>
      </c>
      <c r="L452" s="67"/>
      <c r="M452" s="67"/>
      <c r="N452" s="70"/>
      <c r="O452" s="70">
        <f>Tabla2[[#This Row],[CANTIDAD]]*Tabla2[[#This Row],[PREC. UNITARIO]]</f>
        <v>0</v>
      </c>
      <c r="R452" t="str">
        <f>Tabla2[[#This Row],[QUIEN RECIBE]]&amp;"-"&amp;TEXT(Tabla2[[#This Row],[FECHA]],"dd/mm/yyyy")</f>
        <v>-29/09/2025</v>
      </c>
    </row>
    <row r="453" spans="2:18" ht="20.45" hidden="1" customHeight="1" x14ac:dyDescent="0.25">
      <c r="B453" s="5">
        <v>45929</v>
      </c>
      <c r="C453" s="2" t="str">
        <f>IFERROR(_xlfn.XLOOKUP(Tabla2[[#This Row],[PRODUCTO]],Tabla1[PRODUCTO],Tabla1[CODIGO]),"")</f>
        <v>OTR-11</v>
      </c>
      <c r="D453" s="31" t="s">
        <v>447</v>
      </c>
      <c r="E453" s="31" t="str">
        <f>IFERROR(VLOOKUP(Tabla2[[#This Row],[CODIGO]],Tabla1[],3,0),"")</f>
        <v>OTROS</v>
      </c>
      <c r="F453" s="28" t="str">
        <f>IFERROR(VLOOKUP(Tabla2[[#This Row],[CODIGO]],Tabla1[],5,0),"")</f>
        <v>ALMACEN TICAPAMPA</v>
      </c>
      <c r="G453" s="26" t="str">
        <f>IFERROR(VLOOKUP(Tabla2[[#This Row],[CODIGO]],Tabla1[],6,0),"")</f>
        <v>UNI</v>
      </c>
      <c r="H453" s="26">
        <f>IFERROR(VLOOKUP(Tabla2[[#This Row],[CODIGO]],Tabla1[],10,0),"")</f>
        <v>0</v>
      </c>
      <c r="I453" s="7">
        <v>4</v>
      </c>
      <c r="J453" s="29" t="s">
        <v>320</v>
      </c>
      <c r="K453" s="26" t="str">
        <f>IFERROR(VLOOKUP(Tabla2[[#This Row],[CODIGO]],Tabla1[],11,0),"")</f>
        <v>COMPRA</v>
      </c>
      <c r="L453" s="67"/>
      <c r="M453" s="67"/>
      <c r="N453" s="70"/>
      <c r="O453" s="70">
        <f>Tabla2[[#This Row],[CANTIDAD]]*Tabla2[[#This Row],[PREC. UNITARIO]]</f>
        <v>0</v>
      </c>
      <c r="R453" t="str">
        <f>Tabla2[[#This Row],[QUIEN RECIBE]]&amp;"-"&amp;TEXT(Tabla2[[#This Row],[FECHA]],"dd/mm/yyyy")</f>
        <v>-29/09/2025</v>
      </c>
    </row>
    <row r="454" spans="2:18" ht="20.45" hidden="1" customHeight="1" x14ac:dyDescent="0.25">
      <c r="B454" s="5">
        <v>45929</v>
      </c>
      <c r="C454" s="2" t="str">
        <f>IFERROR(_xlfn.XLOOKUP(Tabla2[[#This Row],[PRODUCTO]],Tabla1[PRODUCTO],Tabla1[CODIGO]),"")</f>
        <v>OTR-11</v>
      </c>
      <c r="D454" s="31" t="s">
        <v>447</v>
      </c>
      <c r="E454" s="31" t="str">
        <f>IFERROR(VLOOKUP(Tabla2[[#This Row],[CODIGO]],Tabla1[],3,0),"")</f>
        <v>OTROS</v>
      </c>
      <c r="F454" s="28" t="str">
        <f>IFERROR(VLOOKUP(Tabla2[[#This Row],[CODIGO]],Tabla1[],5,0),"")</f>
        <v>ALMACEN TICAPAMPA</v>
      </c>
      <c r="G454" s="26" t="str">
        <f>IFERROR(VLOOKUP(Tabla2[[#This Row],[CODIGO]],Tabla1[],6,0),"")</f>
        <v>UNI</v>
      </c>
      <c r="H454" s="26">
        <f>IFERROR(VLOOKUP(Tabla2[[#This Row],[CODIGO]],Tabla1[],10,0),"")</f>
        <v>0</v>
      </c>
      <c r="I454" s="7">
        <v>-4</v>
      </c>
      <c r="J454" s="29" t="s">
        <v>439</v>
      </c>
      <c r="K454" s="26" t="str">
        <f>IFERROR(VLOOKUP(Tabla2[[#This Row],[CODIGO]],Tabla1[],11,0),"")</f>
        <v>COMPRA</v>
      </c>
      <c r="L454" s="67" t="s">
        <v>236</v>
      </c>
      <c r="M454" s="67" t="s">
        <v>258</v>
      </c>
      <c r="N454" s="70"/>
      <c r="O454" s="70">
        <f>Tabla2[[#This Row],[CANTIDAD]]*Tabla2[[#This Row],[PREC. UNITARIO]]</f>
        <v>0</v>
      </c>
      <c r="R454" t="str">
        <f>Tabla2[[#This Row],[QUIEN RECIBE]]&amp;"-"&amp;TEXT(Tabla2[[#This Row],[FECHA]],"dd/mm/yyyy")</f>
        <v>ADUVIRE ARGUATA, MARIO ARTURO-29/09/2025</v>
      </c>
    </row>
    <row r="455" spans="2:18" ht="20.45" hidden="1" customHeight="1" x14ac:dyDescent="0.25">
      <c r="B455" s="5">
        <v>45929</v>
      </c>
      <c r="C455" s="2" t="str">
        <f>IFERROR(_xlfn.XLOOKUP(Tabla2[[#This Row],[PRODUCTO]],Tabla1[PRODUCTO],Tabla1[CODIGO]),"")</f>
        <v>OTR-5</v>
      </c>
      <c r="D455" s="31" t="s">
        <v>313</v>
      </c>
      <c r="E455" s="31" t="str">
        <f>IFERROR(VLOOKUP(Tabla2[[#This Row],[CODIGO]],Tabla1[],3,0),"")</f>
        <v>OTROS</v>
      </c>
      <c r="F455" s="28" t="str">
        <f>IFERROR(VLOOKUP(Tabla2[[#This Row],[CODIGO]],Tabla1[],5,0),"")</f>
        <v>ALMACEN TICAPAMPA</v>
      </c>
      <c r="G455" s="26" t="str">
        <f>IFERROR(VLOOKUP(Tabla2[[#This Row],[CODIGO]],Tabla1[],6,0),"")</f>
        <v>PQTE</v>
      </c>
      <c r="H455" s="26">
        <f>IFERROR(VLOOKUP(Tabla2[[#This Row],[CODIGO]],Tabla1[],10,0),"")</f>
        <v>6</v>
      </c>
      <c r="I455" s="7">
        <v>5</v>
      </c>
      <c r="J455" s="29" t="s">
        <v>320</v>
      </c>
      <c r="K455" s="26" t="str">
        <f>IFERROR(VLOOKUP(Tabla2[[#This Row],[CODIGO]],Tabla1[],11,0),"")</f>
        <v>COMPRA</v>
      </c>
      <c r="L455" s="67"/>
      <c r="M455" s="67"/>
      <c r="N455" s="70"/>
      <c r="O455" s="70">
        <f>Tabla2[[#This Row],[CANTIDAD]]*Tabla2[[#This Row],[PREC. UNITARIO]]</f>
        <v>0</v>
      </c>
      <c r="R455" t="str">
        <f>Tabla2[[#This Row],[QUIEN RECIBE]]&amp;"-"&amp;TEXT(Tabla2[[#This Row],[FECHA]],"dd/mm/yyyy")</f>
        <v>-29/09/2025</v>
      </c>
    </row>
    <row r="456" spans="2:18" ht="20.45" hidden="1" customHeight="1" x14ac:dyDescent="0.25">
      <c r="B456" s="5">
        <v>45929</v>
      </c>
      <c r="C456" s="2" t="str">
        <f>IFERROR(_xlfn.XLOOKUP(Tabla2[[#This Row],[PRODUCTO]],Tabla1[PRODUCTO],Tabla1[CODIGO]),"")</f>
        <v>OTR-10</v>
      </c>
      <c r="D456" s="31" t="s">
        <v>426</v>
      </c>
      <c r="E456" s="31" t="str">
        <f>IFERROR(VLOOKUP(Tabla2[[#This Row],[CODIGO]],Tabla1[],3,0),"")</f>
        <v>OTROS</v>
      </c>
      <c r="F456" s="28" t="str">
        <f>IFERROR(VLOOKUP(Tabla2[[#This Row],[CODIGO]],Tabla1[],5,0),"")</f>
        <v>ALMACEN TICAPAMPA</v>
      </c>
      <c r="G456" s="26" t="str">
        <f>IFERROR(VLOOKUP(Tabla2[[#This Row],[CODIGO]],Tabla1[],6,0),"")</f>
        <v>UNI</v>
      </c>
      <c r="H456" s="26">
        <f>IFERROR(VLOOKUP(Tabla2[[#This Row],[CODIGO]],Tabla1[],10,0),"")</f>
        <v>111</v>
      </c>
      <c r="I456" s="7">
        <v>200</v>
      </c>
      <c r="J456" s="29" t="s">
        <v>320</v>
      </c>
      <c r="K456" s="26" t="str">
        <f>IFERROR(VLOOKUP(Tabla2[[#This Row],[CODIGO]],Tabla1[],11,0),"")</f>
        <v>COMPRA</v>
      </c>
      <c r="L456" s="67"/>
      <c r="M456" s="67"/>
      <c r="N456" s="70"/>
      <c r="O456" s="70">
        <f>Tabla2[[#This Row],[CANTIDAD]]*Tabla2[[#This Row],[PREC. UNITARIO]]</f>
        <v>0</v>
      </c>
      <c r="R456" t="str">
        <f>Tabla2[[#This Row],[QUIEN RECIBE]]&amp;"-"&amp;TEXT(Tabla2[[#This Row],[FECHA]],"dd/mm/yyyy")</f>
        <v>-29/09/2025</v>
      </c>
    </row>
    <row r="457" spans="2:18" ht="20.45" hidden="1" customHeight="1" x14ac:dyDescent="0.25">
      <c r="B457" s="5">
        <v>45929</v>
      </c>
      <c r="C457" s="2" t="str">
        <f>IFERROR(_xlfn.XLOOKUP(Tabla2[[#This Row],[PRODUCTO]],Tabla1[PRODUCTO],Tabla1[CODIGO]),"")</f>
        <v>IS-40</v>
      </c>
      <c r="D457" s="31" t="s">
        <v>409</v>
      </c>
      <c r="E457" s="31" t="str">
        <f>IFERROR(VLOOKUP(Tabla2[[#This Row],[CODIGO]],Tabla1[],3,0),"")</f>
        <v>IMPLEMENTOS DE SEGURIDAD</v>
      </c>
      <c r="F457" s="28" t="str">
        <f>IFERROR(VLOOKUP(Tabla2[[#This Row],[CODIGO]],Tabla1[],5,0),"")</f>
        <v>ALMACEN TICAPAMPA</v>
      </c>
      <c r="G457" s="26" t="str">
        <f>IFERROR(VLOOKUP(Tabla2[[#This Row],[CODIGO]],Tabla1[],6,0),"")</f>
        <v>UNI</v>
      </c>
      <c r="H457" s="26">
        <f>IFERROR(VLOOKUP(Tabla2[[#This Row],[CODIGO]],Tabla1[],10,0),"")</f>
        <v>22</v>
      </c>
      <c r="I457" s="7">
        <v>-1</v>
      </c>
      <c r="J457" s="29" t="s">
        <v>449</v>
      </c>
      <c r="K457" s="26" t="str">
        <f>IFERROR(VLOOKUP(Tabla2[[#This Row],[CODIGO]],Tabla1[],11,0),"")</f>
        <v>COMPRA</v>
      </c>
      <c r="L457" s="67" t="s">
        <v>236</v>
      </c>
      <c r="M457" s="67" t="s">
        <v>241</v>
      </c>
      <c r="N457" s="70"/>
      <c r="O457" s="70">
        <f>Tabla2[[#This Row],[CANTIDAD]]*Tabla2[[#This Row],[PREC. UNITARIO]]</f>
        <v>0</v>
      </c>
      <c r="R457" t="str">
        <f>Tabla2[[#This Row],[QUIEN RECIBE]]&amp;"-"&amp;TEXT(Tabla2[[#This Row],[FECHA]],"dd/mm/yyyy")</f>
        <v>PIÑA CHUJANDAMA, KEVIN-29/09/2025</v>
      </c>
    </row>
    <row r="458" spans="2:18" ht="20.45" hidden="1" customHeight="1" x14ac:dyDescent="0.25">
      <c r="B458" s="5">
        <v>45929</v>
      </c>
      <c r="C458" s="2" t="str">
        <f>IFERROR(_xlfn.XLOOKUP(Tabla2[[#This Row],[PRODUCTO]],Tabla1[PRODUCTO],Tabla1[CODIGO]),"")</f>
        <v>IS-40</v>
      </c>
      <c r="D458" s="31" t="s">
        <v>409</v>
      </c>
      <c r="E458" s="31" t="str">
        <f>IFERROR(VLOOKUP(Tabla2[[#This Row],[CODIGO]],Tabla1[],3,0),"")</f>
        <v>IMPLEMENTOS DE SEGURIDAD</v>
      </c>
      <c r="F458" s="28" t="str">
        <f>IFERROR(VLOOKUP(Tabla2[[#This Row],[CODIGO]],Tabla1[],5,0),"")</f>
        <v>ALMACEN TICAPAMPA</v>
      </c>
      <c r="G458" s="26" t="str">
        <f>IFERROR(VLOOKUP(Tabla2[[#This Row],[CODIGO]],Tabla1[],6,0),"")</f>
        <v>UNI</v>
      </c>
      <c r="H458" s="26">
        <f>IFERROR(VLOOKUP(Tabla2[[#This Row],[CODIGO]],Tabla1[],10,0),"")</f>
        <v>22</v>
      </c>
      <c r="I458" s="7">
        <v>-1</v>
      </c>
      <c r="J458" s="29" t="s">
        <v>449</v>
      </c>
      <c r="K458" s="26" t="str">
        <f>IFERROR(VLOOKUP(Tabla2[[#This Row],[CODIGO]],Tabla1[],11,0),"")</f>
        <v>COMPRA</v>
      </c>
      <c r="L458" s="67" t="s">
        <v>236</v>
      </c>
      <c r="M458" s="67" t="s">
        <v>244</v>
      </c>
      <c r="N458" s="70"/>
      <c r="O458" s="70">
        <f>Tabla2[[#This Row],[CANTIDAD]]*Tabla2[[#This Row],[PREC. UNITARIO]]</f>
        <v>0</v>
      </c>
      <c r="R458" t="str">
        <f>Tabla2[[#This Row],[QUIEN RECIBE]]&amp;"-"&amp;TEXT(Tabla2[[#This Row],[FECHA]],"dd/mm/yyyy")</f>
        <v>CORDOVA ANGULO, JUAN-29/09/2025</v>
      </c>
    </row>
    <row r="459" spans="2:18" ht="20.45" hidden="1" customHeight="1" x14ac:dyDescent="0.25">
      <c r="B459" s="5">
        <v>45929</v>
      </c>
      <c r="C459" s="2" t="str">
        <f>IFERROR(_xlfn.XLOOKUP(Tabla2[[#This Row],[PRODUCTO]],Tabla1[PRODUCTO],Tabla1[CODIGO]),"")</f>
        <v>HM-18</v>
      </c>
      <c r="D459" s="31" t="s">
        <v>384</v>
      </c>
      <c r="E459" s="31" t="str">
        <f>IFERROR(VLOOKUP(Tabla2[[#This Row],[CODIGO]],Tabla1[],3,0),"")</f>
        <v>HERRAMIENTAS</v>
      </c>
      <c r="F459" s="28" t="str">
        <f>IFERROR(VLOOKUP(Tabla2[[#This Row],[CODIGO]],Tabla1[],5,0),"")</f>
        <v>ALMACEN TICAPAMPA</v>
      </c>
      <c r="G459" s="26" t="str">
        <f>IFERROR(VLOOKUP(Tabla2[[#This Row],[CODIGO]],Tabla1[],6,0),"")</f>
        <v>UNI</v>
      </c>
      <c r="H459" s="26">
        <f>IFERROR(VLOOKUP(Tabla2[[#This Row],[CODIGO]],Tabla1[],10,0),"")</f>
        <v>22</v>
      </c>
      <c r="I459" s="7">
        <v>-1</v>
      </c>
      <c r="J459" s="29" t="s">
        <v>350</v>
      </c>
      <c r="K459" s="26" t="str">
        <f>IFERROR(VLOOKUP(Tabla2[[#This Row],[CODIGO]],Tabla1[],11,0),"")</f>
        <v>COMPRA</v>
      </c>
      <c r="L459" s="67" t="s">
        <v>236</v>
      </c>
      <c r="M459" s="67" t="s">
        <v>240</v>
      </c>
      <c r="N459" s="70"/>
      <c r="O459" s="70">
        <f>Tabla2[[#This Row],[CANTIDAD]]*Tabla2[[#This Row],[PREC. UNITARIO]]</f>
        <v>0</v>
      </c>
      <c r="R459" t="str">
        <f>Tabla2[[#This Row],[QUIEN RECIBE]]&amp;"-"&amp;TEXT(Tabla2[[#This Row],[FECHA]],"dd/mm/yyyy")</f>
        <v>LOZANO MALDONADO, HERNAN-29/09/2025</v>
      </c>
    </row>
    <row r="460" spans="2:18" ht="20.45" hidden="1" customHeight="1" x14ac:dyDescent="0.25">
      <c r="B460" s="5">
        <v>45929</v>
      </c>
      <c r="C460" s="2" t="str">
        <f>IFERROR(_xlfn.XLOOKUP(Tabla2[[#This Row],[PRODUCTO]],Tabla1[PRODUCTO],Tabla1[CODIGO]),"")</f>
        <v>HM-17</v>
      </c>
      <c r="D460" s="31" t="s">
        <v>377</v>
      </c>
      <c r="E460" s="31" t="str">
        <f>IFERROR(VLOOKUP(Tabla2[[#This Row],[CODIGO]],Tabla1[],3,0),"")</f>
        <v>HERRAMIENTAS</v>
      </c>
      <c r="F460" s="28" t="str">
        <f>IFERROR(VLOOKUP(Tabla2[[#This Row],[CODIGO]],Tabla1[],5,0),"")</f>
        <v>ALMACEN TICAPAMPA</v>
      </c>
      <c r="G460" s="26" t="str">
        <f>IFERROR(VLOOKUP(Tabla2[[#This Row],[CODIGO]],Tabla1[],6,0),"")</f>
        <v>UNI</v>
      </c>
      <c r="H460" s="26">
        <f>IFERROR(VLOOKUP(Tabla2[[#This Row],[CODIGO]],Tabla1[],10,0),"")</f>
        <v>6</v>
      </c>
      <c r="I460" s="7">
        <v>-1</v>
      </c>
      <c r="J460" s="29" t="s">
        <v>350</v>
      </c>
      <c r="K460" s="26" t="str">
        <f>IFERROR(VLOOKUP(Tabla2[[#This Row],[CODIGO]],Tabla1[],11,0),"")</f>
        <v>COMPRA</v>
      </c>
      <c r="L460" s="67" t="s">
        <v>236</v>
      </c>
      <c r="M460" s="67" t="s">
        <v>323</v>
      </c>
      <c r="N460" s="70"/>
      <c r="O460" s="70">
        <f>Tabla2[[#This Row],[CANTIDAD]]*Tabla2[[#This Row],[PREC. UNITARIO]]</f>
        <v>0</v>
      </c>
      <c r="R460" t="str">
        <f>Tabla2[[#This Row],[QUIEN RECIBE]]&amp;"-"&amp;TEXT(Tabla2[[#This Row],[FECHA]],"dd/mm/yyyy")</f>
        <v>TUANAMA PILCO, CRHIS-29/09/2025</v>
      </c>
    </row>
    <row r="461" spans="2:18" ht="20.45" hidden="1" customHeight="1" x14ac:dyDescent="0.25">
      <c r="B461" s="5">
        <v>45929</v>
      </c>
      <c r="C461" s="2" t="str">
        <f>IFERROR(_xlfn.XLOOKUP(Tabla2[[#This Row],[PRODUCTO]],Tabla1[PRODUCTO],Tabla1[CODIGO]),"")</f>
        <v>IS-2</v>
      </c>
      <c r="D461" s="31" t="s">
        <v>52</v>
      </c>
      <c r="E461" s="31" t="str">
        <f>IFERROR(VLOOKUP(Tabla2[[#This Row],[CODIGO]],Tabla1[],3,0),"")</f>
        <v>IMPLEMENTOS DE SEGURIDAD</v>
      </c>
      <c r="F461" s="28" t="str">
        <f>IFERROR(VLOOKUP(Tabla2[[#This Row],[CODIGO]],Tabla1[],5,0),"")</f>
        <v>ALMACEN TICAPAMPA</v>
      </c>
      <c r="G461" s="26" t="str">
        <f>IFERROR(VLOOKUP(Tabla2[[#This Row],[CODIGO]],Tabla1[],6,0),"")</f>
        <v>UNI</v>
      </c>
      <c r="H461" s="26">
        <f>IFERROR(VLOOKUP(Tabla2[[#This Row],[CODIGO]],Tabla1[],10,0),"")</f>
        <v>5</v>
      </c>
      <c r="I461" s="7">
        <v>-1</v>
      </c>
      <c r="J461" s="29" t="s">
        <v>321</v>
      </c>
      <c r="K461" s="26" t="str">
        <f>IFERROR(VLOOKUP(Tabla2[[#This Row],[CODIGO]],Tabla1[],11,0),"")</f>
        <v>COMPRA</v>
      </c>
      <c r="L461" s="67" t="s">
        <v>236</v>
      </c>
      <c r="M461" s="67" t="s">
        <v>450</v>
      </c>
      <c r="N461" s="70">
        <v>45</v>
      </c>
      <c r="O461" s="70">
        <f>Tabla2[[#This Row],[CANTIDAD]]*Tabla2[[#This Row],[PREC. UNITARIO]]</f>
        <v>-45</v>
      </c>
      <c r="R461" t="str">
        <f>Tabla2[[#This Row],[QUIEN RECIBE]]&amp;"-"&amp;TEXT(Tabla2[[#This Row],[FECHA]],"dd/mm/yyyy")</f>
        <v>MAQUERA QUISPE, LEONIDAS EDWIN-29/09/2025</v>
      </c>
    </row>
    <row r="462" spans="2:18" ht="20.45" hidden="1" customHeight="1" x14ac:dyDescent="0.25">
      <c r="B462" s="5">
        <v>45929</v>
      </c>
      <c r="C462" s="2" t="str">
        <f>IFERROR(_xlfn.XLOOKUP(Tabla2[[#This Row],[PRODUCTO]],Tabla1[PRODUCTO],Tabla1[CODIGO]),"")</f>
        <v>IS-36</v>
      </c>
      <c r="D462" s="31" t="s">
        <v>300</v>
      </c>
      <c r="E462" s="31" t="str">
        <f>IFERROR(VLOOKUP(Tabla2[[#This Row],[CODIGO]],Tabla1[],3,0),"")</f>
        <v>IMPLEMENTOS DE SEGURIDAD</v>
      </c>
      <c r="F462" s="28" t="str">
        <f>IFERROR(VLOOKUP(Tabla2[[#This Row],[CODIGO]],Tabla1[],5,0),"")</f>
        <v>ALMACEN TICAPAMPA</v>
      </c>
      <c r="G462" s="26" t="str">
        <f>IFERROR(VLOOKUP(Tabla2[[#This Row],[CODIGO]],Tabla1[],6,0),"")</f>
        <v>UNI</v>
      </c>
      <c r="H462" s="26">
        <f>IFERROR(VLOOKUP(Tabla2[[#This Row],[CODIGO]],Tabla1[],10,0),"")</f>
        <v>4</v>
      </c>
      <c r="I462" s="7">
        <v>-2</v>
      </c>
      <c r="J462" s="29" t="s">
        <v>321</v>
      </c>
      <c r="K462" s="26" t="str">
        <f>IFERROR(VLOOKUP(Tabla2[[#This Row],[CODIGO]],Tabla1[],11,0),"")</f>
        <v>COMPRA</v>
      </c>
      <c r="L462" s="67" t="s">
        <v>236</v>
      </c>
      <c r="M462" s="67" t="s">
        <v>450</v>
      </c>
      <c r="N462" s="70"/>
      <c r="O462" s="70">
        <f>Tabla2[[#This Row],[CANTIDAD]]*Tabla2[[#This Row],[PREC. UNITARIO]]</f>
        <v>0</v>
      </c>
      <c r="R462" t="str">
        <f>Tabla2[[#This Row],[QUIEN RECIBE]]&amp;"-"&amp;TEXT(Tabla2[[#This Row],[FECHA]],"dd/mm/yyyy")</f>
        <v>MAQUERA QUISPE, LEONIDAS EDWIN-29/09/2025</v>
      </c>
    </row>
    <row r="463" spans="2:18" ht="20.45" hidden="1" customHeight="1" x14ac:dyDescent="0.25">
      <c r="B463" s="5">
        <v>45929</v>
      </c>
      <c r="C463" s="2" t="str">
        <f>IFERROR(_xlfn.XLOOKUP(Tabla2[[#This Row],[PRODUCTO]],Tabla1[PRODUCTO],Tabla1[CODIGO]),"")</f>
        <v>IS-17</v>
      </c>
      <c r="D463" s="31" t="s">
        <v>66</v>
      </c>
      <c r="E463" s="31" t="str">
        <f>IFERROR(VLOOKUP(Tabla2[[#This Row],[CODIGO]],Tabla1[],3,0),"")</f>
        <v>IMPLEMENTOS DE SEGURIDAD</v>
      </c>
      <c r="F463" s="28" t="str">
        <f>IFERROR(VLOOKUP(Tabla2[[#This Row],[CODIGO]],Tabla1[],5,0),"")</f>
        <v>ALMACEN TICAPAMPA</v>
      </c>
      <c r="G463" s="26" t="str">
        <f>IFERROR(VLOOKUP(Tabla2[[#This Row],[CODIGO]],Tabla1[],6,0),"")</f>
        <v>PAR</v>
      </c>
      <c r="H463" s="26">
        <f>IFERROR(VLOOKUP(Tabla2[[#This Row],[CODIGO]],Tabla1[],10,0),"")</f>
        <v>0</v>
      </c>
      <c r="I463" s="7">
        <v>-1</v>
      </c>
      <c r="J463" s="29" t="s">
        <v>321</v>
      </c>
      <c r="K463" s="26" t="str">
        <f>IFERROR(VLOOKUP(Tabla2[[#This Row],[CODIGO]],Tabla1[],11,0),"")</f>
        <v>COMPRA</v>
      </c>
      <c r="L463" s="67" t="s">
        <v>236</v>
      </c>
      <c r="M463" s="67" t="s">
        <v>450</v>
      </c>
      <c r="N463" s="70">
        <v>63</v>
      </c>
      <c r="O463" s="70">
        <f>Tabla2[[#This Row],[CANTIDAD]]*Tabla2[[#This Row],[PREC. UNITARIO]]</f>
        <v>-63</v>
      </c>
      <c r="R463" t="str">
        <f>Tabla2[[#This Row],[QUIEN RECIBE]]&amp;"-"&amp;TEXT(Tabla2[[#This Row],[FECHA]],"dd/mm/yyyy")</f>
        <v>MAQUERA QUISPE, LEONIDAS EDWIN-29/09/2025</v>
      </c>
    </row>
    <row r="464" spans="2:18" ht="20.45" hidden="1" customHeight="1" x14ac:dyDescent="0.25">
      <c r="B464" s="5">
        <v>45929</v>
      </c>
      <c r="C464" s="2" t="str">
        <f>IFERROR(_xlfn.XLOOKUP(Tabla2[[#This Row],[PRODUCTO]],Tabla1[PRODUCTO],Tabla1[CODIGO]),"")</f>
        <v>IS-31</v>
      </c>
      <c r="D464" s="31" t="s">
        <v>82</v>
      </c>
      <c r="E464" s="31" t="str">
        <f>IFERROR(VLOOKUP(Tabla2[[#This Row],[CODIGO]],Tabla1[],3,0),"")</f>
        <v>IMPLEMENTOS DE SEGURIDAD</v>
      </c>
      <c r="F464" s="28" t="str">
        <f>IFERROR(VLOOKUP(Tabla2[[#This Row],[CODIGO]],Tabla1[],5,0),"")</f>
        <v>ALMACEN TICAPAMPA</v>
      </c>
      <c r="G464" s="26" t="str">
        <f>IFERROR(VLOOKUP(Tabla2[[#This Row],[CODIGO]],Tabla1[],6,0),"")</f>
        <v>UNI</v>
      </c>
      <c r="H464" s="26">
        <f>IFERROR(VLOOKUP(Tabla2[[#This Row],[CODIGO]],Tabla1[],10,0),"")</f>
        <v>0</v>
      </c>
      <c r="I464" s="7">
        <v>-1</v>
      </c>
      <c r="J464" s="29" t="s">
        <v>321</v>
      </c>
      <c r="K464" s="26" t="str">
        <f>IFERROR(VLOOKUP(Tabla2[[#This Row],[CODIGO]],Tabla1[],11,0),"")</f>
        <v>COMPRA</v>
      </c>
      <c r="L464" s="67" t="s">
        <v>236</v>
      </c>
      <c r="M464" s="67" t="s">
        <v>450</v>
      </c>
      <c r="N464" s="70">
        <v>22</v>
      </c>
      <c r="O464" s="70">
        <f>Tabla2[[#This Row],[CANTIDAD]]*Tabla2[[#This Row],[PREC. UNITARIO]]</f>
        <v>-22</v>
      </c>
      <c r="R464" t="str">
        <f>Tabla2[[#This Row],[QUIEN RECIBE]]&amp;"-"&amp;TEXT(Tabla2[[#This Row],[FECHA]],"dd/mm/yyyy")</f>
        <v>MAQUERA QUISPE, LEONIDAS EDWIN-29/09/2025</v>
      </c>
    </row>
    <row r="465" spans="2:18" ht="20.45" hidden="1" customHeight="1" x14ac:dyDescent="0.25">
      <c r="B465" s="5">
        <v>45929</v>
      </c>
      <c r="C465" s="2" t="str">
        <f>IFERROR(_xlfn.XLOOKUP(Tabla2[[#This Row],[PRODUCTO]],Tabla1[PRODUCTO],Tabla1[CODIGO]),"")</f>
        <v>IS-28</v>
      </c>
      <c r="D465" s="31" t="s">
        <v>79</v>
      </c>
      <c r="E465" s="31" t="str">
        <f>IFERROR(VLOOKUP(Tabla2[[#This Row],[CODIGO]],Tabla1[],3,0),"")</f>
        <v>IMPLEMENTOS DE SEGURIDAD</v>
      </c>
      <c r="F465" s="28" t="str">
        <f>IFERROR(VLOOKUP(Tabla2[[#This Row],[CODIGO]],Tabla1[],5,0),"")</f>
        <v>ALMACEN TICAPAMPA</v>
      </c>
      <c r="G465" s="26" t="str">
        <f>IFERROR(VLOOKUP(Tabla2[[#This Row],[CODIGO]],Tabla1[],6,0),"")</f>
        <v>UNI</v>
      </c>
      <c r="H465" s="26">
        <f>IFERROR(VLOOKUP(Tabla2[[#This Row],[CODIGO]],Tabla1[],10,0),"")</f>
        <v>32</v>
      </c>
      <c r="I465" s="7">
        <v>-1</v>
      </c>
      <c r="J465" s="29" t="s">
        <v>321</v>
      </c>
      <c r="K465" s="26" t="str">
        <f>IFERROR(VLOOKUP(Tabla2[[#This Row],[CODIGO]],Tabla1[],11,0),"")</f>
        <v>COMPRA</v>
      </c>
      <c r="L465" s="67" t="s">
        <v>236</v>
      </c>
      <c r="M465" s="67" t="s">
        <v>450</v>
      </c>
      <c r="N465" s="70">
        <v>4</v>
      </c>
      <c r="O465" s="70">
        <f>Tabla2[[#This Row],[CANTIDAD]]*Tabla2[[#This Row],[PREC. UNITARIO]]</f>
        <v>-4</v>
      </c>
      <c r="R465" t="str">
        <f>Tabla2[[#This Row],[QUIEN RECIBE]]&amp;"-"&amp;TEXT(Tabla2[[#This Row],[FECHA]],"dd/mm/yyyy")</f>
        <v>MAQUERA QUISPE, LEONIDAS EDWIN-29/09/2025</v>
      </c>
    </row>
    <row r="466" spans="2:18" ht="20.45" hidden="1" customHeight="1" x14ac:dyDescent="0.25">
      <c r="B466" s="5">
        <v>45929</v>
      </c>
      <c r="C466" s="2" t="str">
        <f>IFERROR(_xlfn.XLOOKUP(Tabla2[[#This Row],[PRODUCTO]],Tabla1[PRODUCTO],Tabla1[CODIGO]),"")</f>
        <v>IS-14</v>
      </c>
      <c r="D466" s="31" t="s">
        <v>271</v>
      </c>
      <c r="E466" s="31" t="str">
        <f>IFERROR(VLOOKUP(Tabla2[[#This Row],[CODIGO]],Tabla1[],3,0),"")</f>
        <v>IMPLEMENTOS DE SEGURIDAD</v>
      </c>
      <c r="F466" s="28" t="str">
        <f>IFERROR(VLOOKUP(Tabla2[[#This Row],[CODIGO]],Tabla1[],5,0),"")</f>
        <v>ALMACEN TICAPAMPA</v>
      </c>
      <c r="G466" s="26" t="str">
        <f>IFERROR(VLOOKUP(Tabla2[[#This Row],[CODIGO]],Tabla1[],6,0),"")</f>
        <v>UNI</v>
      </c>
      <c r="H466" s="26">
        <f>IFERROR(VLOOKUP(Tabla2[[#This Row],[CODIGO]],Tabla1[],10,0),"")</f>
        <v>1</v>
      </c>
      <c r="I466" s="7">
        <v>-1</v>
      </c>
      <c r="J466" s="29" t="s">
        <v>321</v>
      </c>
      <c r="K466" s="26" t="str">
        <f>IFERROR(VLOOKUP(Tabla2[[#This Row],[CODIGO]],Tabla1[],11,0),"")</f>
        <v>COMPRA</v>
      </c>
      <c r="L466" s="67" t="s">
        <v>236</v>
      </c>
      <c r="M466" s="67" t="s">
        <v>450</v>
      </c>
      <c r="N466" s="70">
        <v>4</v>
      </c>
      <c r="O466" s="70">
        <f>Tabla2[[#This Row],[CANTIDAD]]*Tabla2[[#This Row],[PREC. UNITARIO]]</f>
        <v>-4</v>
      </c>
      <c r="R466" t="str">
        <f>Tabla2[[#This Row],[QUIEN RECIBE]]&amp;"-"&amp;TEXT(Tabla2[[#This Row],[FECHA]],"dd/mm/yyyy")</f>
        <v>MAQUERA QUISPE, LEONIDAS EDWIN-29/09/2025</v>
      </c>
    </row>
    <row r="467" spans="2:18" ht="20.45" hidden="1" customHeight="1" x14ac:dyDescent="0.25">
      <c r="B467" s="5">
        <v>45929</v>
      </c>
      <c r="C467" s="2" t="str">
        <f>IFERROR(_xlfn.XLOOKUP(Tabla2[[#This Row],[PRODUCTO]],Tabla1[PRODUCTO],Tabla1[CODIGO]),"")</f>
        <v>IS-20</v>
      </c>
      <c r="D467" s="31" t="s">
        <v>69</v>
      </c>
      <c r="E467" s="31" t="str">
        <f>IFERROR(VLOOKUP(Tabla2[[#This Row],[CODIGO]],Tabla1[],3,0),"")</f>
        <v>IMPLEMENTOS DE SEGURIDAD</v>
      </c>
      <c r="F467" s="28" t="str">
        <f>IFERROR(VLOOKUP(Tabla2[[#This Row],[CODIGO]],Tabla1[],5,0),"")</f>
        <v>ALMACEN TICAPAMPA</v>
      </c>
      <c r="G467" s="26" t="str">
        <f>IFERROR(VLOOKUP(Tabla2[[#This Row],[CODIGO]],Tabla1[],6,0),"")</f>
        <v>UNI</v>
      </c>
      <c r="H467" s="26">
        <f>IFERROR(VLOOKUP(Tabla2[[#This Row],[CODIGO]],Tabla1[],10,0),"")</f>
        <v>5</v>
      </c>
      <c r="I467" s="7">
        <v>-1</v>
      </c>
      <c r="J467" s="29" t="s">
        <v>321</v>
      </c>
      <c r="K467" s="26" t="str">
        <f>IFERROR(VLOOKUP(Tabla2[[#This Row],[CODIGO]],Tabla1[],11,0),"")</f>
        <v>COMPRA</v>
      </c>
      <c r="L467" s="67" t="s">
        <v>236</v>
      </c>
      <c r="M467" s="67" t="s">
        <v>450</v>
      </c>
      <c r="N467" s="70">
        <v>6.5</v>
      </c>
      <c r="O467" s="70">
        <f>Tabla2[[#This Row],[CANTIDAD]]*Tabla2[[#This Row],[PREC. UNITARIO]]</f>
        <v>-6.5</v>
      </c>
      <c r="R467" t="str">
        <f>Tabla2[[#This Row],[QUIEN RECIBE]]&amp;"-"&amp;TEXT(Tabla2[[#This Row],[FECHA]],"dd/mm/yyyy")</f>
        <v>MAQUERA QUISPE, LEONIDAS EDWIN-29/09/2025</v>
      </c>
    </row>
    <row r="468" spans="2:18" ht="20.45" hidden="1" customHeight="1" x14ac:dyDescent="0.25">
      <c r="B468" s="5">
        <v>45929</v>
      </c>
      <c r="C468" s="2" t="str">
        <f>IFERROR(_xlfn.XLOOKUP(Tabla2[[#This Row],[PRODUCTO]],Tabla1[PRODUCTO],Tabla1[CODIGO]),"")</f>
        <v>IS-2</v>
      </c>
      <c r="D468" s="31" t="s">
        <v>52</v>
      </c>
      <c r="E468" s="31" t="str">
        <f>IFERROR(VLOOKUP(Tabla2[[#This Row],[CODIGO]],Tabla1[],3,0),"")</f>
        <v>IMPLEMENTOS DE SEGURIDAD</v>
      </c>
      <c r="F468" s="28" t="str">
        <f>IFERROR(VLOOKUP(Tabla2[[#This Row],[CODIGO]],Tabla1[],5,0),"")</f>
        <v>ALMACEN TICAPAMPA</v>
      </c>
      <c r="G468" s="26" t="str">
        <f>IFERROR(VLOOKUP(Tabla2[[#This Row],[CODIGO]],Tabla1[],6,0),"")</f>
        <v>UNI</v>
      </c>
      <c r="H468" s="26">
        <f>IFERROR(VLOOKUP(Tabla2[[#This Row],[CODIGO]],Tabla1[],10,0),"")</f>
        <v>5</v>
      </c>
      <c r="I468" s="7">
        <v>-2</v>
      </c>
      <c r="J468" s="29" t="s">
        <v>321</v>
      </c>
      <c r="K468" s="26" t="str">
        <f>IFERROR(VLOOKUP(Tabla2[[#This Row],[CODIGO]],Tabla1[],11,0),"")</f>
        <v>COMPRA</v>
      </c>
      <c r="L468" s="67" t="s">
        <v>250</v>
      </c>
      <c r="M468" s="67" t="s">
        <v>508</v>
      </c>
      <c r="N468" s="70">
        <v>45</v>
      </c>
      <c r="O468" s="70">
        <f>Tabla2[[#This Row],[CANTIDAD]]*Tabla2[[#This Row],[PREC. UNITARIO]]</f>
        <v>-90</v>
      </c>
      <c r="R468" t="str">
        <f>Tabla2[[#This Row],[QUIEN RECIBE]]&amp;"-"&amp;TEXT(Tabla2[[#This Row],[FECHA]],"dd/mm/yyyy")</f>
        <v>MOGROVEJO FALCON, OSMAR ADOLFO-29/09/2025</v>
      </c>
    </row>
    <row r="469" spans="2:18" ht="20.45" hidden="1" customHeight="1" x14ac:dyDescent="0.25">
      <c r="B469" s="5">
        <v>45929</v>
      </c>
      <c r="C469" s="2" t="str">
        <f>IFERROR(_xlfn.XLOOKUP(Tabla2[[#This Row],[PRODUCTO]],Tabla1[PRODUCTO],Tabla1[CODIGO]),"")</f>
        <v>IS-18</v>
      </c>
      <c r="D469" s="31" t="s">
        <v>67</v>
      </c>
      <c r="E469" s="31" t="str">
        <f>IFERROR(VLOOKUP(Tabla2[[#This Row],[CODIGO]],Tabla1[],3,0),"")</f>
        <v>IMPLEMENTOS DE SEGURIDAD</v>
      </c>
      <c r="F469" s="28" t="str">
        <f>IFERROR(VLOOKUP(Tabla2[[#This Row],[CODIGO]],Tabla1[],5,0),"")</f>
        <v>ALMACEN TICAPAMPA</v>
      </c>
      <c r="G469" s="26" t="str">
        <f>IFERROR(VLOOKUP(Tabla2[[#This Row],[CODIGO]],Tabla1[],6,0),"")</f>
        <v>UNI</v>
      </c>
      <c r="H469" s="26">
        <f>IFERROR(VLOOKUP(Tabla2[[#This Row],[CODIGO]],Tabla1[],10,0),"")</f>
        <v>0</v>
      </c>
      <c r="I469" s="7">
        <v>-1</v>
      </c>
      <c r="J469" s="29" t="s">
        <v>321</v>
      </c>
      <c r="K469" s="26" t="str">
        <f>IFERROR(VLOOKUP(Tabla2[[#This Row],[CODIGO]],Tabla1[],11,0),"")</f>
        <v>COMPRA</v>
      </c>
      <c r="L469" s="67" t="s">
        <v>472</v>
      </c>
      <c r="M469" s="67" t="s">
        <v>508</v>
      </c>
      <c r="N469" s="70">
        <v>6.5</v>
      </c>
      <c r="O469" s="70">
        <f>Tabla2[[#This Row],[CANTIDAD]]*Tabla2[[#This Row],[PREC. UNITARIO]]</f>
        <v>-6.5</v>
      </c>
      <c r="R469" t="str">
        <f>Tabla2[[#This Row],[QUIEN RECIBE]]&amp;"-"&amp;TEXT(Tabla2[[#This Row],[FECHA]],"dd/mm/yyyy")</f>
        <v>MOGROVEJO FALCON, OSMAR ADOLFO-29/09/2025</v>
      </c>
    </row>
    <row r="470" spans="2:18" ht="20.45" hidden="1" customHeight="1" x14ac:dyDescent="0.25">
      <c r="B470" s="5">
        <v>45929</v>
      </c>
      <c r="C470" s="2" t="str">
        <f>IFERROR(_xlfn.XLOOKUP(Tabla2[[#This Row],[PRODUCTO]],Tabla1[PRODUCTO],Tabla1[CODIGO]),"")</f>
        <v>IS-14</v>
      </c>
      <c r="D470" s="31" t="s">
        <v>271</v>
      </c>
      <c r="E470" s="31" t="str">
        <f>IFERROR(VLOOKUP(Tabla2[[#This Row],[CODIGO]],Tabla1[],3,0),"")</f>
        <v>IMPLEMENTOS DE SEGURIDAD</v>
      </c>
      <c r="F470" s="28" t="str">
        <f>IFERROR(VLOOKUP(Tabla2[[#This Row],[CODIGO]],Tabla1[],5,0),"")</f>
        <v>ALMACEN TICAPAMPA</v>
      </c>
      <c r="G470" s="26" t="str">
        <f>IFERROR(VLOOKUP(Tabla2[[#This Row],[CODIGO]],Tabla1[],6,0),"")</f>
        <v>UNI</v>
      </c>
      <c r="H470" s="26">
        <f>IFERROR(VLOOKUP(Tabla2[[#This Row],[CODIGO]],Tabla1[],10,0),"")</f>
        <v>1</v>
      </c>
      <c r="I470" s="7">
        <v>-1</v>
      </c>
      <c r="J470" s="29" t="s">
        <v>321</v>
      </c>
      <c r="K470" s="26" t="str">
        <f>IFERROR(VLOOKUP(Tabla2[[#This Row],[CODIGO]],Tabla1[],11,0),"")</f>
        <v>COMPRA</v>
      </c>
      <c r="L470" s="67" t="s">
        <v>250</v>
      </c>
      <c r="M470" s="67" t="s">
        <v>508</v>
      </c>
      <c r="N470" s="70">
        <v>4</v>
      </c>
      <c r="O470" s="70">
        <f>Tabla2[[#This Row],[CANTIDAD]]*Tabla2[[#This Row],[PREC. UNITARIO]]</f>
        <v>-4</v>
      </c>
      <c r="R470" t="str">
        <f>Tabla2[[#This Row],[QUIEN RECIBE]]&amp;"-"&amp;TEXT(Tabla2[[#This Row],[FECHA]],"dd/mm/yyyy")</f>
        <v>MOGROVEJO FALCON, OSMAR ADOLFO-29/09/2025</v>
      </c>
    </row>
    <row r="471" spans="2:18" ht="20.45" hidden="1" customHeight="1" x14ac:dyDescent="0.25">
      <c r="B471" s="5">
        <v>45929</v>
      </c>
      <c r="C471" s="2" t="str">
        <f>IFERROR(_xlfn.XLOOKUP(Tabla2[[#This Row],[PRODUCTO]],Tabla1[PRODUCTO],Tabla1[CODIGO]),"")</f>
        <v>IS-28</v>
      </c>
      <c r="D471" s="31" t="s">
        <v>79</v>
      </c>
      <c r="E471" s="31" t="str">
        <f>IFERROR(VLOOKUP(Tabla2[[#This Row],[CODIGO]],Tabla1[],3,0),"")</f>
        <v>IMPLEMENTOS DE SEGURIDAD</v>
      </c>
      <c r="F471" s="28" t="str">
        <f>IFERROR(VLOOKUP(Tabla2[[#This Row],[CODIGO]],Tabla1[],5,0),"")</f>
        <v>ALMACEN TICAPAMPA</v>
      </c>
      <c r="G471" s="26" t="str">
        <f>IFERROR(VLOOKUP(Tabla2[[#This Row],[CODIGO]],Tabla1[],6,0),"")</f>
        <v>UNI</v>
      </c>
      <c r="H471" s="26">
        <f>IFERROR(VLOOKUP(Tabla2[[#This Row],[CODIGO]],Tabla1[],10,0),"")</f>
        <v>32</v>
      </c>
      <c r="I471" s="7">
        <v>-1</v>
      </c>
      <c r="J471" s="29" t="s">
        <v>321</v>
      </c>
      <c r="K471" s="26" t="str">
        <f>IFERROR(VLOOKUP(Tabla2[[#This Row],[CODIGO]],Tabla1[],11,0),"")</f>
        <v>COMPRA</v>
      </c>
      <c r="L471" s="67" t="s">
        <v>250</v>
      </c>
      <c r="M471" s="67" t="s">
        <v>508</v>
      </c>
      <c r="N471" s="70">
        <v>4</v>
      </c>
      <c r="O471" s="70">
        <f>Tabla2[[#This Row],[CANTIDAD]]*Tabla2[[#This Row],[PREC. UNITARIO]]</f>
        <v>-4</v>
      </c>
      <c r="R471" t="str">
        <f>Tabla2[[#This Row],[QUIEN RECIBE]]&amp;"-"&amp;TEXT(Tabla2[[#This Row],[FECHA]],"dd/mm/yyyy")</f>
        <v>MOGROVEJO FALCON, OSMAR ADOLFO-29/09/2025</v>
      </c>
    </row>
    <row r="472" spans="2:18" ht="20.45" hidden="1" customHeight="1" x14ac:dyDescent="0.25">
      <c r="B472" s="5">
        <v>45929</v>
      </c>
      <c r="C472" s="2" t="str">
        <f>IFERROR(_xlfn.XLOOKUP(Tabla2[[#This Row],[PRODUCTO]],Tabla1[PRODUCTO],Tabla1[CODIGO]),"")</f>
        <v>IS-23</v>
      </c>
      <c r="D472" s="31" t="s">
        <v>75</v>
      </c>
      <c r="E472" s="31" t="str">
        <f>IFERROR(VLOOKUP(Tabla2[[#This Row],[CODIGO]],Tabla1[],3,0),"")</f>
        <v>IMPLEMENTOS DE SEGURIDAD</v>
      </c>
      <c r="F472" s="28" t="str">
        <f>IFERROR(VLOOKUP(Tabla2[[#This Row],[CODIGO]],Tabla1[],5,0),"")</f>
        <v>ALMACEN TICAPAMPA</v>
      </c>
      <c r="G472" s="26" t="str">
        <f>IFERROR(VLOOKUP(Tabla2[[#This Row],[CODIGO]],Tabla1[],6,0),"")</f>
        <v>UNI</v>
      </c>
      <c r="H472" s="26">
        <f>IFERROR(VLOOKUP(Tabla2[[#This Row],[CODIGO]],Tabla1[],10,0),"")</f>
        <v>34</v>
      </c>
      <c r="I472" s="7">
        <v>-1</v>
      </c>
      <c r="J472" s="29" t="s">
        <v>321</v>
      </c>
      <c r="K472" s="26" t="str">
        <f>IFERROR(VLOOKUP(Tabla2[[#This Row],[CODIGO]],Tabla1[],11,0),"")</f>
        <v>COMPRA</v>
      </c>
      <c r="L472" s="67" t="s">
        <v>250</v>
      </c>
      <c r="M472" s="67" t="s">
        <v>508</v>
      </c>
      <c r="N472" s="70">
        <v>4</v>
      </c>
      <c r="O472" s="70">
        <f>Tabla2[[#This Row],[CANTIDAD]]*Tabla2[[#This Row],[PREC. UNITARIO]]</f>
        <v>-4</v>
      </c>
      <c r="R472" t="str">
        <f>Tabla2[[#This Row],[QUIEN RECIBE]]&amp;"-"&amp;TEXT(Tabla2[[#This Row],[FECHA]],"dd/mm/yyyy")</f>
        <v>MOGROVEJO FALCON, OSMAR ADOLFO-29/09/2025</v>
      </c>
    </row>
    <row r="473" spans="2:18" ht="20.45" hidden="1" customHeight="1" x14ac:dyDescent="0.25">
      <c r="B473" s="5">
        <v>45929</v>
      </c>
      <c r="C473" s="2" t="str">
        <f>IFERROR(_xlfn.XLOOKUP(Tabla2[[#This Row],[PRODUCTO]],Tabla1[PRODUCTO],Tabla1[CODIGO]),"")</f>
        <v>IS-25</v>
      </c>
      <c r="D473" s="31" t="s">
        <v>77</v>
      </c>
      <c r="E473" s="31" t="str">
        <f>IFERROR(VLOOKUP(Tabla2[[#This Row],[CODIGO]],Tabla1[],3,0),"")</f>
        <v>IMPLEMENTOS DE SEGURIDAD</v>
      </c>
      <c r="F473" s="28" t="str">
        <f>IFERROR(VLOOKUP(Tabla2[[#This Row],[CODIGO]],Tabla1[],5,0),"")</f>
        <v>ALMACEN TICAPAMPA</v>
      </c>
      <c r="G473" s="26" t="str">
        <f>IFERROR(VLOOKUP(Tabla2[[#This Row],[CODIGO]],Tabla1[],6,0),"")</f>
        <v>UNI</v>
      </c>
      <c r="H473" s="26">
        <f>IFERROR(VLOOKUP(Tabla2[[#This Row],[CODIGO]],Tabla1[],10,0),"")</f>
        <v>25</v>
      </c>
      <c r="I473" s="7">
        <v>-1</v>
      </c>
      <c r="J473" s="29" t="s">
        <v>321</v>
      </c>
      <c r="K473" s="26" t="str">
        <f>IFERROR(VLOOKUP(Tabla2[[#This Row],[CODIGO]],Tabla1[],11,0),"")</f>
        <v>COMPRA</v>
      </c>
      <c r="L473" s="67" t="s">
        <v>250</v>
      </c>
      <c r="M473" s="67" t="s">
        <v>451</v>
      </c>
      <c r="N473" s="70"/>
      <c r="O473" s="70">
        <f>Tabla2[[#This Row],[CANTIDAD]]*Tabla2[[#This Row],[PREC. UNITARIO]]</f>
        <v>0</v>
      </c>
      <c r="R473" t="str">
        <f>Tabla2[[#This Row],[QUIEN RECIBE]]&amp;"-"&amp;TEXT(Tabla2[[#This Row],[FECHA]],"dd/mm/yyyy")</f>
        <v>OSMAR-29/09/2025</v>
      </c>
    </row>
    <row r="474" spans="2:18" ht="20.45" hidden="1" customHeight="1" x14ac:dyDescent="0.25">
      <c r="B474" s="5">
        <v>45929</v>
      </c>
      <c r="C474" s="2" t="str">
        <f>IFERROR(_xlfn.XLOOKUP(Tabla2[[#This Row],[PRODUCTO]],Tabla1[PRODUCTO],Tabla1[CODIGO]),"")</f>
        <v>IS-7</v>
      </c>
      <c r="D474" s="31" t="s">
        <v>57</v>
      </c>
      <c r="E474" s="31" t="str">
        <f>IFERROR(VLOOKUP(Tabla2[[#This Row],[CODIGO]],Tabla1[],3,0),"")</f>
        <v>IMPLEMENTOS DE SEGURIDAD</v>
      </c>
      <c r="F474" s="28" t="str">
        <f>IFERROR(VLOOKUP(Tabla2[[#This Row],[CODIGO]],Tabla1[],5,0),"")</f>
        <v>ALMACEN TICAPAMPA</v>
      </c>
      <c r="G474" s="26" t="str">
        <f>IFERROR(VLOOKUP(Tabla2[[#This Row],[CODIGO]],Tabla1[],6,0),"")</f>
        <v>UNI</v>
      </c>
      <c r="H474" s="26">
        <f>IFERROR(VLOOKUP(Tabla2[[#This Row],[CODIGO]],Tabla1[],10,0),"")</f>
        <v>0</v>
      </c>
      <c r="I474" s="7">
        <v>1</v>
      </c>
      <c r="J474" s="29" t="s">
        <v>320</v>
      </c>
      <c r="K474" s="26" t="str">
        <f>IFERROR(VLOOKUP(Tabla2[[#This Row],[CODIGO]],Tabla1[],11,0),"")</f>
        <v>COMPRA</v>
      </c>
      <c r="L474" s="67" t="s">
        <v>308</v>
      </c>
      <c r="M474" s="67" t="s">
        <v>472</v>
      </c>
      <c r="N474" s="70">
        <v>75</v>
      </c>
      <c r="O474" s="70">
        <f>Tabla2[[#This Row],[CANTIDAD]]*Tabla2[[#This Row],[PREC. UNITARIO]]</f>
        <v>75</v>
      </c>
      <c r="R474" t="str">
        <f>Tabla2[[#This Row],[QUIEN RECIBE]]&amp;"-"&amp;TEXT(Tabla2[[#This Row],[FECHA]],"dd/mm/yyyy")</f>
        <v>ACUACHI LANCHIPA ERNESTO ALONSO-29/09/2025</v>
      </c>
    </row>
    <row r="475" spans="2:18" ht="20.45" hidden="1" customHeight="1" x14ac:dyDescent="0.25">
      <c r="B475" s="5">
        <v>45929</v>
      </c>
      <c r="C475" s="2" t="str">
        <f>IFERROR(_xlfn.XLOOKUP(Tabla2[[#This Row],[PRODUCTO]],Tabla1[PRODUCTO],Tabla1[CODIGO]),"")</f>
        <v>IS-8</v>
      </c>
      <c r="D475" s="31" t="s">
        <v>58</v>
      </c>
      <c r="E475" s="31" t="str">
        <f>IFERROR(VLOOKUP(Tabla2[[#This Row],[CODIGO]],Tabla1[],3,0),"")</f>
        <v>IMPLEMENTOS DE SEGURIDAD</v>
      </c>
      <c r="F475" s="28" t="str">
        <f>IFERROR(VLOOKUP(Tabla2[[#This Row],[CODIGO]],Tabla1[],5,0),"")</f>
        <v>ALMACEN TICAPAMPA</v>
      </c>
      <c r="G475" s="26" t="str">
        <f>IFERROR(VLOOKUP(Tabla2[[#This Row],[CODIGO]],Tabla1[],6,0),"")</f>
        <v>UNI</v>
      </c>
      <c r="H475" s="26">
        <f>IFERROR(VLOOKUP(Tabla2[[#This Row],[CODIGO]],Tabla1[],10,0),"")</f>
        <v>0</v>
      </c>
      <c r="I475" s="7">
        <v>1</v>
      </c>
      <c r="J475" s="29" t="s">
        <v>320</v>
      </c>
      <c r="K475" s="26" t="str">
        <f>IFERROR(VLOOKUP(Tabla2[[#This Row],[CODIGO]],Tabla1[],11,0),"")</f>
        <v>COMPRA</v>
      </c>
      <c r="L475" s="67" t="s">
        <v>308</v>
      </c>
      <c r="M475" s="67" t="s">
        <v>472</v>
      </c>
      <c r="N475" s="70">
        <v>75</v>
      </c>
      <c r="O475" s="70">
        <f>Tabla2[[#This Row],[CANTIDAD]]*Tabla2[[#This Row],[PREC. UNITARIO]]</f>
        <v>75</v>
      </c>
      <c r="R475" t="str">
        <f>Tabla2[[#This Row],[QUIEN RECIBE]]&amp;"-"&amp;TEXT(Tabla2[[#This Row],[FECHA]],"dd/mm/yyyy")</f>
        <v>ACUACHI LANCHIPA ERNESTO ALONSO-29/09/2025</v>
      </c>
    </row>
    <row r="476" spans="2:18" ht="20.45" hidden="1" customHeight="1" x14ac:dyDescent="0.25">
      <c r="B476" s="5">
        <v>45929</v>
      </c>
      <c r="C476" s="2" t="str">
        <f>IFERROR(_xlfn.XLOOKUP(Tabla2[[#This Row],[PRODUCTO]],Tabla1[PRODUCTO],Tabla1[CODIGO]),"")</f>
        <v>IS-7</v>
      </c>
      <c r="D476" s="31" t="s">
        <v>57</v>
      </c>
      <c r="E476" s="31" t="str">
        <f>IFERROR(VLOOKUP(Tabla2[[#This Row],[CODIGO]],Tabla1[],3,0),"")</f>
        <v>IMPLEMENTOS DE SEGURIDAD</v>
      </c>
      <c r="F476" s="28" t="str">
        <f>IFERROR(VLOOKUP(Tabla2[[#This Row],[CODIGO]],Tabla1[],5,0),"")</f>
        <v>ALMACEN TICAPAMPA</v>
      </c>
      <c r="G476" s="26" t="str">
        <f>IFERROR(VLOOKUP(Tabla2[[#This Row],[CODIGO]],Tabla1[],6,0),"")</f>
        <v>UNI</v>
      </c>
      <c r="H476" s="26">
        <f>IFERROR(VLOOKUP(Tabla2[[#This Row],[CODIGO]],Tabla1[],10,0),"")</f>
        <v>0</v>
      </c>
      <c r="I476" s="7">
        <v>-1</v>
      </c>
      <c r="J476" s="29" t="s">
        <v>321</v>
      </c>
      <c r="K476" s="26" t="str">
        <f>IFERROR(VLOOKUP(Tabla2[[#This Row],[CODIGO]],Tabla1[],11,0),"")</f>
        <v>COMPRA</v>
      </c>
      <c r="L476" s="67" t="s">
        <v>250</v>
      </c>
      <c r="M476" s="67" t="s">
        <v>508</v>
      </c>
      <c r="N476" s="70">
        <v>75</v>
      </c>
      <c r="O476" s="70">
        <f>Tabla2[[#This Row],[CANTIDAD]]*Tabla2[[#This Row],[PREC. UNITARIO]]</f>
        <v>-75</v>
      </c>
      <c r="R476" t="str">
        <f>Tabla2[[#This Row],[QUIEN RECIBE]]&amp;"-"&amp;TEXT(Tabla2[[#This Row],[FECHA]],"dd/mm/yyyy")</f>
        <v>MOGROVEJO FALCON, OSMAR ADOLFO-29/09/2025</v>
      </c>
    </row>
    <row r="477" spans="2:18" ht="20.45" hidden="1" customHeight="1" x14ac:dyDescent="0.25">
      <c r="B477" s="5">
        <v>45929</v>
      </c>
      <c r="C477" s="2" t="str">
        <f>IFERROR(_xlfn.XLOOKUP(Tabla2[[#This Row],[PRODUCTO]],Tabla1[PRODUCTO],Tabla1[CODIGO]),"")</f>
        <v>IS-8</v>
      </c>
      <c r="D477" s="31" t="s">
        <v>58</v>
      </c>
      <c r="E477" s="31" t="str">
        <f>IFERROR(VLOOKUP(Tabla2[[#This Row],[CODIGO]],Tabla1[],3,0),"")</f>
        <v>IMPLEMENTOS DE SEGURIDAD</v>
      </c>
      <c r="F477" s="28" t="str">
        <f>IFERROR(VLOOKUP(Tabla2[[#This Row],[CODIGO]],Tabla1[],5,0),"")</f>
        <v>ALMACEN TICAPAMPA</v>
      </c>
      <c r="G477" s="26" t="str">
        <f>IFERROR(VLOOKUP(Tabla2[[#This Row],[CODIGO]],Tabla1[],6,0),"")</f>
        <v>UNI</v>
      </c>
      <c r="H477" s="26">
        <f>IFERROR(VLOOKUP(Tabla2[[#This Row],[CODIGO]],Tabla1[],10,0),"")</f>
        <v>0</v>
      </c>
      <c r="I477" s="7">
        <v>-1</v>
      </c>
      <c r="J477" s="29" t="s">
        <v>321</v>
      </c>
      <c r="K477" s="26" t="str">
        <f>IFERROR(VLOOKUP(Tabla2[[#This Row],[CODIGO]],Tabla1[],11,0),"")</f>
        <v>COMPRA</v>
      </c>
      <c r="L477" s="67" t="s">
        <v>250</v>
      </c>
      <c r="M477" s="67" t="s">
        <v>304</v>
      </c>
      <c r="N477" s="70">
        <v>75</v>
      </c>
      <c r="O477" s="70">
        <f>Tabla2[[#This Row],[CANTIDAD]]*Tabla2[[#This Row],[PREC. UNITARIO]]</f>
        <v>-75</v>
      </c>
      <c r="R477" t="str">
        <f>Tabla2[[#This Row],[QUIEN RECIBE]]&amp;"-"&amp;TEXT(Tabla2[[#This Row],[FECHA]],"dd/mm/yyyy")</f>
        <v>LOZA, GUILLERMO-29/09/2025</v>
      </c>
    </row>
    <row r="478" spans="2:18" ht="20.45" hidden="1" customHeight="1" x14ac:dyDescent="0.25">
      <c r="B478" s="5">
        <v>45929</v>
      </c>
      <c r="C478" s="2" t="str">
        <f>IFERROR(_xlfn.XLOOKUP(Tabla2[[#This Row],[PRODUCTO]],Tabla1[PRODUCTO],Tabla1[CODIGO]),"")</f>
        <v>IS-9</v>
      </c>
      <c r="D478" s="31" t="s">
        <v>59</v>
      </c>
      <c r="E478" s="31" t="str">
        <f>IFERROR(VLOOKUP(Tabla2[[#This Row],[CODIGO]],Tabla1[],3,0),"")</f>
        <v>IMPLEMENTOS DE SEGURIDAD</v>
      </c>
      <c r="F478" s="28" t="str">
        <f>IFERROR(VLOOKUP(Tabla2[[#This Row],[CODIGO]],Tabla1[],5,0),"")</f>
        <v>ALMACEN TICAPAMPA</v>
      </c>
      <c r="G478" s="26" t="str">
        <f>IFERROR(VLOOKUP(Tabla2[[#This Row],[CODIGO]],Tabla1[],6,0),"")</f>
        <v>UNI</v>
      </c>
      <c r="H478" s="26">
        <f>IFERROR(VLOOKUP(Tabla2[[#This Row],[CODIGO]],Tabla1[],10,0),"")</f>
        <v>0</v>
      </c>
      <c r="I478" s="7">
        <v>2</v>
      </c>
      <c r="J478" s="29" t="s">
        <v>320</v>
      </c>
      <c r="K478" s="26" t="str">
        <f>IFERROR(VLOOKUP(Tabla2[[#This Row],[CODIGO]],Tabla1[],11,0),"")</f>
        <v>COMPRA</v>
      </c>
      <c r="L478" s="67" t="s">
        <v>308</v>
      </c>
      <c r="M478" s="67" t="s">
        <v>472</v>
      </c>
      <c r="N478" s="70">
        <v>38</v>
      </c>
      <c r="O478" s="70">
        <f>Tabla2[[#This Row],[CANTIDAD]]*Tabla2[[#This Row],[PREC. UNITARIO]]</f>
        <v>76</v>
      </c>
      <c r="R478" t="str">
        <f>Tabla2[[#This Row],[QUIEN RECIBE]]&amp;"-"&amp;TEXT(Tabla2[[#This Row],[FECHA]],"dd/mm/yyyy")</f>
        <v>ACUACHI LANCHIPA ERNESTO ALONSO-29/09/2025</v>
      </c>
    </row>
    <row r="479" spans="2:18" ht="20.45" hidden="1" customHeight="1" x14ac:dyDescent="0.25">
      <c r="B479" s="5">
        <v>45929</v>
      </c>
      <c r="C479" s="2" t="str">
        <f>IFERROR(_xlfn.XLOOKUP(Tabla2[[#This Row],[PRODUCTO]],Tabla1[PRODUCTO],Tabla1[CODIGO]),"")</f>
        <v>IS-11</v>
      </c>
      <c r="D479" s="31" t="s">
        <v>61</v>
      </c>
      <c r="E479" s="31" t="str">
        <f>IFERROR(VLOOKUP(Tabla2[[#This Row],[CODIGO]],Tabla1[],3,0),"")</f>
        <v>IMPLEMENTOS DE SEGURIDAD</v>
      </c>
      <c r="F479" s="28" t="str">
        <f>IFERROR(VLOOKUP(Tabla2[[#This Row],[CODIGO]],Tabla1[],5,0),"")</f>
        <v>ALMACEN TICAPAMPA</v>
      </c>
      <c r="G479" s="26" t="str">
        <f>IFERROR(VLOOKUP(Tabla2[[#This Row],[CODIGO]],Tabla1[],6,0),"")</f>
        <v>UNI</v>
      </c>
      <c r="H479" s="26">
        <f>IFERROR(VLOOKUP(Tabla2[[#This Row],[CODIGO]],Tabla1[],10,0),"")</f>
        <v>0</v>
      </c>
      <c r="I479" s="7">
        <v>2</v>
      </c>
      <c r="J479" s="29" t="s">
        <v>320</v>
      </c>
      <c r="K479" s="26" t="str">
        <f>IFERROR(VLOOKUP(Tabla2[[#This Row],[CODIGO]],Tabla1[],11,0),"")</f>
        <v>COMPRA</v>
      </c>
      <c r="L479" s="67" t="s">
        <v>308</v>
      </c>
      <c r="M479" s="67" t="s">
        <v>472</v>
      </c>
      <c r="N479" s="70">
        <v>38</v>
      </c>
      <c r="O479" s="70">
        <f>Tabla2[[#This Row],[CANTIDAD]]*Tabla2[[#This Row],[PREC. UNITARIO]]</f>
        <v>76</v>
      </c>
      <c r="R479" t="str">
        <f>Tabla2[[#This Row],[QUIEN RECIBE]]&amp;"-"&amp;TEXT(Tabla2[[#This Row],[FECHA]],"dd/mm/yyyy")</f>
        <v>ACUACHI LANCHIPA ERNESTO ALONSO-29/09/2025</v>
      </c>
    </row>
    <row r="480" spans="2:18" ht="20.45" hidden="1" customHeight="1" x14ac:dyDescent="0.25">
      <c r="B480" s="5">
        <v>45929</v>
      </c>
      <c r="C480" s="2" t="str">
        <f>IFERROR(_xlfn.XLOOKUP(Tabla2[[#This Row],[PRODUCTO]],Tabla1[PRODUCTO],Tabla1[CODIGO]),"")</f>
        <v>IS-9</v>
      </c>
      <c r="D480" s="31" t="s">
        <v>59</v>
      </c>
      <c r="E480" s="31" t="str">
        <f>IFERROR(VLOOKUP(Tabla2[[#This Row],[CODIGO]],Tabla1[],3,0),"")</f>
        <v>IMPLEMENTOS DE SEGURIDAD</v>
      </c>
      <c r="F480" s="28" t="str">
        <f>IFERROR(VLOOKUP(Tabla2[[#This Row],[CODIGO]],Tabla1[],5,0),"")</f>
        <v>ALMACEN TICAPAMPA</v>
      </c>
      <c r="G480" s="26" t="str">
        <f>IFERROR(VLOOKUP(Tabla2[[#This Row],[CODIGO]],Tabla1[],6,0),"")</f>
        <v>UNI</v>
      </c>
      <c r="H480" s="26">
        <f>IFERROR(VLOOKUP(Tabla2[[#This Row],[CODIGO]],Tabla1[],10,0),"")</f>
        <v>0</v>
      </c>
      <c r="I480" s="7">
        <v>-2</v>
      </c>
      <c r="J480" s="29" t="s">
        <v>321</v>
      </c>
      <c r="K480" s="26" t="str">
        <f>IFERROR(VLOOKUP(Tabla2[[#This Row],[CODIGO]],Tabla1[],11,0),"")</f>
        <v>COMPRA</v>
      </c>
      <c r="L480" s="67" t="s">
        <v>472</v>
      </c>
      <c r="M480" s="67" t="s">
        <v>508</v>
      </c>
      <c r="N480" s="70">
        <v>38</v>
      </c>
      <c r="O480" s="70">
        <f>Tabla2[[#This Row],[CANTIDAD]]*Tabla2[[#This Row],[PREC. UNITARIO]]</f>
        <v>-76</v>
      </c>
      <c r="R480" t="str">
        <f>Tabla2[[#This Row],[QUIEN RECIBE]]&amp;"-"&amp;TEXT(Tabla2[[#This Row],[FECHA]],"dd/mm/yyyy")</f>
        <v>MOGROVEJO FALCON, OSMAR ADOLFO-29/09/2025</v>
      </c>
    </row>
    <row r="481" spans="2:18" ht="20.45" hidden="1" customHeight="1" x14ac:dyDescent="0.25">
      <c r="B481" s="5">
        <v>45929</v>
      </c>
      <c r="C481" s="2" t="str">
        <f>IFERROR(_xlfn.XLOOKUP(Tabla2[[#This Row],[PRODUCTO]],Tabla1[PRODUCTO],Tabla1[CODIGO]),"")</f>
        <v>IS-11</v>
      </c>
      <c r="D481" s="31" t="s">
        <v>61</v>
      </c>
      <c r="E481" s="31" t="str">
        <f>IFERROR(VLOOKUP(Tabla2[[#This Row],[CODIGO]],Tabla1[],3,0),"")</f>
        <v>IMPLEMENTOS DE SEGURIDAD</v>
      </c>
      <c r="F481" s="28" t="str">
        <f>IFERROR(VLOOKUP(Tabla2[[#This Row],[CODIGO]],Tabla1[],5,0),"")</f>
        <v>ALMACEN TICAPAMPA</v>
      </c>
      <c r="G481" s="26" t="str">
        <f>IFERROR(VLOOKUP(Tabla2[[#This Row],[CODIGO]],Tabla1[],6,0),"")</f>
        <v>UNI</v>
      </c>
      <c r="H481" s="26">
        <f>IFERROR(VLOOKUP(Tabla2[[#This Row],[CODIGO]],Tabla1[],10,0),"")</f>
        <v>0</v>
      </c>
      <c r="I481" s="7">
        <v>-2</v>
      </c>
      <c r="J481" s="29" t="s">
        <v>321</v>
      </c>
      <c r="K481" s="26" t="str">
        <f>IFERROR(VLOOKUP(Tabla2[[#This Row],[CODIGO]],Tabla1[],11,0),"")</f>
        <v>COMPRA</v>
      </c>
      <c r="L481" s="67" t="s">
        <v>472</v>
      </c>
      <c r="M481" s="67" t="s">
        <v>304</v>
      </c>
      <c r="N481" s="70">
        <v>38</v>
      </c>
      <c r="O481" s="70">
        <f>Tabla2[[#This Row],[CANTIDAD]]*Tabla2[[#This Row],[PREC. UNITARIO]]</f>
        <v>-76</v>
      </c>
      <c r="R481" t="str">
        <f>Tabla2[[#This Row],[QUIEN RECIBE]]&amp;"-"&amp;TEXT(Tabla2[[#This Row],[FECHA]],"dd/mm/yyyy")</f>
        <v>LOZA, GUILLERMO-29/09/2025</v>
      </c>
    </row>
    <row r="482" spans="2:18" ht="20.45" hidden="1" customHeight="1" x14ac:dyDescent="0.25">
      <c r="B482" s="5">
        <v>45929</v>
      </c>
      <c r="C482" s="2" t="str">
        <f>IFERROR(_xlfn.XLOOKUP(Tabla2[[#This Row],[PRODUCTO]],Tabla1[PRODUCTO],Tabla1[CODIGO]),"")</f>
        <v>IE-13</v>
      </c>
      <c r="D482" s="31" t="s">
        <v>448</v>
      </c>
      <c r="E482" s="31" t="str">
        <f>IFERROR(VLOOKUP(Tabla2[[#This Row],[CODIGO]],Tabla1[],3,0),"")</f>
        <v>INSTALACIONES ELECTRICAS</v>
      </c>
      <c r="F482" s="28" t="str">
        <f>IFERROR(VLOOKUP(Tabla2[[#This Row],[CODIGO]],Tabla1[],5,0),"")</f>
        <v>ALMACEN TICAPAMPA</v>
      </c>
      <c r="G482" s="26" t="str">
        <f>IFERROR(VLOOKUP(Tabla2[[#This Row],[CODIGO]],Tabla1[],6,0),"")</f>
        <v>UNI</v>
      </c>
      <c r="H482" s="26">
        <f>IFERROR(VLOOKUP(Tabla2[[#This Row],[CODIGO]],Tabla1[],10,0),"")</f>
        <v>2</v>
      </c>
      <c r="I482" s="7">
        <v>2</v>
      </c>
      <c r="J482" s="29" t="s">
        <v>320</v>
      </c>
      <c r="K482" s="26" t="str">
        <f>IFERROR(VLOOKUP(Tabla2[[#This Row],[CODIGO]],Tabla1[],11,0),"")</f>
        <v>COMPRA</v>
      </c>
      <c r="L482" s="67"/>
      <c r="M482" s="67"/>
      <c r="N482" s="70"/>
      <c r="O482" s="70">
        <f>Tabla2[[#This Row],[CANTIDAD]]*Tabla2[[#This Row],[PREC. UNITARIO]]</f>
        <v>0</v>
      </c>
      <c r="R482" t="str">
        <f>Tabla2[[#This Row],[QUIEN RECIBE]]&amp;"-"&amp;TEXT(Tabla2[[#This Row],[FECHA]],"dd/mm/yyyy")</f>
        <v>-29/09/2025</v>
      </c>
    </row>
    <row r="483" spans="2:18" ht="20.45" hidden="1" customHeight="1" x14ac:dyDescent="0.25">
      <c r="B483" s="5">
        <v>45929</v>
      </c>
      <c r="C483" s="2" t="str">
        <f>IFERROR(_xlfn.XLOOKUP(Tabla2[[#This Row],[PRODUCTO]],Tabla1[PRODUCTO],Tabla1[CODIGO]),"")</f>
        <v>UE-59</v>
      </c>
      <c r="D483" s="31" t="s">
        <v>454</v>
      </c>
      <c r="E483" s="31" t="str">
        <f>IFERROR(VLOOKUP(Tabla2[[#This Row],[CODIGO]],Tabla1[],3,0),"")</f>
        <v>UTILES DE ESCRITORIO</v>
      </c>
      <c r="F483" s="28" t="str">
        <f>IFERROR(VLOOKUP(Tabla2[[#This Row],[CODIGO]],Tabla1[],5,0),"")</f>
        <v>ALMACEN TICAPAMPA</v>
      </c>
      <c r="G483" s="26" t="str">
        <f>IFERROR(VLOOKUP(Tabla2[[#This Row],[CODIGO]],Tabla1[],6,0),"")</f>
        <v>UNI</v>
      </c>
      <c r="H483" s="26">
        <f>IFERROR(VLOOKUP(Tabla2[[#This Row],[CODIGO]],Tabla1[],10,0),"")</f>
        <v>1</v>
      </c>
      <c r="I483" s="7">
        <v>3</v>
      </c>
      <c r="J483" s="29" t="s">
        <v>320</v>
      </c>
      <c r="K483" s="26" t="str">
        <f>IFERROR(VLOOKUP(Tabla2[[#This Row],[CODIGO]],Tabla1[],11,0),"")</f>
        <v>COMPRA</v>
      </c>
      <c r="L483" s="67"/>
      <c r="M483" s="67"/>
      <c r="N483" s="70"/>
      <c r="O483" s="70">
        <f>Tabla2[[#This Row],[CANTIDAD]]*Tabla2[[#This Row],[PREC. UNITARIO]]</f>
        <v>0</v>
      </c>
      <c r="R483" t="str">
        <f>Tabla2[[#This Row],[QUIEN RECIBE]]&amp;"-"&amp;TEXT(Tabla2[[#This Row],[FECHA]],"dd/mm/yyyy")</f>
        <v>-29/09/2025</v>
      </c>
    </row>
    <row r="484" spans="2:18" ht="20.45" hidden="1" customHeight="1" x14ac:dyDescent="0.25">
      <c r="B484" s="5">
        <v>45929</v>
      </c>
      <c r="C484" s="2" t="str">
        <f>IFERROR(_xlfn.XLOOKUP(Tabla2[[#This Row],[PRODUCTO]],Tabla1[PRODUCTO],Tabla1[CODIGO]),"")</f>
        <v>ULI-6</v>
      </c>
      <c r="D484" s="31" t="s">
        <v>453</v>
      </c>
      <c r="E484" s="31" t="str">
        <f>IFERROR(VLOOKUP(Tabla2[[#This Row],[CODIGO]],Tabla1[],3,0),"")</f>
        <v>UTILES LIMPIEZA</v>
      </c>
      <c r="F484" s="28" t="str">
        <f>IFERROR(VLOOKUP(Tabla2[[#This Row],[CODIGO]],Tabla1[],5,0),"")</f>
        <v>ALMACEN TICAPAMPA</v>
      </c>
      <c r="G484" s="26" t="str">
        <f>IFERROR(VLOOKUP(Tabla2[[#This Row],[CODIGO]],Tabla1[],6,0),"")</f>
        <v>UNI</v>
      </c>
      <c r="H484" s="26">
        <f>IFERROR(VLOOKUP(Tabla2[[#This Row],[CODIGO]],Tabla1[],10,0),"")</f>
        <v>4</v>
      </c>
      <c r="I484" s="7">
        <v>4</v>
      </c>
      <c r="J484" s="29" t="s">
        <v>320</v>
      </c>
      <c r="K484" s="26" t="str">
        <f>IFERROR(VLOOKUP(Tabla2[[#This Row],[CODIGO]],Tabla1[],11,0),"")</f>
        <v>COMPRA</v>
      </c>
      <c r="L484" s="67"/>
      <c r="M484" s="67"/>
      <c r="N484" s="70"/>
      <c r="O484" s="70">
        <f>Tabla2[[#This Row],[CANTIDAD]]*Tabla2[[#This Row],[PREC. UNITARIO]]</f>
        <v>0</v>
      </c>
      <c r="R484" t="str">
        <f>Tabla2[[#This Row],[QUIEN RECIBE]]&amp;"-"&amp;TEXT(Tabla2[[#This Row],[FECHA]],"dd/mm/yyyy")</f>
        <v>-29/09/2025</v>
      </c>
    </row>
    <row r="485" spans="2:18" ht="20.45" hidden="1" customHeight="1" x14ac:dyDescent="0.25">
      <c r="B485" s="5">
        <v>45929</v>
      </c>
      <c r="C485" s="2" t="str">
        <f>IFERROR(_xlfn.XLOOKUP(Tabla2[[#This Row],[PRODUCTO]],Tabla1[PRODUCTO],Tabla1[CODIGO]),"")</f>
        <v>UE-58</v>
      </c>
      <c r="D485" s="31" t="s">
        <v>421</v>
      </c>
      <c r="E485" s="31" t="str">
        <f>IFERROR(VLOOKUP(Tabla2[[#This Row],[CODIGO]],Tabla1[],3,0),"")</f>
        <v>UTILES DE ESCRITORIO</v>
      </c>
      <c r="F485" s="28" t="str">
        <f>IFERROR(VLOOKUP(Tabla2[[#This Row],[CODIGO]],Tabla1[],5,0),"")</f>
        <v>ALMACEN TICAPAMPA</v>
      </c>
      <c r="G485" s="26" t="str">
        <f>IFERROR(VLOOKUP(Tabla2[[#This Row],[CODIGO]],Tabla1[],6,0),"")</f>
        <v>UNI</v>
      </c>
      <c r="H485" s="26">
        <f>IFERROR(VLOOKUP(Tabla2[[#This Row],[CODIGO]],Tabla1[],10,0),"")</f>
        <v>28</v>
      </c>
      <c r="I485" s="7">
        <v>24</v>
      </c>
      <c r="J485" s="29" t="s">
        <v>320</v>
      </c>
      <c r="K485" s="26" t="str">
        <f>IFERROR(VLOOKUP(Tabla2[[#This Row],[CODIGO]],Tabla1[],11,0),"")</f>
        <v>COMPRA</v>
      </c>
      <c r="L485" s="67"/>
      <c r="M485" s="67"/>
      <c r="N485" s="70"/>
      <c r="O485" s="70">
        <f>Tabla2[[#This Row],[CANTIDAD]]*Tabla2[[#This Row],[PREC. UNITARIO]]</f>
        <v>0</v>
      </c>
      <c r="R485" t="str">
        <f>Tabla2[[#This Row],[QUIEN RECIBE]]&amp;"-"&amp;TEXT(Tabla2[[#This Row],[FECHA]],"dd/mm/yyyy")</f>
        <v>-29/09/2025</v>
      </c>
    </row>
    <row r="486" spans="2:18" ht="20.45" hidden="1" customHeight="1" x14ac:dyDescent="0.25">
      <c r="B486" s="5">
        <v>45929</v>
      </c>
      <c r="C486" s="2" t="str">
        <f>IFERROR(_xlfn.XLOOKUP(Tabla2[[#This Row],[PRODUCTO]],Tabla1[PRODUCTO],Tabla1[CODIGO]),"")</f>
        <v>UE-60</v>
      </c>
      <c r="D486" s="31" t="s">
        <v>455</v>
      </c>
      <c r="E486" s="31" t="str">
        <f>IFERROR(VLOOKUP(Tabla2[[#This Row],[CODIGO]],Tabla1[],3,0),"")</f>
        <v>UTILES DE ESCRITORIO</v>
      </c>
      <c r="F486" s="28" t="str">
        <f>IFERROR(VLOOKUP(Tabla2[[#This Row],[CODIGO]],Tabla1[],5,0),"")</f>
        <v>ALMACEN TICAPAMPA</v>
      </c>
      <c r="G486" s="26" t="str">
        <f>IFERROR(VLOOKUP(Tabla2[[#This Row],[CODIGO]],Tabla1[],6,0),"")</f>
        <v>UNI</v>
      </c>
      <c r="H486" s="26">
        <f>IFERROR(VLOOKUP(Tabla2[[#This Row],[CODIGO]],Tabla1[],10,0),"")</f>
        <v>1000</v>
      </c>
      <c r="I486" s="7">
        <v>1000</v>
      </c>
      <c r="J486" s="29" t="s">
        <v>320</v>
      </c>
      <c r="K486" s="26" t="str">
        <f>IFERROR(VLOOKUP(Tabla2[[#This Row],[CODIGO]],Tabla1[],11,0),"")</f>
        <v>COMPRA</v>
      </c>
      <c r="L486" s="67"/>
      <c r="M486" s="67"/>
      <c r="N486" s="70"/>
      <c r="O486" s="70">
        <f>Tabla2[[#This Row],[CANTIDAD]]*Tabla2[[#This Row],[PREC. UNITARIO]]</f>
        <v>0</v>
      </c>
      <c r="R486" t="str">
        <f>Tabla2[[#This Row],[QUIEN RECIBE]]&amp;"-"&amp;TEXT(Tabla2[[#This Row],[FECHA]],"dd/mm/yyyy")</f>
        <v>-29/09/2025</v>
      </c>
    </row>
    <row r="487" spans="2:18" ht="20.45" hidden="1" customHeight="1" x14ac:dyDescent="0.25">
      <c r="B487" s="5">
        <v>45929</v>
      </c>
      <c r="C487" s="2" t="str">
        <f>IFERROR(_xlfn.XLOOKUP(Tabla2[[#This Row],[PRODUCTO]],Tabla1[PRODUCTO],Tabla1[CODIGO]),"")</f>
        <v>UE-61</v>
      </c>
      <c r="D487" s="31" t="s">
        <v>456</v>
      </c>
      <c r="E487" s="31" t="str">
        <f>IFERROR(VLOOKUP(Tabla2[[#This Row],[CODIGO]],Tabla1[],3,0),"")</f>
        <v>UTILES DE ESCRITORIO</v>
      </c>
      <c r="F487" s="28" t="str">
        <f>IFERROR(VLOOKUP(Tabla2[[#This Row],[CODIGO]],Tabla1[],5,0),"")</f>
        <v>ALMACEN TICAPAMPA</v>
      </c>
      <c r="G487" s="26" t="str">
        <f>IFERROR(VLOOKUP(Tabla2[[#This Row],[CODIGO]],Tabla1[],6,0),"")</f>
        <v>UNI</v>
      </c>
      <c r="H487" s="26">
        <f>IFERROR(VLOOKUP(Tabla2[[#This Row],[CODIGO]],Tabla1[],10,0),"")</f>
        <v>2</v>
      </c>
      <c r="I487" s="7">
        <v>2</v>
      </c>
      <c r="J487" s="29" t="s">
        <v>320</v>
      </c>
      <c r="K487" s="26" t="str">
        <f>IFERROR(VLOOKUP(Tabla2[[#This Row],[CODIGO]],Tabla1[],11,0),"")</f>
        <v>COMPRA</v>
      </c>
      <c r="L487" s="67"/>
      <c r="M487" s="67"/>
      <c r="N487" s="70"/>
      <c r="O487" s="70">
        <f>Tabla2[[#This Row],[CANTIDAD]]*Tabla2[[#This Row],[PREC. UNITARIO]]</f>
        <v>0</v>
      </c>
      <c r="R487" t="str">
        <f>Tabla2[[#This Row],[QUIEN RECIBE]]&amp;"-"&amp;TEXT(Tabla2[[#This Row],[FECHA]],"dd/mm/yyyy")</f>
        <v>-29/09/2025</v>
      </c>
    </row>
    <row r="488" spans="2:18" ht="20.45" hidden="1" customHeight="1" x14ac:dyDescent="0.25">
      <c r="B488" s="5">
        <v>45929</v>
      </c>
      <c r="C488" s="2" t="str">
        <f>IFERROR(_xlfn.XLOOKUP(Tabla2[[#This Row],[PRODUCTO]],Tabla1[PRODUCTO],Tabla1[CODIGO]),"")</f>
        <v>UE-62</v>
      </c>
      <c r="D488" s="31" t="s">
        <v>457</v>
      </c>
      <c r="E488" s="31" t="str">
        <f>IFERROR(VLOOKUP(Tabla2[[#This Row],[CODIGO]],Tabla1[],3,0),"")</f>
        <v>UTILES DE ESCRITORIO</v>
      </c>
      <c r="F488" s="28" t="str">
        <f>IFERROR(VLOOKUP(Tabla2[[#This Row],[CODIGO]],Tabla1[],5,0),"")</f>
        <v>ALMACEN TICAPAMPA</v>
      </c>
      <c r="G488" s="26" t="str">
        <f>IFERROR(VLOOKUP(Tabla2[[#This Row],[CODIGO]],Tabla1[],6,0),"")</f>
        <v>UNI</v>
      </c>
      <c r="H488" s="26">
        <f>IFERROR(VLOOKUP(Tabla2[[#This Row],[CODIGO]],Tabla1[],10,0),"")</f>
        <v>2</v>
      </c>
      <c r="I488" s="7">
        <v>3</v>
      </c>
      <c r="J488" s="29" t="s">
        <v>320</v>
      </c>
      <c r="K488" s="26" t="str">
        <f>IFERROR(VLOOKUP(Tabla2[[#This Row],[CODIGO]],Tabla1[],11,0),"")</f>
        <v>COMPRA</v>
      </c>
      <c r="L488" s="67"/>
      <c r="M488" s="67"/>
      <c r="N488" s="70"/>
      <c r="O488" s="70">
        <f>Tabla2[[#This Row],[CANTIDAD]]*Tabla2[[#This Row],[PREC. UNITARIO]]</f>
        <v>0</v>
      </c>
      <c r="R488" t="str">
        <f>Tabla2[[#This Row],[QUIEN RECIBE]]&amp;"-"&amp;TEXT(Tabla2[[#This Row],[FECHA]],"dd/mm/yyyy")</f>
        <v>-29/09/2025</v>
      </c>
    </row>
    <row r="489" spans="2:18" ht="20.45" hidden="1" customHeight="1" x14ac:dyDescent="0.25">
      <c r="B489" s="5">
        <v>45929</v>
      </c>
      <c r="C489" s="2" t="str">
        <f>IFERROR(_xlfn.XLOOKUP(Tabla2[[#This Row],[PRODUCTO]],Tabla1[PRODUCTO],Tabla1[CODIGO]),"")</f>
        <v>UE-63</v>
      </c>
      <c r="D489" s="31" t="s">
        <v>458</v>
      </c>
      <c r="E489" s="31" t="str">
        <f>IFERROR(VLOOKUP(Tabla2[[#This Row],[CODIGO]],Tabla1[],3,0),"")</f>
        <v>UTILES DE ESCRITORIO</v>
      </c>
      <c r="F489" s="28" t="str">
        <f>IFERROR(VLOOKUP(Tabla2[[#This Row],[CODIGO]],Tabla1[],5,0),"")</f>
        <v>ALMACEN TICAPAMPA</v>
      </c>
      <c r="G489" s="26" t="str">
        <f>IFERROR(VLOOKUP(Tabla2[[#This Row],[CODIGO]],Tabla1[],6,0),"")</f>
        <v>PQTE</v>
      </c>
      <c r="H489" s="26">
        <f>IFERROR(VLOOKUP(Tabla2[[#This Row],[CODIGO]],Tabla1[],10,0),"")</f>
        <v>1</v>
      </c>
      <c r="I489" s="7">
        <v>1</v>
      </c>
      <c r="J489" s="29" t="s">
        <v>320</v>
      </c>
      <c r="K489" s="26" t="str">
        <f>IFERROR(VLOOKUP(Tabla2[[#This Row],[CODIGO]],Tabla1[],11,0),"")</f>
        <v>COMPRA</v>
      </c>
      <c r="L489" s="67"/>
      <c r="M489" s="67"/>
      <c r="N489" s="70"/>
      <c r="O489" s="70">
        <f>Tabla2[[#This Row],[CANTIDAD]]*Tabla2[[#This Row],[PREC. UNITARIO]]</f>
        <v>0</v>
      </c>
      <c r="R489" t="str">
        <f>Tabla2[[#This Row],[QUIEN RECIBE]]&amp;"-"&amp;TEXT(Tabla2[[#This Row],[FECHA]],"dd/mm/yyyy")</f>
        <v>-29/09/2025</v>
      </c>
    </row>
    <row r="490" spans="2:18" ht="20.45" hidden="1" customHeight="1" x14ac:dyDescent="0.25">
      <c r="B490" s="5">
        <v>45929</v>
      </c>
      <c r="C490" s="2" t="str">
        <f>IFERROR(_xlfn.XLOOKUP(Tabla2[[#This Row],[PRODUCTO]],Tabla1[PRODUCTO],Tabla1[CODIGO]),"")</f>
        <v>UE-64</v>
      </c>
      <c r="D490" s="31" t="s">
        <v>459</v>
      </c>
      <c r="E490" s="31" t="str">
        <f>IFERROR(VLOOKUP(Tabla2[[#This Row],[CODIGO]],Tabla1[],3,0),"")</f>
        <v>UTILES DE ESCRITORIO</v>
      </c>
      <c r="F490" s="28" t="str">
        <f>IFERROR(VLOOKUP(Tabla2[[#This Row],[CODIGO]],Tabla1[],5,0),"")</f>
        <v>ALMACEN TICAPAMPA</v>
      </c>
      <c r="G490" s="26" t="str">
        <f>IFERROR(VLOOKUP(Tabla2[[#This Row],[CODIGO]],Tabla1[],6,0),"")</f>
        <v>PQTE</v>
      </c>
      <c r="H490" s="26">
        <f>IFERROR(VLOOKUP(Tabla2[[#This Row],[CODIGO]],Tabla1[],10,0),"")</f>
        <v>1</v>
      </c>
      <c r="I490" s="7">
        <v>1</v>
      </c>
      <c r="J490" s="29" t="s">
        <v>320</v>
      </c>
      <c r="K490" s="26" t="str">
        <f>IFERROR(VLOOKUP(Tabla2[[#This Row],[CODIGO]],Tabla1[],11,0),"")</f>
        <v>COMPRA</v>
      </c>
      <c r="L490" s="67"/>
      <c r="M490" s="67"/>
      <c r="N490" s="70"/>
      <c r="O490" s="70">
        <f>Tabla2[[#This Row],[CANTIDAD]]*Tabla2[[#This Row],[PREC. UNITARIO]]</f>
        <v>0</v>
      </c>
      <c r="R490" t="str">
        <f>Tabla2[[#This Row],[QUIEN RECIBE]]&amp;"-"&amp;TEXT(Tabla2[[#This Row],[FECHA]],"dd/mm/yyyy")</f>
        <v>-29/09/2025</v>
      </c>
    </row>
    <row r="491" spans="2:18" ht="20.45" hidden="1" customHeight="1" x14ac:dyDescent="0.25">
      <c r="B491" s="5">
        <v>45929</v>
      </c>
      <c r="C491" s="2" t="str">
        <f>IFERROR(_xlfn.XLOOKUP(Tabla2[[#This Row],[PRODUCTO]],Tabla1[PRODUCTO],Tabla1[CODIGO]),"")</f>
        <v>UE-65</v>
      </c>
      <c r="D491" s="31" t="s">
        <v>460</v>
      </c>
      <c r="E491" s="31" t="str">
        <f>IFERROR(VLOOKUP(Tabla2[[#This Row],[CODIGO]],Tabla1[],3,0),"")</f>
        <v>UTILES DE ESCRITORIO</v>
      </c>
      <c r="F491" s="28" t="str">
        <f>IFERROR(VLOOKUP(Tabla2[[#This Row],[CODIGO]],Tabla1[],5,0),"")</f>
        <v>ALMACEN TICAPAMPA</v>
      </c>
      <c r="G491" s="26" t="str">
        <f>IFERROR(VLOOKUP(Tabla2[[#This Row],[CODIGO]],Tabla1[],6,0),"")</f>
        <v>UNI</v>
      </c>
      <c r="H491" s="26">
        <f>IFERROR(VLOOKUP(Tabla2[[#This Row],[CODIGO]],Tabla1[],10,0),"")</f>
        <v>0</v>
      </c>
      <c r="I491" s="7">
        <v>500</v>
      </c>
      <c r="J491" s="29" t="s">
        <v>320</v>
      </c>
      <c r="K491" s="26" t="str">
        <f>IFERROR(VLOOKUP(Tabla2[[#This Row],[CODIGO]],Tabla1[],11,0),"")</f>
        <v>COMPRA</v>
      </c>
      <c r="L491" s="67"/>
      <c r="M491" s="67"/>
      <c r="N491" s="70"/>
      <c r="O491" s="70">
        <f>Tabla2[[#This Row],[CANTIDAD]]*Tabla2[[#This Row],[PREC. UNITARIO]]</f>
        <v>0</v>
      </c>
      <c r="R491" t="str">
        <f>Tabla2[[#This Row],[QUIEN RECIBE]]&amp;"-"&amp;TEXT(Tabla2[[#This Row],[FECHA]],"dd/mm/yyyy")</f>
        <v>-29/09/2025</v>
      </c>
    </row>
    <row r="492" spans="2:18" ht="20.45" hidden="1" customHeight="1" x14ac:dyDescent="0.25">
      <c r="B492" s="5">
        <v>45929</v>
      </c>
      <c r="C492" s="2" t="str">
        <f>IFERROR(_xlfn.XLOOKUP(Tabla2[[#This Row],[PRODUCTO]],Tabla1[PRODUCTO],Tabla1[CODIGO]),"")</f>
        <v>SOL-1</v>
      </c>
      <c r="D492" s="31" t="s">
        <v>461</v>
      </c>
      <c r="E492" s="31" t="str">
        <f>IFERROR(VLOOKUP(Tabla2[[#This Row],[CODIGO]],Tabla1[],3,0),"")</f>
        <v>SOLDADURA</v>
      </c>
      <c r="F492" s="28" t="str">
        <f>IFERROR(VLOOKUP(Tabla2[[#This Row],[CODIGO]],Tabla1[],5,0),"")</f>
        <v>ALMACEN TICAPAMPA</v>
      </c>
      <c r="G492" s="26" t="str">
        <f>IFERROR(VLOOKUP(Tabla2[[#This Row],[CODIGO]],Tabla1[],6,0),"")</f>
        <v>UNI</v>
      </c>
      <c r="H492" s="26">
        <f>IFERROR(VLOOKUP(Tabla2[[#This Row],[CODIGO]],Tabla1[],10,0),"")</f>
        <v>125</v>
      </c>
      <c r="I492" s="7">
        <v>135</v>
      </c>
      <c r="J492" s="29" t="s">
        <v>320</v>
      </c>
      <c r="K492" s="26" t="str">
        <f>IFERROR(VLOOKUP(Tabla2[[#This Row],[CODIGO]],Tabla1[],11,0),"")</f>
        <v>COMPRA</v>
      </c>
      <c r="L492" s="67"/>
      <c r="M492" s="67"/>
      <c r="N492" s="70"/>
      <c r="O492" s="70">
        <f>Tabla2[[#This Row],[CANTIDAD]]*Tabla2[[#This Row],[PREC. UNITARIO]]</f>
        <v>0</v>
      </c>
      <c r="R492" t="str">
        <f>Tabla2[[#This Row],[QUIEN RECIBE]]&amp;"-"&amp;TEXT(Tabla2[[#This Row],[FECHA]],"dd/mm/yyyy")</f>
        <v>-29/09/2025</v>
      </c>
    </row>
    <row r="493" spans="2:18" ht="20.45" hidden="1" customHeight="1" x14ac:dyDescent="0.25">
      <c r="B493" s="5">
        <v>45929</v>
      </c>
      <c r="C493" s="2" t="str">
        <f>IFERROR(_xlfn.XLOOKUP(Tabla2[[#This Row],[PRODUCTO]],Tabla1[PRODUCTO],Tabla1[CODIGO]),"")</f>
        <v>SOL-1</v>
      </c>
      <c r="D493" s="31" t="s">
        <v>461</v>
      </c>
      <c r="E493" s="31" t="str">
        <f>IFERROR(VLOOKUP(Tabla2[[#This Row],[CODIGO]],Tabla1[],3,0),"")</f>
        <v>SOLDADURA</v>
      </c>
      <c r="F493" s="28" t="str">
        <f>IFERROR(VLOOKUP(Tabla2[[#This Row],[CODIGO]],Tabla1[],5,0),"")</f>
        <v>ALMACEN TICAPAMPA</v>
      </c>
      <c r="G493" s="26" t="str">
        <f>IFERROR(VLOOKUP(Tabla2[[#This Row],[CODIGO]],Tabla1[],6,0),"")</f>
        <v>UNI</v>
      </c>
      <c r="H493" s="26">
        <f>IFERROR(VLOOKUP(Tabla2[[#This Row],[CODIGO]],Tabla1[],10,0),"")</f>
        <v>125</v>
      </c>
      <c r="I493" s="7">
        <v>-10</v>
      </c>
      <c r="J493" s="29" t="s">
        <v>464</v>
      </c>
      <c r="K493" s="26" t="str">
        <f>IFERROR(VLOOKUP(Tabla2[[#This Row],[CODIGO]],Tabla1[],11,0),"")</f>
        <v>COMPRA</v>
      </c>
      <c r="L493" s="67" t="s">
        <v>250</v>
      </c>
      <c r="M493" s="67" t="s">
        <v>258</v>
      </c>
      <c r="N493" s="70"/>
      <c r="O493" s="70">
        <f>Tabla2[[#This Row],[CANTIDAD]]*Tabla2[[#This Row],[PREC. UNITARIO]]</f>
        <v>0</v>
      </c>
      <c r="R493" t="str">
        <f>Tabla2[[#This Row],[QUIEN RECIBE]]&amp;"-"&amp;TEXT(Tabla2[[#This Row],[FECHA]],"dd/mm/yyyy")</f>
        <v>ADUVIRE ARGUATA, MARIO ARTURO-29/09/2025</v>
      </c>
    </row>
    <row r="494" spans="2:18" ht="20.45" hidden="1" customHeight="1" x14ac:dyDescent="0.25">
      <c r="B494" s="5">
        <v>45929</v>
      </c>
      <c r="C494" s="2" t="str">
        <f>IFERROR(_xlfn.XLOOKUP(Tabla2[[#This Row],[PRODUCTO]],Tabla1[PRODUCTO],Tabla1[CODIGO]),"")</f>
        <v>OTR-10</v>
      </c>
      <c r="D494" s="31" t="s">
        <v>426</v>
      </c>
      <c r="E494" s="31" t="str">
        <f>IFERROR(VLOOKUP(Tabla2[[#This Row],[CODIGO]],Tabla1[],3,0),"")</f>
        <v>OTROS</v>
      </c>
      <c r="F494" s="28" t="str">
        <f>IFERROR(VLOOKUP(Tabla2[[#This Row],[CODIGO]],Tabla1[],5,0),"")</f>
        <v>ALMACEN TICAPAMPA</v>
      </c>
      <c r="G494" s="26" t="str">
        <f>IFERROR(VLOOKUP(Tabla2[[#This Row],[CODIGO]],Tabla1[],6,0),"")</f>
        <v>UNI</v>
      </c>
      <c r="H494" s="26">
        <f>IFERROR(VLOOKUP(Tabla2[[#This Row],[CODIGO]],Tabla1[],10,0),"")</f>
        <v>111</v>
      </c>
      <c r="I494" s="7">
        <v>-100</v>
      </c>
      <c r="J494" s="29" t="s">
        <v>350</v>
      </c>
      <c r="K494" s="26" t="str">
        <f>IFERROR(VLOOKUP(Tabla2[[#This Row],[CODIGO]],Tabla1[],11,0),"")</f>
        <v>COMPRA</v>
      </c>
      <c r="L494" s="67" t="s">
        <v>250</v>
      </c>
      <c r="M494" s="67" t="s">
        <v>451</v>
      </c>
      <c r="N494" s="70"/>
      <c r="O494" s="70">
        <f>Tabla2[[#This Row],[CANTIDAD]]*Tabla2[[#This Row],[PREC. UNITARIO]]</f>
        <v>0</v>
      </c>
      <c r="R494" t="str">
        <f>Tabla2[[#This Row],[QUIEN RECIBE]]&amp;"-"&amp;TEXT(Tabla2[[#This Row],[FECHA]],"dd/mm/yyyy")</f>
        <v>OSMAR-29/09/2025</v>
      </c>
    </row>
    <row r="495" spans="2:18" ht="20.45" hidden="1" customHeight="1" x14ac:dyDescent="0.25">
      <c r="B495" s="5">
        <v>45929</v>
      </c>
      <c r="C495" s="2" t="str">
        <f>IFERROR(_xlfn.XLOOKUP(Tabla2[[#This Row],[PRODUCTO]],Tabla1[PRODUCTO],Tabla1[CODIGO]),"")</f>
        <v>HM-18</v>
      </c>
      <c r="D495" s="31" t="s">
        <v>384</v>
      </c>
      <c r="E495" s="31" t="str">
        <f>IFERROR(VLOOKUP(Tabla2[[#This Row],[CODIGO]],Tabla1[],3,0),"")</f>
        <v>HERRAMIENTAS</v>
      </c>
      <c r="F495" s="28" t="str">
        <f>IFERROR(VLOOKUP(Tabla2[[#This Row],[CODIGO]],Tabla1[],5,0),"")</f>
        <v>ALMACEN TICAPAMPA</v>
      </c>
      <c r="G495" s="26" t="str">
        <f>IFERROR(VLOOKUP(Tabla2[[#This Row],[CODIGO]],Tabla1[],6,0),"")</f>
        <v>UNI</v>
      </c>
      <c r="H495" s="26">
        <f>IFERROR(VLOOKUP(Tabla2[[#This Row],[CODIGO]],Tabla1[],10,0),"")</f>
        <v>22</v>
      </c>
      <c r="I495" s="7">
        <v>-2</v>
      </c>
      <c r="J495" s="29" t="s">
        <v>350</v>
      </c>
      <c r="K495" s="26" t="str">
        <f>IFERROR(VLOOKUP(Tabla2[[#This Row],[CODIGO]],Tabla1[],11,0),"")</f>
        <v>COMPRA</v>
      </c>
      <c r="L495" s="67" t="s">
        <v>236</v>
      </c>
      <c r="M495" s="67" t="s">
        <v>240</v>
      </c>
      <c r="N495" s="70"/>
      <c r="O495" s="70">
        <f>Tabla2[[#This Row],[CANTIDAD]]*Tabla2[[#This Row],[PREC. UNITARIO]]</f>
        <v>0</v>
      </c>
      <c r="R495" t="str">
        <f>Tabla2[[#This Row],[QUIEN RECIBE]]&amp;"-"&amp;TEXT(Tabla2[[#This Row],[FECHA]],"dd/mm/yyyy")</f>
        <v>LOZANO MALDONADO, HERNAN-29/09/2025</v>
      </c>
    </row>
    <row r="496" spans="2:18" ht="20.45" hidden="1" customHeight="1" x14ac:dyDescent="0.25">
      <c r="B496" s="5">
        <v>45929</v>
      </c>
      <c r="C496" s="2" t="str">
        <f>IFERROR(_xlfn.XLOOKUP(Tabla2[[#This Row],[PRODUCTO]],Tabla1[PRODUCTO],Tabla1[CODIGO]),"")</f>
        <v>HM-18</v>
      </c>
      <c r="D496" s="31" t="s">
        <v>384</v>
      </c>
      <c r="E496" s="31" t="str">
        <f>IFERROR(VLOOKUP(Tabla2[[#This Row],[CODIGO]],Tabla1[],3,0),"")</f>
        <v>HERRAMIENTAS</v>
      </c>
      <c r="F496" s="28" t="str">
        <f>IFERROR(VLOOKUP(Tabla2[[#This Row],[CODIGO]],Tabla1[],5,0),"")</f>
        <v>ALMACEN TICAPAMPA</v>
      </c>
      <c r="G496" s="26" t="str">
        <f>IFERROR(VLOOKUP(Tabla2[[#This Row],[CODIGO]],Tabla1[],6,0),"")</f>
        <v>UNI</v>
      </c>
      <c r="H496" s="26">
        <f>IFERROR(VLOOKUP(Tabla2[[#This Row],[CODIGO]],Tabla1[],10,0),"")</f>
        <v>22</v>
      </c>
      <c r="I496" s="7">
        <v>-2</v>
      </c>
      <c r="J496" s="29" t="s">
        <v>350</v>
      </c>
      <c r="K496" s="26" t="str">
        <f>IFERROR(VLOOKUP(Tabla2[[#This Row],[CODIGO]],Tabla1[],11,0),"")</f>
        <v>COMPRA</v>
      </c>
      <c r="L496" s="67" t="s">
        <v>236</v>
      </c>
      <c r="M496" s="67" t="s">
        <v>240</v>
      </c>
      <c r="N496" s="70"/>
      <c r="O496" s="70">
        <f>Tabla2[[#This Row],[CANTIDAD]]*Tabla2[[#This Row],[PREC. UNITARIO]]</f>
        <v>0</v>
      </c>
      <c r="R496" t="str">
        <f>Tabla2[[#This Row],[QUIEN RECIBE]]&amp;"-"&amp;TEXT(Tabla2[[#This Row],[FECHA]],"dd/mm/yyyy")</f>
        <v>LOZANO MALDONADO, HERNAN-29/09/2025</v>
      </c>
    </row>
    <row r="497" spans="2:18" ht="20.45" hidden="1" customHeight="1" x14ac:dyDescent="0.25">
      <c r="B497" s="5">
        <v>45930</v>
      </c>
      <c r="C497" s="2" t="str">
        <f>IFERROR(_xlfn.XLOOKUP(Tabla2[[#This Row],[PRODUCTO]],Tabla1[PRODUCTO],Tabla1[CODIGO]),"")</f>
        <v>HM-18</v>
      </c>
      <c r="D497" s="31" t="s">
        <v>384</v>
      </c>
      <c r="E497" s="31" t="str">
        <f>IFERROR(VLOOKUP(Tabla2[[#This Row],[CODIGO]],Tabla1[],3,0),"")</f>
        <v>HERRAMIENTAS</v>
      </c>
      <c r="F497" s="28" t="str">
        <f>IFERROR(VLOOKUP(Tabla2[[#This Row],[CODIGO]],Tabla1[],5,0),"")</f>
        <v>ALMACEN TICAPAMPA</v>
      </c>
      <c r="G497" s="26" t="str">
        <f>IFERROR(VLOOKUP(Tabla2[[#This Row],[CODIGO]],Tabla1[],6,0),"")</f>
        <v>UNI</v>
      </c>
      <c r="H497" s="26">
        <f>IFERROR(VLOOKUP(Tabla2[[#This Row],[CODIGO]],Tabla1[],10,0),"")</f>
        <v>22</v>
      </c>
      <c r="I497" s="7">
        <v>-3</v>
      </c>
      <c r="J497" s="29" t="s">
        <v>350</v>
      </c>
      <c r="K497" s="26" t="str">
        <f>IFERROR(VLOOKUP(Tabla2[[#This Row],[CODIGO]],Tabla1[],11,0),"")</f>
        <v>COMPRA</v>
      </c>
      <c r="L497" s="67" t="s">
        <v>236</v>
      </c>
      <c r="M497" s="67" t="s">
        <v>240</v>
      </c>
      <c r="N497" s="70"/>
      <c r="O497" s="70">
        <f>Tabla2[[#This Row],[CANTIDAD]]*Tabla2[[#This Row],[PREC. UNITARIO]]</f>
        <v>0</v>
      </c>
      <c r="R497" t="str">
        <f>Tabla2[[#This Row],[QUIEN RECIBE]]&amp;"-"&amp;TEXT(Tabla2[[#This Row],[FECHA]],"dd/mm/yyyy")</f>
        <v>LOZANO MALDONADO, HERNAN-30/09/2025</v>
      </c>
    </row>
    <row r="498" spans="2:18" ht="20.45" hidden="1" customHeight="1" x14ac:dyDescent="0.25">
      <c r="B498" s="5">
        <v>45929</v>
      </c>
      <c r="C498" s="2" t="str">
        <f>IFERROR(_xlfn.XLOOKUP(Tabla2[[#This Row],[PRODUCTO]],Tabla1[PRODUCTO],Tabla1[CODIGO]),"")</f>
        <v>IS-40</v>
      </c>
      <c r="D498" s="31" t="s">
        <v>409</v>
      </c>
      <c r="E498" s="31" t="str">
        <f>IFERROR(VLOOKUP(Tabla2[[#This Row],[CODIGO]],Tabla1[],3,0),"")</f>
        <v>IMPLEMENTOS DE SEGURIDAD</v>
      </c>
      <c r="F498" s="28" t="str">
        <f>IFERROR(VLOOKUP(Tabla2[[#This Row],[CODIGO]],Tabla1[],5,0),"")</f>
        <v>ALMACEN TICAPAMPA</v>
      </c>
      <c r="G498" s="26" t="str">
        <f>IFERROR(VLOOKUP(Tabla2[[#This Row],[CODIGO]],Tabla1[],6,0),"")</f>
        <v>UNI</v>
      </c>
      <c r="H498" s="26">
        <f>IFERROR(VLOOKUP(Tabla2[[#This Row],[CODIGO]],Tabla1[],10,0),"")</f>
        <v>22</v>
      </c>
      <c r="I498" s="7">
        <v>-1</v>
      </c>
      <c r="J498" s="29" t="s">
        <v>321</v>
      </c>
      <c r="K498" s="26" t="str">
        <f>IFERROR(VLOOKUP(Tabla2[[#This Row],[CODIGO]],Tabla1[],11,0),"")</f>
        <v>COMPRA</v>
      </c>
      <c r="L498" s="67" t="s">
        <v>250</v>
      </c>
      <c r="M498" s="67" t="s">
        <v>451</v>
      </c>
      <c r="N498" s="70"/>
      <c r="O498" s="70">
        <f>Tabla2[[#This Row],[CANTIDAD]]*Tabla2[[#This Row],[PREC. UNITARIO]]</f>
        <v>0</v>
      </c>
      <c r="R498" t="str">
        <f>Tabla2[[#This Row],[QUIEN RECIBE]]&amp;"-"&amp;TEXT(Tabla2[[#This Row],[FECHA]],"dd/mm/yyyy")</f>
        <v>OSMAR-29/09/2025</v>
      </c>
    </row>
    <row r="499" spans="2:18" ht="20.45" hidden="1" customHeight="1" x14ac:dyDescent="0.25">
      <c r="B499" s="5">
        <v>45930</v>
      </c>
      <c r="C499" s="2" t="str">
        <f>IFERROR(_xlfn.XLOOKUP(Tabla2[[#This Row],[PRODUCTO]],Tabla1[PRODUCTO],Tabla1[CODIGO]),"")</f>
        <v>UE-57</v>
      </c>
      <c r="D499" s="31" t="s">
        <v>368</v>
      </c>
      <c r="E499" s="31" t="str">
        <f>IFERROR(VLOOKUP(Tabla2[[#This Row],[CODIGO]],Tabla1[],3,0),"")</f>
        <v>UTILES DE ESCRITORIO</v>
      </c>
      <c r="F499" s="28" t="str">
        <f>IFERROR(VLOOKUP(Tabla2[[#This Row],[CODIGO]],Tabla1[],5,0),"")</f>
        <v>ALMACEN TICAPAMPA</v>
      </c>
      <c r="G499" s="26" t="str">
        <f>IFERROR(VLOOKUP(Tabla2[[#This Row],[CODIGO]],Tabla1[],6,0),"")</f>
        <v>UNI</v>
      </c>
      <c r="H499" s="26">
        <f>IFERROR(VLOOKUP(Tabla2[[#This Row],[CODIGO]],Tabla1[],10,0),"")</f>
        <v>13</v>
      </c>
      <c r="I499" s="7">
        <v>-1</v>
      </c>
      <c r="J499" s="29" t="s">
        <v>420</v>
      </c>
      <c r="K499" s="26" t="str">
        <f>IFERROR(VLOOKUP(Tabla2[[#This Row],[CODIGO]],Tabla1[],11,0),"")</f>
        <v>COMPRA</v>
      </c>
      <c r="L499" s="67" t="s">
        <v>236</v>
      </c>
      <c r="M499" s="67" t="s">
        <v>253</v>
      </c>
      <c r="N499" s="70"/>
      <c r="O499" s="70">
        <f>Tabla2[[#This Row],[CANTIDAD]]*Tabla2[[#This Row],[PREC. UNITARIO]]</f>
        <v>0</v>
      </c>
      <c r="R499" t="str">
        <f>Tabla2[[#This Row],[QUIEN RECIBE]]&amp;"-"&amp;TEXT(Tabla2[[#This Row],[FECHA]],"dd/mm/yyyy")</f>
        <v>ALEJO CHARCA, DENNYS MIRIAM-30/09/2025</v>
      </c>
    </row>
    <row r="500" spans="2:18" ht="20.45" hidden="1" customHeight="1" x14ac:dyDescent="0.25">
      <c r="B500" s="5">
        <v>45930</v>
      </c>
      <c r="C500" s="2" t="str">
        <f>IFERROR(_xlfn.XLOOKUP(Tabla2[[#This Row],[PRODUCTO]],Tabla1[PRODUCTO],Tabla1[CODIGO]),"")</f>
        <v>IE-14</v>
      </c>
      <c r="D500" s="31" t="s">
        <v>468</v>
      </c>
      <c r="E500" s="31" t="str">
        <f>IFERROR(VLOOKUP(Tabla2[[#This Row],[CODIGO]],Tabla1[],3,0),"")</f>
        <v>INSTALACIONES ELECTRICAS</v>
      </c>
      <c r="F500" s="28" t="str">
        <f>IFERROR(VLOOKUP(Tabla2[[#This Row],[CODIGO]],Tabla1[],5,0),"")</f>
        <v>ALMACEN TICAPAMPA</v>
      </c>
      <c r="G500" s="26" t="str">
        <f>IFERROR(VLOOKUP(Tabla2[[#This Row],[CODIGO]],Tabla1[],6,0),"")</f>
        <v>UNI</v>
      </c>
      <c r="H500" s="26">
        <f>IFERROR(VLOOKUP(Tabla2[[#This Row],[CODIGO]],Tabla1[],10,0),"")</f>
        <v>0</v>
      </c>
      <c r="I500" s="7">
        <v>4</v>
      </c>
      <c r="J500" s="29" t="s">
        <v>320</v>
      </c>
      <c r="K500" s="26" t="str">
        <f>IFERROR(VLOOKUP(Tabla2[[#This Row],[CODIGO]],Tabla1[],11,0),"")</f>
        <v>COMPRA</v>
      </c>
      <c r="L500" s="67"/>
      <c r="M500" s="67"/>
      <c r="N500" s="70"/>
      <c r="O500" s="70">
        <f>Tabla2[[#This Row],[CANTIDAD]]*Tabla2[[#This Row],[PREC. UNITARIO]]</f>
        <v>0</v>
      </c>
      <c r="R500" t="str">
        <f>Tabla2[[#This Row],[QUIEN RECIBE]]&amp;"-"&amp;TEXT(Tabla2[[#This Row],[FECHA]],"dd/mm/yyyy")</f>
        <v>-30/09/2025</v>
      </c>
    </row>
    <row r="501" spans="2:18" ht="20.45" hidden="1" customHeight="1" x14ac:dyDescent="0.25">
      <c r="B501" s="5">
        <v>45930</v>
      </c>
      <c r="C501" s="2" t="str">
        <f>IFERROR(_xlfn.XLOOKUP(Tabla2[[#This Row],[PRODUCTO]],Tabla1[PRODUCTO],Tabla1[CODIGO]),"")</f>
        <v>HM-39</v>
      </c>
      <c r="D501" s="31" t="s">
        <v>406</v>
      </c>
      <c r="E501" s="31" t="str">
        <f>IFERROR(VLOOKUP(Tabla2[[#This Row],[CODIGO]],Tabla1[],3,0),"")</f>
        <v>HERRAMIENTAS</v>
      </c>
      <c r="F501" s="28" t="str">
        <f>IFERROR(VLOOKUP(Tabla2[[#This Row],[CODIGO]],Tabla1[],5,0),"")</f>
        <v>ALMACEN TICAPAMPA</v>
      </c>
      <c r="G501" s="26" t="str">
        <f>IFERROR(VLOOKUP(Tabla2[[#This Row],[CODIGO]],Tabla1[],6,0),"")</f>
        <v>UNI</v>
      </c>
      <c r="H501" s="26">
        <f>IFERROR(VLOOKUP(Tabla2[[#This Row],[CODIGO]],Tabla1[],10,0),"")</f>
        <v>5</v>
      </c>
      <c r="I501" s="7">
        <v>3</v>
      </c>
      <c r="J501" s="29" t="s">
        <v>320</v>
      </c>
      <c r="K501" s="26" t="str">
        <f>IFERROR(VLOOKUP(Tabla2[[#This Row],[CODIGO]],Tabla1[],11,0),"")</f>
        <v>COMPRA</v>
      </c>
      <c r="L501" s="67"/>
      <c r="M501" s="67"/>
      <c r="N501" s="70"/>
      <c r="O501" s="70">
        <f>Tabla2[[#This Row],[CANTIDAD]]*Tabla2[[#This Row],[PREC. UNITARIO]]</f>
        <v>0</v>
      </c>
      <c r="R501" t="str">
        <f>Tabla2[[#This Row],[QUIEN RECIBE]]&amp;"-"&amp;TEXT(Tabla2[[#This Row],[FECHA]],"dd/mm/yyyy")</f>
        <v>-30/09/2025</v>
      </c>
    </row>
    <row r="502" spans="2:18" ht="20.45" hidden="1" customHeight="1" x14ac:dyDescent="0.25">
      <c r="B502" s="5">
        <v>45930</v>
      </c>
      <c r="C502" s="2" t="str">
        <f>IFERROR(_xlfn.XLOOKUP(Tabla2[[#This Row],[PRODUCTO]],Tabla1[PRODUCTO],Tabla1[CODIGO]),"")</f>
        <v>HM-40</v>
      </c>
      <c r="D502" s="31" t="s">
        <v>407</v>
      </c>
      <c r="E502" s="31" t="str">
        <f>IFERROR(VLOOKUP(Tabla2[[#This Row],[CODIGO]],Tabla1[],3,0),"")</f>
        <v>HERRAMIENTAS</v>
      </c>
      <c r="F502" s="28" t="str">
        <f>IFERROR(VLOOKUP(Tabla2[[#This Row],[CODIGO]],Tabla1[],5,0),"")</f>
        <v>ALMACEN TICAPAMPA</v>
      </c>
      <c r="G502" s="26" t="str">
        <f>IFERROR(VLOOKUP(Tabla2[[#This Row],[CODIGO]],Tabla1[],6,0),"")</f>
        <v>UNI</v>
      </c>
      <c r="H502" s="26">
        <f>IFERROR(VLOOKUP(Tabla2[[#This Row],[CODIGO]],Tabla1[],10,0),"")</f>
        <v>3</v>
      </c>
      <c r="I502" s="7">
        <v>4</v>
      </c>
      <c r="J502" s="29" t="s">
        <v>320</v>
      </c>
      <c r="K502" s="26" t="str">
        <f>IFERROR(VLOOKUP(Tabla2[[#This Row],[CODIGO]],Tabla1[],11,0),"")</f>
        <v>COMPRA</v>
      </c>
      <c r="L502" s="67"/>
      <c r="M502" s="67"/>
      <c r="N502" s="70"/>
      <c r="O502" s="70">
        <f>Tabla2[[#This Row],[CANTIDAD]]*Tabla2[[#This Row],[PREC. UNITARIO]]</f>
        <v>0</v>
      </c>
      <c r="R502" t="str">
        <f>Tabla2[[#This Row],[QUIEN RECIBE]]&amp;"-"&amp;TEXT(Tabla2[[#This Row],[FECHA]],"dd/mm/yyyy")</f>
        <v>-30/09/2025</v>
      </c>
    </row>
    <row r="503" spans="2:18" ht="20.45" hidden="1" customHeight="1" x14ac:dyDescent="0.25">
      <c r="B503" s="5">
        <v>45930</v>
      </c>
      <c r="C503" s="2" t="str">
        <f>IFERROR(_xlfn.XLOOKUP(Tabla2[[#This Row],[PRODUCTO]],Tabla1[PRODUCTO],Tabla1[CODIGO]),"")</f>
        <v>HM-41</v>
      </c>
      <c r="D503" s="31" t="s">
        <v>408</v>
      </c>
      <c r="E503" s="31" t="str">
        <f>IFERROR(VLOOKUP(Tabla2[[#This Row],[CODIGO]],Tabla1[],3,0),"")</f>
        <v>HERRAMIENTAS</v>
      </c>
      <c r="F503" s="28" t="str">
        <f>IFERROR(VLOOKUP(Tabla2[[#This Row],[CODIGO]],Tabla1[],5,0),"")</f>
        <v>ALMACEN TICAPAMPA</v>
      </c>
      <c r="G503" s="26" t="str">
        <f>IFERROR(VLOOKUP(Tabla2[[#This Row],[CODIGO]],Tabla1[],6,0),"")</f>
        <v>UNI</v>
      </c>
      <c r="H503" s="26">
        <f>IFERROR(VLOOKUP(Tabla2[[#This Row],[CODIGO]],Tabla1[],10,0),"")</f>
        <v>5</v>
      </c>
      <c r="I503" s="7">
        <v>4</v>
      </c>
      <c r="J503" s="29" t="s">
        <v>320</v>
      </c>
      <c r="K503" s="26" t="str">
        <f>IFERROR(VLOOKUP(Tabla2[[#This Row],[CODIGO]],Tabla1[],11,0),"")</f>
        <v>COMPRA</v>
      </c>
      <c r="L503" s="67"/>
      <c r="M503" s="67"/>
      <c r="N503" s="70"/>
      <c r="O503" s="70">
        <f>Tabla2[[#This Row],[CANTIDAD]]*Tabla2[[#This Row],[PREC. UNITARIO]]</f>
        <v>0</v>
      </c>
      <c r="R503" t="str">
        <f>Tabla2[[#This Row],[QUIEN RECIBE]]&amp;"-"&amp;TEXT(Tabla2[[#This Row],[FECHA]],"dd/mm/yyyy")</f>
        <v>-30/09/2025</v>
      </c>
    </row>
    <row r="504" spans="2:18" ht="20.45" hidden="1" customHeight="1" x14ac:dyDescent="0.25">
      <c r="B504" s="5">
        <v>45930</v>
      </c>
      <c r="C504" s="2" t="str">
        <f>IFERROR(_xlfn.XLOOKUP(Tabla2[[#This Row],[PRODUCTO]],Tabla1[PRODUCTO],Tabla1[CODIGO]),"")</f>
        <v>IE-14</v>
      </c>
      <c r="D504" s="31" t="s">
        <v>468</v>
      </c>
      <c r="E504" s="31" t="str">
        <f>IFERROR(VLOOKUP(Tabla2[[#This Row],[CODIGO]],Tabla1[],3,0),"")</f>
        <v>INSTALACIONES ELECTRICAS</v>
      </c>
      <c r="F504" s="28" t="str">
        <f>IFERROR(VLOOKUP(Tabla2[[#This Row],[CODIGO]],Tabla1[],5,0),"")</f>
        <v>ALMACEN TICAPAMPA</v>
      </c>
      <c r="G504" s="26" t="str">
        <f>IFERROR(VLOOKUP(Tabla2[[#This Row],[CODIGO]],Tabla1[],6,0),"")</f>
        <v>UNI</v>
      </c>
      <c r="H504" s="26">
        <f>IFERROR(VLOOKUP(Tabla2[[#This Row],[CODIGO]],Tabla1[],10,0),"")</f>
        <v>0</v>
      </c>
      <c r="I504" s="7">
        <v>-4</v>
      </c>
      <c r="J504" s="29" t="s">
        <v>469</v>
      </c>
      <c r="K504" s="26" t="str">
        <f>IFERROR(VLOOKUP(Tabla2[[#This Row],[CODIGO]],Tabla1[],11,0),"")</f>
        <v>COMPRA</v>
      </c>
      <c r="L504" s="67" t="s">
        <v>236</v>
      </c>
      <c r="M504" s="67" t="s">
        <v>303</v>
      </c>
      <c r="N504" s="70"/>
      <c r="O504" s="70">
        <f>Tabla2[[#This Row],[CANTIDAD]]*Tabla2[[#This Row],[PREC. UNITARIO]]</f>
        <v>0</v>
      </c>
      <c r="R504" t="str">
        <f>Tabla2[[#This Row],[QUIEN RECIBE]]&amp;"-"&amp;TEXT(Tabla2[[#This Row],[FECHA]],"dd/mm/yyyy")</f>
        <v>APASTEGUI GRANDEZ, LUIS ALFREDO -30/09/2025</v>
      </c>
    </row>
    <row r="505" spans="2:18" ht="20.45" hidden="1" customHeight="1" x14ac:dyDescent="0.25">
      <c r="B505" s="5">
        <v>45930</v>
      </c>
      <c r="C505" s="2" t="str">
        <f>IFERROR(_xlfn.XLOOKUP(Tabla2[[#This Row],[PRODUCTO]],Tabla1[PRODUCTO],Tabla1[CODIGO]),"")</f>
        <v>HM-40</v>
      </c>
      <c r="D505" s="31" t="s">
        <v>407</v>
      </c>
      <c r="E505" s="31" t="str">
        <f>IFERROR(VLOOKUP(Tabla2[[#This Row],[CODIGO]],Tabla1[],3,0),"")</f>
        <v>HERRAMIENTAS</v>
      </c>
      <c r="F505" s="28" t="str">
        <f>IFERROR(VLOOKUP(Tabla2[[#This Row],[CODIGO]],Tabla1[],5,0),"")</f>
        <v>ALMACEN TICAPAMPA</v>
      </c>
      <c r="G505" s="26" t="str">
        <f>IFERROR(VLOOKUP(Tabla2[[#This Row],[CODIGO]],Tabla1[],6,0),"")</f>
        <v>UNI</v>
      </c>
      <c r="H505" s="26">
        <f>IFERROR(VLOOKUP(Tabla2[[#This Row],[CODIGO]],Tabla1[],10,0),"")</f>
        <v>3</v>
      </c>
      <c r="I505" s="7">
        <v>-4</v>
      </c>
      <c r="J505" s="29" t="s">
        <v>470</v>
      </c>
      <c r="K505" s="26" t="str">
        <f>IFERROR(VLOOKUP(Tabla2[[#This Row],[CODIGO]],Tabla1[],11,0),"")</f>
        <v>COMPRA</v>
      </c>
      <c r="L505" s="67"/>
      <c r="M505" s="67"/>
      <c r="N505" s="70"/>
      <c r="O505" s="70">
        <f>Tabla2[[#This Row],[CANTIDAD]]*Tabla2[[#This Row],[PREC. UNITARIO]]</f>
        <v>0</v>
      </c>
      <c r="R505" t="str">
        <f>Tabla2[[#This Row],[QUIEN RECIBE]]&amp;"-"&amp;TEXT(Tabla2[[#This Row],[FECHA]],"dd/mm/yyyy")</f>
        <v>-30/09/2025</v>
      </c>
    </row>
    <row r="506" spans="2:18" ht="20.45" hidden="1" customHeight="1" x14ac:dyDescent="0.25">
      <c r="B506" s="5">
        <v>45930</v>
      </c>
      <c r="C506" s="2" t="str">
        <f>IFERROR(_xlfn.XLOOKUP(Tabla2[[#This Row],[PRODUCTO]],Tabla1[PRODUCTO],Tabla1[CODIGO]),"")</f>
        <v>UE-57</v>
      </c>
      <c r="D506" s="31" t="s">
        <v>368</v>
      </c>
      <c r="E506" s="31" t="str">
        <f>IFERROR(VLOOKUP(Tabla2[[#This Row],[CODIGO]],Tabla1[],3,0),"")</f>
        <v>UTILES DE ESCRITORIO</v>
      </c>
      <c r="F506" s="28" t="str">
        <f>IFERROR(VLOOKUP(Tabla2[[#This Row],[CODIGO]],Tabla1[],5,0),"")</f>
        <v>ALMACEN TICAPAMPA</v>
      </c>
      <c r="G506" s="26" t="str">
        <f>IFERROR(VLOOKUP(Tabla2[[#This Row],[CODIGO]],Tabla1[],6,0),"")</f>
        <v>UNI</v>
      </c>
      <c r="H506" s="26">
        <f>IFERROR(VLOOKUP(Tabla2[[#This Row],[CODIGO]],Tabla1[],10,0),"")</f>
        <v>13</v>
      </c>
      <c r="I506" s="7">
        <v>-1</v>
      </c>
      <c r="J506" s="29" t="s">
        <v>420</v>
      </c>
      <c r="K506" s="26" t="str">
        <f>IFERROR(VLOOKUP(Tabla2[[#This Row],[CODIGO]],Tabla1[],11,0),"")</f>
        <v>COMPRA</v>
      </c>
      <c r="L506" s="67" t="s">
        <v>236</v>
      </c>
      <c r="M506" s="67" t="s">
        <v>256</v>
      </c>
      <c r="N506" s="70"/>
      <c r="O506" s="70">
        <f>Tabla2[[#This Row],[CANTIDAD]]*Tabla2[[#This Row],[PREC. UNITARIO]]</f>
        <v>0</v>
      </c>
      <c r="R506" t="str">
        <f>Tabla2[[#This Row],[QUIEN RECIBE]]&amp;"-"&amp;TEXT(Tabla2[[#This Row],[FECHA]],"dd/mm/yyyy")</f>
        <v>SILVA BORDA, ARLETTE NINOSKA-30/09/2025</v>
      </c>
    </row>
    <row r="507" spans="2:18" ht="20.45" hidden="1" customHeight="1" x14ac:dyDescent="0.25">
      <c r="B507" s="5">
        <v>45930</v>
      </c>
      <c r="C507" s="2" t="str">
        <f>IFERROR(_xlfn.XLOOKUP(Tabla2[[#This Row],[PRODUCTO]],Tabla1[PRODUCTO],Tabla1[CODIGO]),"")</f>
        <v>UE-22</v>
      </c>
      <c r="D507" s="31" t="s">
        <v>176</v>
      </c>
      <c r="E507" s="31" t="str">
        <f>IFERROR(VLOOKUP(Tabla2[[#This Row],[CODIGO]],Tabla1[],3,0),"")</f>
        <v>UTILES DE ESCRITORIO</v>
      </c>
      <c r="F507" s="28" t="str">
        <f>IFERROR(VLOOKUP(Tabla2[[#This Row],[CODIGO]],Tabla1[],5,0),"")</f>
        <v>ALMACEN TICAPAMPA</v>
      </c>
      <c r="G507" s="26" t="str">
        <f>IFERROR(VLOOKUP(Tabla2[[#This Row],[CODIGO]],Tabla1[],6,0),"")</f>
        <v>UNI</v>
      </c>
      <c r="H507" s="26">
        <f>IFERROR(VLOOKUP(Tabla2[[#This Row],[CODIGO]],Tabla1[],10,0),"")</f>
        <v>0</v>
      </c>
      <c r="I507" s="7">
        <v>-6</v>
      </c>
      <c r="J507" s="29" t="s">
        <v>420</v>
      </c>
      <c r="K507" s="26" t="str">
        <f>IFERROR(VLOOKUP(Tabla2[[#This Row],[CODIGO]],Tabla1[],11,0),"")</f>
        <v>COMPRA</v>
      </c>
      <c r="L507" s="67" t="s">
        <v>236</v>
      </c>
      <c r="M507" s="67" t="s">
        <v>256</v>
      </c>
      <c r="N507" s="70"/>
      <c r="O507" s="70">
        <f>Tabla2[[#This Row],[CANTIDAD]]*Tabla2[[#This Row],[PREC. UNITARIO]]</f>
        <v>0</v>
      </c>
      <c r="R507" t="str">
        <f>Tabla2[[#This Row],[QUIEN RECIBE]]&amp;"-"&amp;TEXT(Tabla2[[#This Row],[FECHA]],"dd/mm/yyyy")</f>
        <v>SILVA BORDA, ARLETTE NINOSKA-30/09/2025</v>
      </c>
    </row>
    <row r="508" spans="2:18" ht="20.45" hidden="1" customHeight="1" x14ac:dyDescent="0.25">
      <c r="B508" s="5">
        <v>45930</v>
      </c>
      <c r="C508" s="2" t="str">
        <f>IFERROR(_xlfn.XLOOKUP(Tabla2[[#This Row],[PRODUCTO]],Tabla1[PRODUCTO],Tabla1[CODIGO]),"")</f>
        <v>UE-33</v>
      </c>
      <c r="D508" s="31" t="s">
        <v>187</v>
      </c>
      <c r="E508" s="31" t="str">
        <f>IFERROR(VLOOKUP(Tabla2[[#This Row],[CODIGO]],Tabla1[],3,0),"")</f>
        <v>UTILES DE ESCRITORIO</v>
      </c>
      <c r="F508" s="28" t="str">
        <f>IFERROR(VLOOKUP(Tabla2[[#This Row],[CODIGO]],Tabla1[],5,0),"")</f>
        <v>ALMACEN TICAPAMPA</v>
      </c>
      <c r="G508" s="26" t="str">
        <f>IFERROR(VLOOKUP(Tabla2[[#This Row],[CODIGO]],Tabla1[],6,0),"")</f>
        <v>UNI</v>
      </c>
      <c r="H508" s="26">
        <f>IFERROR(VLOOKUP(Tabla2[[#This Row],[CODIGO]],Tabla1[],10,0),"")</f>
        <v>0</v>
      </c>
      <c r="I508" s="7">
        <v>-1</v>
      </c>
      <c r="J508" s="29" t="s">
        <v>422</v>
      </c>
      <c r="K508" s="26" t="str">
        <f>IFERROR(VLOOKUP(Tabla2[[#This Row],[CODIGO]],Tabla1[],11,0),"")</f>
        <v>COMPRA</v>
      </c>
      <c r="L508" s="67" t="s">
        <v>236</v>
      </c>
      <c r="M508" s="67" t="s">
        <v>451</v>
      </c>
      <c r="N508" s="70"/>
      <c r="O508" s="70">
        <f>Tabla2[[#This Row],[CANTIDAD]]*Tabla2[[#This Row],[PREC. UNITARIO]]</f>
        <v>0</v>
      </c>
      <c r="R508" t="str">
        <f>Tabla2[[#This Row],[QUIEN RECIBE]]&amp;"-"&amp;TEXT(Tabla2[[#This Row],[FECHA]],"dd/mm/yyyy")</f>
        <v>OSMAR-30/09/2025</v>
      </c>
    </row>
    <row r="509" spans="2:18" ht="20.45" hidden="1" customHeight="1" x14ac:dyDescent="0.25">
      <c r="B509" s="5">
        <v>45930</v>
      </c>
      <c r="C509" s="2" t="str">
        <f>IFERROR(_xlfn.XLOOKUP(Tabla2[[#This Row],[PRODUCTO]],Tabla1[PRODUCTO],Tabla1[CODIGO]),"")</f>
        <v>UE-41</v>
      </c>
      <c r="D509" s="31" t="s">
        <v>195</v>
      </c>
      <c r="E509" s="31" t="str">
        <f>IFERROR(VLOOKUP(Tabla2[[#This Row],[CODIGO]],Tabla1[],3,0),"")</f>
        <v>UTILES DE ESCRITORIO</v>
      </c>
      <c r="F509" s="28" t="str">
        <f>IFERROR(VLOOKUP(Tabla2[[#This Row],[CODIGO]],Tabla1[],5,0),"")</f>
        <v>ALMACEN TICAPAMPA</v>
      </c>
      <c r="G509" s="26" t="str">
        <f>IFERROR(VLOOKUP(Tabla2[[#This Row],[CODIGO]],Tabla1[],6,0),"")</f>
        <v>UNI</v>
      </c>
      <c r="H509" s="26">
        <f>IFERROR(VLOOKUP(Tabla2[[#This Row],[CODIGO]],Tabla1[],10,0),"")</f>
        <v>3</v>
      </c>
      <c r="I509" s="7">
        <v>-1</v>
      </c>
      <c r="J509" s="29" t="s">
        <v>429</v>
      </c>
      <c r="K509" s="26" t="str">
        <f>IFERROR(VLOOKUP(Tabla2[[#This Row],[CODIGO]],Tabla1[],11,0),"")</f>
        <v>COMPRA</v>
      </c>
      <c r="L509" s="67" t="s">
        <v>236</v>
      </c>
      <c r="M509" s="67" t="s">
        <v>304</v>
      </c>
      <c r="N509" s="70"/>
      <c r="O509" s="70">
        <f>Tabla2[[#This Row],[CANTIDAD]]*Tabla2[[#This Row],[PREC. UNITARIO]]</f>
        <v>0</v>
      </c>
      <c r="R509" t="str">
        <f>Tabla2[[#This Row],[QUIEN RECIBE]]&amp;"-"&amp;TEXT(Tabla2[[#This Row],[FECHA]],"dd/mm/yyyy")</f>
        <v>LOZA, GUILLERMO-30/09/2025</v>
      </c>
    </row>
    <row r="510" spans="2:18" ht="20.45" hidden="1" customHeight="1" x14ac:dyDescent="0.25">
      <c r="B510" s="5">
        <v>45930</v>
      </c>
      <c r="C510" s="2" t="str">
        <f>IFERROR(_xlfn.XLOOKUP(Tabla2[[#This Row],[PRODUCTO]],Tabla1[PRODUCTO],Tabla1[CODIGO]),"")</f>
        <v>UE-24</v>
      </c>
      <c r="D510" s="31" t="s">
        <v>178</v>
      </c>
      <c r="E510" s="31" t="str">
        <f>IFERROR(VLOOKUP(Tabla2[[#This Row],[CODIGO]],Tabla1[],3,0),"")</f>
        <v>UTILES DE ESCRITORIO</v>
      </c>
      <c r="F510" s="28" t="str">
        <f>IFERROR(VLOOKUP(Tabla2[[#This Row],[CODIGO]],Tabla1[],5,0),"")</f>
        <v>ALMACEN TICAPAMPA</v>
      </c>
      <c r="G510" s="26" t="str">
        <f>IFERROR(VLOOKUP(Tabla2[[#This Row],[CODIGO]],Tabla1[],6,0),"")</f>
        <v>UNI</v>
      </c>
      <c r="H510" s="26">
        <f>IFERROR(VLOOKUP(Tabla2[[#This Row],[CODIGO]],Tabla1[],10,0),"")</f>
        <v>47</v>
      </c>
      <c r="I510" s="7">
        <v>-1</v>
      </c>
      <c r="J510" s="29" t="s">
        <v>429</v>
      </c>
      <c r="K510" s="26" t="str">
        <f>IFERROR(VLOOKUP(Tabla2[[#This Row],[CODIGO]],Tabla1[],11,0),"")</f>
        <v>COMPRA</v>
      </c>
      <c r="L510" s="67" t="s">
        <v>236</v>
      </c>
      <c r="M510" s="67" t="s">
        <v>304</v>
      </c>
      <c r="N510" s="70"/>
      <c r="O510" s="70">
        <f>Tabla2[[#This Row],[CANTIDAD]]*Tabla2[[#This Row],[PREC. UNITARIO]]</f>
        <v>0</v>
      </c>
      <c r="R510" t="str">
        <f>Tabla2[[#This Row],[QUIEN RECIBE]]&amp;"-"&amp;TEXT(Tabla2[[#This Row],[FECHA]],"dd/mm/yyyy")</f>
        <v>LOZA, GUILLERMO-30/09/2025</v>
      </c>
    </row>
    <row r="511" spans="2:18" ht="20.45" hidden="1" customHeight="1" x14ac:dyDescent="0.25">
      <c r="B511" s="5">
        <v>45930</v>
      </c>
      <c r="C511" s="2" t="str">
        <f>IFERROR(_xlfn.XLOOKUP(Tabla2[[#This Row],[PRODUCTO]],Tabla1[PRODUCTO],Tabla1[CODIGO]),"")</f>
        <v>UE-62</v>
      </c>
      <c r="D511" s="31" t="s">
        <v>457</v>
      </c>
      <c r="E511" s="31" t="str">
        <f>IFERROR(VLOOKUP(Tabla2[[#This Row],[CODIGO]],Tabla1[],3,0),"")</f>
        <v>UTILES DE ESCRITORIO</v>
      </c>
      <c r="F511" s="28" t="str">
        <f>IFERROR(VLOOKUP(Tabla2[[#This Row],[CODIGO]],Tabla1[],5,0),"")</f>
        <v>ALMACEN TICAPAMPA</v>
      </c>
      <c r="G511" s="26" t="str">
        <f>IFERROR(VLOOKUP(Tabla2[[#This Row],[CODIGO]],Tabla1[],6,0),"")</f>
        <v>UNI</v>
      </c>
      <c r="H511" s="26">
        <f>IFERROR(VLOOKUP(Tabla2[[#This Row],[CODIGO]],Tabla1[],10,0),"")</f>
        <v>2</v>
      </c>
      <c r="I511" s="7">
        <v>-1</v>
      </c>
      <c r="J511" s="29" t="s">
        <v>422</v>
      </c>
      <c r="K511" s="26" t="str">
        <f>IFERROR(VLOOKUP(Tabla2[[#This Row],[CODIGO]],Tabla1[],11,0),"")</f>
        <v>COMPRA</v>
      </c>
      <c r="L511" s="67" t="s">
        <v>236</v>
      </c>
      <c r="M511" s="67" t="s">
        <v>451</v>
      </c>
      <c r="N511" s="70"/>
      <c r="O511" s="70">
        <f>Tabla2[[#This Row],[CANTIDAD]]*Tabla2[[#This Row],[PREC. UNITARIO]]</f>
        <v>0</v>
      </c>
      <c r="R511" t="str">
        <f>Tabla2[[#This Row],[QUIEN RECIBE]]&amp;"-"&amp;TEXT(Tabla2[[#This Row],[FECHA]],"dd/mm/yyyy")</f>
        <v>OSMAR-30/09/2025</v>
      </c>
    </row>
    <row r="512" spans="2:18" ht="20.45" hidden="1" customHeight="1" x14ac:dyDescent="0.25">
      <c r="B512" s="5">
        <v>45930</v>
      </c>
      <c r="C512" s="2" t="str">
        <f>IFERROR(_xlfn.XLOOKUP(Tabla2[[#This Row],[PRODUCTO]],Tabla1[PRODUCTO],Tabla1[CODIGO]),"")</f>
        <v>HM-18</v>
      </c>
      <c r="D512" s="31" t="s">
        <v>384</v>
      </c>
      <c r="E512" s="31" t="str">
        <f>IFERROR(VLOOKUP(Tabla2[[#This Row],[CODIGO]],Tabla1[],3,0),"")</f>
        <v>HERRAMIENTAS</v>
      </c>
      <c r="F512" s="28" t="str">
        <f>IFERROR(VLOOKUP(Tabla2[[#This Row],[CODIGO]],Tabla1[],5,0),"")</f>
        <v>ALMACEN TICAPAMPA</v>
      </c>
      <c r="G512" s="26" t="str">
        <f>IFERROR(VLOOKUP(Tabla2[[#This Row],[CODIGO]],Tabla1[],6,0),"")</f>
        <v>UNI</v>
      </c>
      <c r="H512" s="26">
        <f>IFERROR(VLOOKUP(Tabla2[[#This Row],[CODIGO]],Tabla1[],10,0),"")</f>
        <v>22</v>
      </c>
      <c r="I512" s="7">
        <v>-2</v>
      </c>
      <c r="J512" s="29" t="s">
        <v>350</v>
      </c>
      <c r="K512" s="26" t="str">
        <f>IFERROR(VLOOKUP(Tabla2[[#This Row],[CODIGO]],Tabla1[],11,0),"")</f>
        <v>COMPRA</v>
      </c>
      <c r="L512" s="67" t="s">
        <v>236</v>
      </c>
      <c r="M512" s="67" t="s">
        <v>239</v>
      </c>
      <c r="N512" s="70"/>
      <c r="O512" s="70">
        <f>Tabla2[[#This Row],[CANTIDAD]]*Tabla2[[#This Row],[PREC. UNITARIO]]</f>
        <v>0</v>
      </c>
      <c r="R512" t="str">
        <f>Tabla2[[#This Row],[QUIEN RECIBE]]&amp;"-"&amp;TEXT(Tabla2[[#This Row],[FECHA]],"dd/mm/yyyy")</f>
        <v>JEREMIAS PALOMINO, NORBERTO LEONCIO-30/09/2025</v>
      </c>
    </row>
    <row r="513" spans="2:18" ht="20.45" hidden="1" customHeight="1" x14ac:dyDescent="0.25">
      <c r="B513" s="5">
        <v>45931</v>
      </c>
      <c r="C513" s="2" t="str">
        <f>IFERROR(_xlfn.XLOOKUP(Tabla2[[#This Row],[PRODUCTO]],Tabla1[PRODUCTO],Tabla1[CODIGO]),"")</f>
        <v>AGU-1</v>
      </c>
      <c r="D513" s="31" t="s">
        <v>357</v>
      </c>
      <c r="E513" s="31" t="str">
        <f>IFERROR(VLOOKUP(Tabla2[[#This Row],[CODIGO]],Tabla1[],3,0),"")</f>
        <v>AGUA</v>
      </c>
      <c r="F513" s="28" t="str">
        <f>IFERROR(VLOOKUP(Tabla2[[#This Row],[CODIGO]],Tabla1[],5,0),"")</f>
        <v>ALMACEN TICAPAMPA</v>
      </c>
      <c r="G513" s="26" t="str">
        <f>IFERROR(VLOOKUP(Tabla2[[#This Row],[CODIGO]],Tabla1[],6,0),"")</f>
        <v>UNI</v>
      </c>
      <c r="H513" s="26">
        <f>IFERROR(VLOOKUP(Tabla2[[#This Row],[CODIGO]],Tabla1[],10,0),"")</f>
        <v>9</v>
      </c>
      <c r="I513" s="7">
        <v>-1</v>
      </c>
      <c r="J513" s="29" t="s">
        <v>350</v>
      </c>
      <c r="K513" s="26" t="str">
        <f>IFERROR(VLOOKUP(Tabla2[[#This Row],[CODIGO]],Tabla1[],11,0),"")</f>
        <v>COMPRA</v>
      </c>
      <c r="L513" s="67" t="s">
        <v>236</v>
      </c>
      <c r="M513" s="67" t="s">
        <v>323</v>
      </c>
      <c r="N513" s="70">
        <v>8</v>
      </c>
      <c r="O513" s="70">
        <f>Tabla2[[#This Row],[CANTIDAD]]*Tabla2[[#This Row],[PREC. UNITARIO]]</f>
        <v>-8</v>
      </c>
      <c r="R513" t="str">
        <f>Tabla2[[#This Row],[QUIEN RECIBE]]&amp;"-"&amp;TEXT(Tabla2[[#This Row],[FECHA]],"dd/mm/yyyy")</f>
        <v>TUANAMA PILCO, CRHIS-01/10/2025</v>
      </c>
    </row>
    <row r="514" spans="2:18" ht="20.45" hidden="1" customHeight="1" x14ac:dyDescent="0.25">
      <c r="B514" s="5">
        <v>45931</v>
      </c>
      <c r="C514" s="2" t="str">
        <f>IFERROR(_xlfn.XLOOKUP(Tabla2[[#This Row],[PRODUCTO]],Tabla1[PRODUCTO],Tabla1[CODIGO]),"")</f>
        <v>IS-35</v>
      </c>
      <c r="D514" s="31" t="s">
        <v>212</v>
      </c>
      <c r="E514" s="31" t="str">
        <f>IFERROR(VLOOKUP(Tabla2[[#This Row],[CODIGO]],Tabla1[],3,0),"")</f>
        <v>IMPLEMENTOS DE SEGURIDAD</v>
      </c>
      <c r="F514" s="28" t="str">
        <f>IFERROR(VLOOKUP(Tabla2[[#This Row],[CODIGO]],Tabla1[],5,0),"")</f>
        <v>ALMACEN TICAPAMPA</v>
      </c>
      <c r="G514" s="26" t="str">
        <f>IFERROR(VLOOKUP(Tabla2[[#This Row],[CODIGO]],Tabla1[],6,0),"")</f>
        <v>UNI</v>
      </c>
      <c r="H514" s="26">
        <f>IFERROR(VLOOKUP(Tabla2[[#This Row],[CODIGO]],Tabla1[],10,0),"")</f>
        <v>0</v>
      </c>
      <c r="I514" s="7">
        <v>-1</v>
      </c>
      <c r="J514" s="29" t="s">
        <v>350</v>
      </c>
      <c r="K514" s="26" t="str">
        <f>IFERROR(VLOOKUP(Tabla2[[#This Row],[CODIGO]],Tabla1[],11,0),"")</f>
        <v>COMPRA</v>
      </c>
      <c r="L514" s="67" t="s">
        <v>236</v>
      </c>
      <c r="M514" s="67" t="s">
        <v>244</v>
      </c>
      <c r="N514" s="70"/>
      <c r="O514" s="70">
        <f>Tabla2[[#This Row],[CANTIDAD]]*Tabla2[[#This Row],[PREC. UNITARIO]]</f>
        <v>0</v>
      </c>
      <c r="R514" t="str">
        <f>Tabla2[[#This Row],[QUIEN RECIBE]]&amp;"-"&amp;TEXT(Tabla2[[#This Row],[FECHA]],"dd/mm/yyyy")</f>
        <v>CORDOVA ANGULO, JUAN-01/10/2025</v>
      </c>
    </row>
    <row r="515" spans="2:18" ht="20.45" hidden="1" customHeight="1" x14ac:dyDescent="0.25">
      <c r="B515" s="5">
        <v>45931</v>
      </c>
      <c r="C515" s="2" t="str">
        <f>IFERROR(_xlfn.XLOOKUP(Tabla2[[#This Row],[PRODUCTO]],Tabla1[PRODUCTO],Tabla1[CODIGO]),"")</f>
        <v>IS-35</v>
      </c>
      <c r="D515" s="31" t="s">
        <v>212</v>
      </c>
      <c r="E515" s="31" t="str">
        <f>IFERROR(VLOOKUP(Tabla2[[#This Row],[CODIGO]],Tabla1[],3,0),"")</f>
        <v>IMPLEMENTOS DE SEGURIDAD</v>
      </c>
      <c r="F515" s="28" t="str">
        <f>IFERROR(VLOOKUP(Tabla2[[#This Row],[CODIGO]],Tabla1[],5,0),"")</f>
        <v>ALMACEN TICAPAMPA</v>
      </c>
      <c r="G515" s="26" t="str">
        <f>IFERROR(VLOOKUP(Tabla2[[#This Row],[CODIGO]],Tabla1[],6,0),"")</f>
        <v>UNI</v>
      </c>
      <c r="H515" s="26">
        <f>IFERROR(VLOOKUP(Tabla2[[#This Row],[CODIGO]],Tabla1[],10,0),"")</f>
        <v>0</v>
      </c>
      <c r="I515" s="7">
        <v>-1</v>
      </c>
      <c r="J515" s="29" t="s">
        <v>350</v>
      </c>
      <c r="K515" s="26" t="str">
        <f>IFERROR(VLOOKUP(Tabla2[[#This Row],[CODIGO]],Tabla1[],11,0),"")</f>
        <v>COMPRA</v>
      </c>
      <c r="L515" s="67" t="s">
        <v>236</v>
      </c>
      <c r="M515" s="67" t="s">
        <v>323</v>
      </c>
      <c r="N515" s="70"/>
      <c r="O515" s="70">
        <f>Tabla2[[#This Row],[CANTIDAD]]*Tabla2[[#This Row],[PREC. UNITARIO]]</f>
        <v>0</v>
      </c>
      <c r="R515" t="str">
        <f>Tabla2[[#This Row],[QUIEN RECIBE]]&amp;"-"&amp;TEXT(Tabla2[[#This Row],[FECHA]],"dd/mm/yyyy")</f>
        <v>TUANAMA PILCO, CRHIS-01/10/2025</v>
      </c>
    </row>
    <row r="516" spans="2:18" ht="20.45" hidden="1" customHeight="1" x14ac:dyDescent="0.25">
      <c r="B516" s="5">
        <v>45931</v>
      </c>
      <c r="C516" s="2" t="str">
        <f>IFERROR(_xlfn.XLOOKUP(Tabla2[[#This Row],[PRODUCTO]],Tabla1[PRODUCTO],Tabla1[CODIGO]),"")</f>
        <v>UE-58</v>
      </c>
      <c r="D516" s="31" t="s">
        <v>421</v>
      </c>
      <c r="E516" s="31" t="str">
        <f>IFERROR(VLOOKUP(Tabla2[[#This Row],[CODIGO]],Tabla1[],3,0),"")</f>
        <v>UTILES DE ESCRITORIO</v>
      </c>
      <c r="F516" s="28" t="str">
        <f>IFERROR(VLOOKUP(Tabla2[[#This Row],[CODIGO]],Tabla1[],5,0),"")</f>
        <v>ALMACEN TICAPAMPA</v>
      </c>
      <c r="G516" s="26" t="str">
        <f>IFERROR(VLOOKUP(Tabla2[[#This Row],[CODIGO]],Tabla1[],6,0),"")</f>
        <v>UNI</v>
      </c>
      <c r="H516" s="26">
        <f>IFERROR(VLOOKUP(Tabla2[[#This Row],[CODIGO]],Tabla1[],10,0),"")</f>
        <v>28</v>
      </c>
      <c r="I516" s="7">
        <v>-1</v>
      </c>
      <c r="J516" s="29" t="s">
        <v>350</v>
      </c>
      <c r="K516" s="26" t="str">
        <f>IFERROR(VLOOKUP(Tabla2[[#This Row],[CODIGO]],Tabla1[],11,0),"")</f>
        <v>COMPRA</v>
      </c>
      <c r="L516" s="67" t="s">
        <v>250</v>
      </c>
      <c r="M516" s="67" t="s">
        <v>307</v>
      </c>
      <c r="N516" s="70"/>
      <c r="O516" s="70">
        <f>Tabla2[[#This Row],[CANTIDAD]]*Tabla2[[#This Row],[PREC. UNITARIO]]</f>
        <v>0</v>
      </c>
      <c r="R516" t="str">
        <f>Tabla2[[#This Row],[QUIEN RECIBE]]&amp;"-"&amp;TEXT(Tabla2[[#This Row],[FECHA]],"dd/mm/yyyy")</f>
        <v>CACERES CALACHUA, YEYSON JORGE-01/10/2025</v>
      </c>
    </row>
    <row r="517" spans="2:18" ht="20.45" hidden="1" customHeight="1" x14ac:dyDescent="0.25">
      <c r="B517" s="5">
        <v>45931</v>
      </c>
      <c r="C517" s="2" t="str">
        <f>IFERROR(_xlfn.XLOOKUP(Tabla2[[#This Row],[PRODUCTO]],Tabla1[PRODUCTO],Tabla1[CODIGO]),"")</f>
        <v>UE-58</v>
      </c>
      <c r="D517" s="31" t="s">
        <v>421</v>
      </c>
      <c r="E517" s="31" t="str">
        <f>IFERROR(VLOOKUP(Tabla2[[#This Row],[CODIGO]],Tabla1[],3,0),"")</f>
        <v>UTILES DE ESCRITORIO</v>
      </c>
      <c r="F517" s="28" t="str">
        <f>IFERROR(VLOOKUP(Tabla2[[#This Row],[CODIGO]],Tabla1[],5,0),"")</f>
        <v>ALMACEN TICAPAMPA</v>
      </c>
      <c r="G517" s="26" t="str">
        <f>IFERROR(VLOOKUP(Tabla2[[#This Row],[CODIGO]],Tabla1[],6,0),"")</f>
        <v>UNI</v>
      </c>
      <c r="H517" s="26">
        <f>IFERROR(VLOOKUP(Tabla2[[#This Row],[CODIGO]],Tabla1[],10,0),"")</f>
        <v>28</v>
      </c>
      <c r="I517" s="7">
        <v>-1</v>
      </c>
      <c r="J517" s="29" t="s">
        <v>350</v>
      </c>
      <c r="K517" s="26" t="str">
        <f>IFERROR(VLOOKUP(Tabla2[[#This Row],[CODIGO]],Tabla1[],11,0),"")</f>
        <v>COMPRA</v>
      </c>
      <c r="L517" s="67" t="s">
        <v>236</v>
      </c>
      <c r="M517" s="67" t="s">
        <v>265</v>
      </c>
      <c r="N517" s="70"/>
      <c r="O517" s="70">
        <f>Tabla2[[#This Row],[CANTIDAD]]*Tabla2[[#This Row],[PREC. UNITARIO]]</f>
        <v>0</v>
      </c>
      <c r="R517" t="str">
        <f>Tabla2[[#This Row],[QUIEN RECIBE]]&amp;"-"&amp;TEXT(Tabla2[[#This Row],[FECHA]],"dd/mm/yyyy")</f>
        <v>ORDOÑEZ CONDORI, GILBERTO -01/10/2025</v>
      </c>
    </row>
    <row r="518" spans="2:18" ht="20.45" hidden="1" customHeight="1" x14ac:dyDescent="0.25">
      <c r="B518" s="5">
        <v>45931</v>
      </c>
      <c r="C518" s="2" t="str">
        <f>IFERROR(_xlfn.XLOOKUP(Tabla2[[#This Row],[PRODUCTO]],Tabla1[PRODUCTO],Tabla1[CODIGO]),"")</f>
        <v>UE-59</v>
      </c>
      <c r="D518" s="31" t="s">
        <v>454</v>
      </c>
      <c r="E518" s="31" t="str">
        <f>IFERROR(VLOOKUP(Tabla2[[#This Row],[CODIGO]],Tabla1[],3,0),"")</f>
        <v>UTILES DE ESCRITORIO</v>
      </c>
      <c r="F518" s="28" t="str">
        <f>IFERROR(VLOOKUP(Tabla2[[#This Row],[CODIGO]],Tabla1[],5,0),"")</f>
        <v>ALMACEN TICAPAMPA</v>
      </c>
      <c r="G518" s="26" t="str">
        <f>IFERROR(VLOOKUP(Tabla2[[#This Row],[CODIGO]],Tabla1[],6,0),"")</f>
        <v>UNI</v>
      </c>
      <c r="H518" s="26">
        <f>IFERROR(VLOOKUP(Tabla2[[#This Row],[CODIGO]],Tabla1[],10,0),"")</f>
        <v>1</v>
      </c>
      <c r="I518" s="7">
        <v>-2</v>
      </c>
      <c r="J518" s="29" t="s">
        <v>350</v>
      </c>
      <c r="K518" s="26" t="str">
        <f>IFERROR(VLOOKUP(Tabla2[[#This Row],[CODIGO]],Tabla1[],11,0),"")</f>
        <v>COMPRA</v>
      </c>
      <c r="L518" s="67" t="s">
        <v>236</v>
      </c>
      <c r="M518" s="67" t="s">
        <v>258</v>
      </c>
      <c r="N518" s="70"/>
      <c r="O518" s="70">
        <f>Tabla2[[#This Row],[CANTIDAD]]*Tabla2[[#This Row],[PREC. UNITARIO]]</f>
        <v>0</v>
      </c>
      <c r="R518" t="str">
        <f>Tabla2[[#This Row],[QUIEN RECIBE]]&amp;"-"&amp;TEXT(Tabla2[[#This Row],[FECHA]],"dd/mm/yyyy")</f>
        <v>ADUVIRE ARGUATA, MARIO ARTURO-01/10/2025</v>
      </c>
    </row>
    <row r="519" spans="2:18" ht="20.45" hidden="1" customHeight="1" x14ac:dyDescent="0.25">
      <c r="B519" s="5">
        <v>45931</v>
      </c>
      <c r="C519" s="2" t="str">
        <f>IFERROR(_xlfn.XLOOKUP(Tabla2[[#This Row],[PRODUCTO]],Tabla1[PRODUCTO],Tabla1[CODIGO]),"")</f>
        <v>UE-45</v>
      </c>
      <c r="D519" s="31" t="s">
        <v>199</v>
      </c>
      <c r="E519" s="31" t="str">
        <f>IFERROR(VLOOKUP(Tabla2[[#This Row],[CODIGO]],Tabla1[],3,0),"")</f>
        <v>UTILES DE ESCRITORIO</v>
      </c>
      <c r="F519" s="28" t="str">
        <f>IFERROR(VLOOKUP(Tabla2[[#This Row],[CODIGO]],Tabla1[],5,0),"")</f>
        <v>ALMACEN TICAPAMPA</v>
      </c>
      <c r="G519" s="26" t="str">
        <f>IFERROR(VLOOKUP(Tabla2[[#This Row],[CODIGO]],Tabla1[],6,0),"")</f>
        <v>UNI</v>
      </c>
      <c r="H519" s="26">
        <f>IFERROR(VLOOKUP(Tabla2[[#This Row],[CODIGO]],Tabla1[],10,0),"")</f>
        <v>1</v>
      </c>
      <c r="I519" s="7">
        <v>-1</v>
      </c>
      <c r="J519" s="29" t="s">
        <v>350</v>
      </c>
      <c r="K519" s="26" t="str">
        <f>IFERROR(VLOOKUP(Tabla2[[#This Row],[CODIGO]],Tabla1[],11,0),"")</f>
        <v>COMPRA</v>
      </c>
      <c r="L519" s="67" t="s">
        <v>236</v>
      </c>
      <c r="M519" s="67" t="s">
        <v>258</v>
      </c>
      <c r="N519" s="70"/>
      <c r="O519" s="70">
        <f>Tabla2[[#This Row],[CANTIDAD]]*Tabla2[[#This Row],[PREC. UNITARIO]]</f>
        <v>0</v>
      </c>
      <c r="R519" t="str">
        <f>Tabla2[[#This Row],[QUIEN RECIBE]]&amp;"-"&amp;TEXT(Tabla2[[#This Row],[FECHA]],"dd/mm/yyyy")</f>
        <v>ADUVIRE ARGUATA, MARIO ARTURO-01/10/2025</v>
      </c>
    </row>
    <row r="520" spans="2:18" ht="20.45" hidden="1" customHeight="1" x14ac:dyDescent="0.25">
      <c r="B520" s="5">
        <v>45931</v>
      </c>
      <c r="C520" s="2" t="str">
        <f>IFERROR(_xlfn.XLOOKUP(Tabla2[[#This Row],[PRODUCTO]],Tabla1[PRODUCTO],Tabla1[CODIGO]),"")</f>
        <v>UE-46</v>
      </c>
      <c r="D520" s="31" t="s">
        <v>200</v>
      </c>
      <c r="E520" s="31" t="str">
        <f>IFERROR(VLOOKUP(Tabla2[[#This Row],[CODIGO]],Tabla1[],3,0),"")</f>
        <v>UTILES DE ESCRITORIO</v>
      </c>
      <c r="F520" s="28" t="str">
        <f>IFERROR(VLOOKUP(Tabla2[[#This Row],[CODIGO]],Tabla1[],5,0),"")</f>
        <v>ALMACEN TICAPAMPA</v>
      </c>
      <c r="G520" s="26" t="str">
        <f>IFERROR(VLOOKUP(Tabla2[[#This Row],[CODIGO]],Tabla1[],6,0),"")</f>
        <v>UNI</v>
      </c>
      <c r="H520" s="26">
        <f>IFERROR(VLOOKUP(Tabla2[[#This Row],[CODIGO]],Tabla1[],10,0),"")</f>
        <v>1</v>
      </c>
      <c r="I520" s="7">
        <v>-1</v>
      </c>
      <c r="J520" s="29" t="s">
        <v>350</v>
      </c>
      <c r="K520" s="26" t="str">
        <f>IFERROR(VLOOKUP(Tabla2[[#This Row],[CODIGO]],Tabla1[],11,0),"")</f>
        <v>COMPRA</v>
      </c>
      <c r="L520" s="67" t="s">
        <v>236</v>
      </c>
      <c r="M520" s="67" t="s">
        <v>323</v>
      </c>
      <c r="N520" s="70"/>
      <c r="O520" s="70">
        <f>Tabla2[[#This Row],[CANTIDAD]]*Tabla2[[#This Row],[PREC. UNITARIO]]</f>
        <v>0</v>
      </c>
      <c r="R520" t="str">
        <f>Tabla2[[#This Row],[QUIEN RECIBE]]&amp;"-"&amp;TEXT(Tabla2[[#This Row],[FECHA]],"dd/mm/yyyy")</f>
        <v>TUANAMA PILCO, CRHIS-01/10/2025</v>
      </c>
    </row>
    <row r="521" spans="2:18" ht="20.45" hidden="1" customHeight="1" x14ac:dyDescent="0.25">
      <c r="B521" s="5">
        <v>45931</v>
      </c>
      <c r="C521" s="2" t="str">
        <f>IFERROR(_xlfn.XLOOKUP(Tabla2[[#This Row],[PRODUCTO]],Tabla1[PRODUCTO],Tabla1[CODIGO]),"")</f>
        <v>UE-58</v>
      </c>
      <c r="D521" s="31" t="s">
        <v>421</v>
      </c>
      <c r="E521" s="31" t="str">
        <f>IFERROR(VLOOKUP(Tabla2[[#This Row],[CODIGO]],Tabla1[],3,0),"")</f>
        <v>UTILES DE ESCRITORIO</v>
      </c>
      <c r="F521" s="28" t="str">
        <f>IFERROR(VLOOKUP(Tabla2[[#This Row],[CODIGO]],Tabla1[],5,0),"")</f>
        <v>ALMACEN TICAPAMPA</v>
      </c>
      <c r="G521" s="26" t="str">
        <f>IFERROR(VLOOKUP(Tabla2[[#This Row],[CODIGO]],Tabla1[],6,0),"")</f>
        <v>UNI</v>
      </c>
      <c r="H521" s="26">
        <f>IFERROR(VLOOKUP(Tabla2[[#This Row],[CODIGO]],Tabla1[],10,0),"")</f>
        <v>28</v>
      </c>
      <c r="I521" s="7">
        <v>-1</v>
      </c>
      <c r="J521" s="29" t="s">
        <v>350</v>
      </c>
      <c r="K521" s="26" t="str">
        <f>IFERROR(VLOOKUP(Tabla2[[#This Row],[CODIGO]],Tabla1[],11,0),"")</f>
        <v>COMPRA</v>
      </c>
      <c r="L521" s="67" t="s">
        <v>236</v>
      </c>
      <c r="M521" s="67" t="s">
        <v>303</v>
      </c>
      <c r="N521" s="70"/>
      <c r="O521" s="70">
        <f>Tabla2[[#This Row],[CANTIDAD]]*Tabla2[[#This Row],[PREC. UNITARIO]]</f>
        <v>0</v>
      </c>
      <c r="R521" t="str">
        <f>Tabla2[[#This Row],[QUIEN RECIBE]]&amp;"-"&amp;TEXT(Tabla2[[#This Row],[FECHA]],"dd/mm/yyyy")</f>
        <v>APASTEGUI GRANDEZ, LUIS ALFREDO -01/10/2025</v>
      </c>
    </row>
    <row r="522" spans="2:18" ht="20.45" hidden="1" customHeight="1" x14ac:dyDescent="0.25">
      <c r="B522" s="5">
        <v>45931</v>
      </c>
      <c r="C522" s="2" t="str">
        <f>IFERROR(_xlfn.XLOOKUP(Tabla2[[#This Row],[PRODUCTO]],Tabla1[PRODUCTO],Tabla1[CODIGO]),"")</f>
        <v>HM-18</v>
      </c>
      <c r="D522" s="31" t="s">
        <v>384</v>
      </c>
      <c r="E522" s="31" t="str">
        <f>IFERROR(VLOOKUP(Tabla2[[#This Row],[CODIGO]],Tabla1[],3,0),"")</f>
        <v>HERRAMIENTAS</v>
      </c>
      <c r="F522" s="28" t="str">
        <f>IFERROR(VLOOKUP(Tabla2[[#This Row],[CODIGO]],Tabla1[],5,0),"")</f>
        <v>ALMACEN TICAPAMPA</v>
      </c>
      <c r="G522" s="26" t="str">
        <f>IFERROR(VLOOKUP(Tabla2[[#This Row],[CODIGO]],Tabla1[],6,0),"")</f>
        <v>UNI</v>
      </c>
      <c r="H522" s="26">
        <f>IFERROR(VLOOKUP(Tabla2[[#This Row],[CODIGO]],Tabla1[],10,0),"")</f>
        <v>22</v>
      </c>
      <c r="I522" s="7">
        <v>-2</v>
      </c>
      <c r="J522" s="29" t="s">
        <v>350</v>
      </c>
      <c r="K522" s="26" t="str">
        <f>IFERROR(VLOOKUP(Tabla2[[#This Row],[CODIGO]],Tabla1[],11,0),"")</f>
        <v>COMPRA</v>
      </c>
      <c r="L522" s="67" t="s">
        <v>236</v>
      </c>
      <c r="M522" s="67" t="s">
        <v>239</v>
      </c>
      <c r="N522" s="70"/>
      <c r="O522" s="70">
        <f>Tabla2[[#This Row],[CANTIDAD]]*Tabla2[[#This Row],[PREC. UNITARIO]]</f>
        <v>0</v>
      </c>
      <c r="R522" t="str">
        <f>Tabla2[[#This Row],[QUIEN RECIBE]]&amp;"-"&amp;TEXT(Tabla2[[#This Row],[FECHA]],"dd/mm/yyyy")</f>
        <v>JEREMIAS PALOMINO, NORBERTO LEONCIO-01/10/2025</v>
      </c>
    </row>
    <row r="523" spans="2:18" ht="20.45" hidden="1" customHeight="1" x14ac:dyDescent="0.25">
      <c r="B523" s="5">
        <v>45931</v>
      </c>
      <c r="C523" s="2" t="str">
        <f>IFERROR(_xlfn.XLOOKUP(Tabla2[[#This Row],[PRODUCTO]],Tabla1[PRODUCTO],Tabla1[CODIGO]),"")</f>
        <v>UE-58</v>
      </c>
      <c r="D523" s="31" t="s">
        <v>421</v>
      </c>
      <c r="E523" s="31" t="str">
        <f>IFERROR(VLOOKUP(Tabla2[[#This Row],[CODIGO]],Tabla1[],3,0),"")</f>
        <v>UTILES DE ESCRITORIO</v>
      </c>
      <c r="F523" s="28" t="str">
        <f>IFERROR(VLOOKUP(Tabla2[[#This Row],[CODIGO]],Tabla1[],5,0),"")</f>
        <v>ALMACEN TICAPAMPA</v>
      </c>
      <c r="G523" s="26" t="str">
        <f>IFERROR(VLOOKUP(Tabla2[[#This Row],[CODIGO]],Tabla1[],6,0),"")</f>
        <v>UNI</v>
      </c>
      <c r="H523" s="26">
        <f>IFERROR(VLOOKUP(Tabla2[[#This Row],[CODIGO]],Tabla1[],10,0),"")</f>
        <v>28</v>
      </c>
      <c r="I523" s="7">
        <v>-1</v>
      </c>
      <c r="J523" s="29" t="s">
        <v>350</v>
      </c>
      <c r="K523" s="26" t="str">
        <f>IFERROR(VLOOKUP(Tabla2[[#This Row],[CODIGO]],Tabla1[],11,0),"")</f>
        <v>COMPRA</v>
      </c>
      <c r="L523" s="67" t="s">
        <v>236</v>
      </c>
      <c r="M523" s="67" t="s">
        <v>262</v>
      </c>
      <c r="N523" s="70"/>
      <c r="O523" s="70">
        <f>Tabla2[[#This Row],[CANTIDAD]]*Tabla2[[#This Row],[PREC. UNITARIO]]</f>
        <v>0</v>
      </c>
      <c r="R523" t="str">
        <f>Tabla2[[#This Row],[QUIEN RECIBE]]&amp;"-"&amp;TEXT(Tabla2[[#This Row],[FECHA]],"dd/mm/yyyy")</f>
        <v>CHACON ORTIZ, JOSE ANTONIO-01/10/2025</v>
      </c>
    </row>
    <row r="524" spans="2:18" ht="20.45" hidden="1" customHeight="1" x14ac:dyDescent="0.25">
      <c r="B524" s="5">
        <v>45931</v>
      </c>
      <c r="C524" s="2" t="str">
        <f>IFERROR(_xlfn.XLOOKUP(Tabla2[[#This Row],[PRODUCTO]],Tabla1[PRODUCTO],Tabla1[CODIGO]),"")</f>
        <v>UE-58</v>
      </c>
      <c r="D524" s="31" t="s">
        <v>421</v>
      </c>
      <c r="E524" s="31" t="str">
        <f>IFERROR(VLOOKUP(Tabla2[[#This Row],[CODIGO]],Tabla1[],3,0),"")</f>
        <v>UTILES DE ESCRITORIO</v>
      </c>
      <c r="F524" s="28" t="str">
        <f>IFERROR(VLOOKUP(Tabla2[[#This Row],[CODIGO]],Tabla1[],5,0),"")</f>
        <v>ALMACEN TICAPAMPA</v>
      </c>
      <c r="G524" s="26" t="str">
        <f>IFERROR(VLOOKUP(Tabla2[[#This Row],[CODIGO]],Tabla1[],6,0),"")</f>
        <v>UNI</v>
      </c>
      <c r="H524" s="26">
        <f>IFERROR(VLOOKUP(Tabla2[[#This Row],[CODIGO]],Tabla1[],10,0),"")</f>
        <v>28</v>
      </c>
      <c r="I524" s="7">
        <v>-1</v>
      </c>
      <c r="J524" s="29" t="s">
        <v>350</v>
      </c>
      <c r="K524" s="26" t="str">
        <f>IFERROR(VLOOKUP(Tabla2[[#This Row],[CODIGO]],Tabla1[],11,0),"")</f>
        <v>COMPRA</v>
      </c>
      <c r="L524" s="67" t="s">
        <v>236</v>
      </c>
      <c r="M524" s="67" t="s">
        <v>302</v>
      </c>
      <c r="N524" s="70"/>
      <c r="O524" s="70">
        <f>Tabla2[[#This Row],[CANTIDAD]]*Tabla2[[#This Row],[PREC. UNITARIO]]</f>
        <v>0</v>
      </c>
      <c r="R524" t="str">
        <f>Tabla2[[#This Row],[QUIEN RECIBE]]&amp;"-"&amp;TEXT(Tabla2[[#This Row],[FECHA]],"dd/mm/yyyy")</f>
        <v>QUISPE LIMACHE, ROGELIO -01/10/2025</v>
      </c>
    </row>
    <row r="525" spans="2:18" ht="20.45" hidden="1" customHeight="1" x14ac:dyDescent="0.25">
      <c r="B525" s="5">
        <v>45931</v>
      </c>
      <c r="C525" s="2" t="str">
        <f>IFERROR(_xlfn.XLOOKUP(Tabla2[[#This Row],[PRODUCTO]],Tabla1[PRODUCTO],Tabla1[CODIGO]),"")</f>
        <v>HM-36</v>
      </c>
      <c r="D525" s="31" t="s">
        <v>403</v>
      </c>
      <c r="E525" s="31" t="str">
        <f>IFERROR(VLOOKUP(Tabla2[[#This Row],[CODIGO]],Tabla1[],3,0),"")</f>
        <v>HERRAMIENTAS</v>
      </c>
      <c r="F525" s="28" t="str">
        <f>IFERROR(VLOOKUP(Tabla2[[#This Row],[CODIGO]],Tabla1[],5,0),"")</f>
        <v>ALMACEN TICAPAMPA</v>
      </c>
      <c r="G525" s="26" t="str">
        <f>IFERROR(VLOOKUP(Tabla2[[#This Row],[CODIGO]],Tabla1[],6,0),"")</f>
        <v>UNI</v>
      </c>
      <c r="H525" s="26">
        <f>IFERROR(VLOOKUP(Tabla2[[#This Row],[CODIGO]],Tabla1[],10,0),"")</f>
        <v>11</v>
      </c>
      <c r="I525" s="7">
        <v>-1</v>
      </c>
      <c r="J525" s="29" t="s">
        <v>350</v>
      </c>
      <c r="K525" s="26" t="str">
        <f>IFERROR(VLOOKUP(Tabla2[[#This Row],[CODIGO]],Tabla1[],11,0),"")</f>
        <v>COMPRA</v>
      </c>
      <c r="L525" s="67" t="s">
        <v>236</v>
      </c>
      <c r="M525" s="67" t="s">
        <v>323</v>
      </c>
      <c r="N525" s="70"/>
      <c r="O525" s="70">
        <f>Tabla2[[#This Row],[CANTIDAD]]*Tabla2[[#This Row],[PREC. UNITARIO]]</f>
        <v>0</v>
      </c>
      <c r="R525" t="str">
        <f>Tabla2[[#This Row],[QUIEN RECIBE]]&amp;"-"&amp;TEXT(Tabla2[[#This Row],[FECHA]],"dd/mm/yyyy")</f>
        <v>TUANAMA PILCO, CRHIS-01/10/2025</v>
      </c>
    </row>
    <row r="526" spans="2:18" ht="20.45" hidden="1" customHeight="1" x14ac:dyDescent="0.25">
      <c r="B526" s="5">
        <v>45931</v>
      </c>
      <c r="C526" s="2" t="str">
        <f>IFERROR(_xlfn.XLOOKUP(Tabla2[[#This Row],[PRODUCTO]],Tabla1[PRODUCTO],Tabla1[CODIGO]),"")</f>
        <v>IS-40</v>
      </c>
      <c r="D526" s="31" t="s">
        <v>409</v>
      </c>
      <c r="E526" s="31" t="str">
        <f>IFERROR(VLOOKUP(Tabla2[[#This Row],[CODIGO]],Tabla1[],3,0),"")</f>
        <v>IMPLEMENTOS DE SEGURIDAD</v>
      </c>
      <c r="F526" s="28" t="str">
        <f>IFERROR(VLOOKUP(Tabla2[[#This Row],[CODIGO]],Tabla1[],5,0),"")</f>
        <v>ALMACEN TICAPAMPA</v>
      </c>
      <c r="G526" s="26" t="str">
        <f>IFERROR(VLOOKUP(Tabla2[[#This Row],[CODIGO]],Tabla1[],6,0),"")</f>
        <v>UNI</v>
      </c>
      <c r="H526" s="26">
        <f>IFERROR(VLOOKUP(Tabla2[[#This Row],[CODIGO]],Tabla1[],10,0),"")</f>
        <v>22</v>
      </c>
      <c r="I526" s="7">
        <v>-1</v>
      </c>
      <c r="J526" s="29" t="s">
        <v>383</v>
      </c>
      <c r="K526" s="26" t="str">
        <f>IFERROR(VLOOKUP(Tabla2[[#This Row],[CODIGO]],Tabla1[],11,0),"")</f>
        <v>COMPRA</v>
      </c>
      <c r="L526" s="67" t="s">
        <v>236</v>
      </c>
      <c r="M526" s="67" t="s">
        <v>472</v>
      </c>
      <c r="N526" s="70"/>
      <c r="O526" s="70">
        <f>Tabla2[[#This Row],[CANTIDAD]]*Tabla2[[#This Row],[PREC. UNITARIO]]</f>
        <v>0</v>
      </c>
      <c r="R526" t="str">
        <f>Tabla2[[#This Row],[QUIEN RECIBE]]&amp;"-"&amp;TEXT(Tabla2[[#This Row],[FECHA]],"dd/mm/yyyy")</f>
        <v>ACUACHI LANCHIPA ERNESTO ALONSO-01/10/2025</v>
      </c>
    </row>
    <row r="527" spans="2:18" ht="20.45" hidden="1" customHeight="1" x14ac:dyDescent="0.25">
      <c r="B527" s="5">
        <v>45931</v>
      </c>
      <c r="C527" s="2" t="str">
        <f>IFERROR(_xlfn.XLOOKUP(Tabla2[[#This Row],[PRODUCTO]],Tabla1[PRODUCTO],Tabla1[CODIGO]),"")</f>
        <v>IS-30</v>
      </c>
      <c r="D527" s="31" t="s">
        <v>81</v>
      </c>
      <c r="E527" s="31" t="str">
        <f>IFERROR(VLOOKUP(Tabla2[[#This Row],[CODIGO]],Tabla1[],3,0),"")</f>
        <v>IMPLEMENTOS DE SEGURIDAD</v>
      </c>
      <c r="F527" s="28" t="str">
        <f>IFERROR(VLOOKUP(Tabla2[[#This Row],[CODIGO]],Tabla1[],5,0),"")</f>
        <v>ALMACEN TICAPAMPA</v>
      </c>
      <c r="G527" s="26" t="str">
        <f>IFERROR(VLOOKUP(Tabla2[[#This Row],[CODIGO]],Tabla1[],6,0),"")</f>
        <v>UNI</v>
      </c>
      <c r="H527" s="26">
        <f>IFERROR(VLOOKUP(Tabla2[[#This Row],[CODIGO]],Tabla1[],10,0),"")</f>
        <v>99</v>
      </c>
      <c r="I527" s="7">
        <v>-1</v>
      </c>
      <c r="J527" s="29" t="s">
        <v>383</v>
      </c>
      <c r="K527" s="26" t="str">
        <f>IFERROR(VLOOKUP(Tabla2[[#This Row],[CODIGO]],Tabla1[],11,0),"")</f>
        <v>COMPRA</v>
      </c>
      <c r="L527" s="67" t="s">
        <v>236</v>
      </c>
      <c r="M527" s="67" t="s">
        <v>472</v>
      </c>
      <c r="N527" s="70">
        <v>8</v>
      </c>
      <c r="O527" s="70">
        <f>Tabla2[[#This Row],[CANTIDAD]]*Tabla2[[#This Row],[PREC. UNITARIO]]</f>
        <v>-8</v>
      </c>
      <c r="R527" t="str">
        <f>Tabla2[[#This Row],[QUIEN RECIBE]]&amp;"-"&amp;TEXT(Tabla2[[#This Row],[FECHA]],"dd/mm/yyyy")</f>
        <v>ACUACHI LANCHIPA ERNESTO ALONSO-01/10/2025</v>
      </c>
    </row>
    <row r="528" spans="2:18" ht="20.45" hidden="1" customHeight="1" x14ac:dyDescent="0.25">
      <c r="B528" s="5">
        <v>45931</v>
      </c>
      <c r="C528" s="2" t="str">
        <f>IFERROR(_xlfn.XLOOKUP(Tabla2[[#This Row],[PRODUCTO]],Tabla1[PRODUCTO],Tabla1[CODIGO]),"")</f>
        <v>AGU-1</v>
      </c>
      <c r="D528" s="31" t="s">
        <v>357</v>
      </c>
      <c r="E528" s="31" t="str">
        <f>IFERROR(VLOOKUP(Tabla2[[#This Row],[CODIGO]],Tabla1[],3,0),"")</f>
        <v>AGUA</v>
      </c>
      <c r="F528" s="28" t="str">
        <f>IFERROR(VLOOKUP(Tabla2[[#This Row],[CODIGO]],Tabla1[],5,0),"")</f>
        <v>ALMACEN TICAPAMPA</v>
      </c>
      <c r="G528" s="26" t="str">
        <f>IFERROR(VLOOKUP(Tabla2[[#This Row],[CODIGO]],Tabla1[],6,0),"")</f>
        <v>UNI</v>
      </c>
      <c r="H528" s="26">
        <f>IFERROR(VLOOKUP(Tabla2[[#This Row],[CODIGO]],Tabla1[],10,0),"")</f>
        <v>9</v>
      </c>
      <c r="I528" s="7">
        <v>8</v>
      </c>
      <c r="J528" s="29" t="s">
        <v>320</v>
      </c>
      <c r="K528" s="26" t="str">
        <f>IFERROR(VLOOKUP(Tabla2[[#This Row],[CODIGO]],Tabla1[],11,0),"")</f>
        <v>COMPRA</v>
      </c>
      <c r="L528" s="67" t="s">
        <v>148</v>
      </c>
      <c r="M528" s="67" t="s">
        <v>236</v>
      </c>
      <c r="N528" s="70">
        <v>8</v>
      </c>
      <c r="O528" s="70">
        <f>Tabla2[[#This Row],[CANTIDAD]]*Tabla2[[#This Row],[PREC. UNITARIO]]</f>
        <v>64</v>
      </c>
      <c r="R528" t="str">
        <f>Tabla2[[#This Row],[QUIEN RECIBE]]&amp;"-"&amp;TEXT(Tabla2[[#This Row],[FECHA]],"dd/mm/yyyy")</f>
        <v>NAVARRO LOZANO, ANGEL JAROL-01/10/2025</v>
      </c>
    </row>
    <row r="529" spans="2:18" ht="20.45" hidden="1" customHeight="1" x14ac:dyDescent="0.25">
      <c r="B529" s="5">
        <v>45925</v>
      </c>
      <c r="C529" s="2" t="str">
        <f>IFERROR(_xlfn.XLOOKUP(Tabla2[[#This Row],[PRODUCTO]],Tabla1[PRODUCTO],Tabla1[CODIGO]),"")</f>
        <v>AGU-1</v>
      </c>
      <c r="D529" s="31" t="s">
        <v>357</v>
      </c>
      <c r="E529" s="31" t="str">
        <f>IFERROR(VLOOKUP(Tabla2[[#This Row],[CODIGO]],Tabla1[],3,0),"")</f>
        <v>AGUA</v>
      </c>
      <c r="F529" s="28" t="str">
        <f>IFERROR(VLOOKUP(Tabla2[[#This Row],[CODIGO]],Tabla1[],5,0),"")</f>
        <v>ALMACEN TICAPAMPA</v>
      </c>
      <c r="G529" s="26" t="str">
        <f>IFERROR(VLOOKUP(Tabla2[[#This Row],[CODIGO]],Tabla1[],6,0),"")</f>
        <v>UNI</v>
      </c>
      <c r="H529" s="26">
        <f>IFERROR(VLOOKUP(Tabla2[[#This Row],[CODIGO]],Tabla1[],10,0),"")</f>
        <v>9</v>
      </c>
      <c r="I529" s="7">
        <v>-1</v>
      </c>
      <c r="J529" s="29" t="s">
        <v>379</v>
      </c>
      <c r="K529" s="26" t="str">
        <f>IFERROR(VLOOKUP(Tabla2[[#This Row],[CODIGO]],Tabla1[],11,0),"")</f>
        <v>COMPRA</v>
      </c>
      <c r="L529" s="67" t="s">
        <v>236</v>
      </c>
      <c r="M529" s="67" t="s">
        <v>236</v>
      </c>
      <c r="N529" s="70">
        <v>8</v>
      </c>
      <c r="O529" s="70">
        <f>Tabla2[[#This Row],[CANTIDAD]]*Tabla2[[#This Row],[PREC. UNITARIO]]</f>
        <v>-8</v>
      </c>
      <c r="R529" t="str">
        <f>Tabla2[[#This Row],[QUIEN RECIBE]]&amp;"-"&amp;TEXT(Tabla2[[#This Row],[FECHA]],"dd/mm/yyyy")</f>
        <v>NAVARRO LOZANO, ANGEL JAROL-25/09/2025</v>
      </c>
    </row>
    <row r="530" spans="2:18" ht="20.45" hidden="1" customHeight="1" x14ac:dyDescent="0.25">
      <c r="B530" s="5">
        <v>45931</v>
      </c>
      <c r="C530" s="2" t="str">
        <f>IFERROR(_xlfn.XLOOKUP(Tabla2[[#This Row],[PRODUCTO]],Tabla1[PRODUCTO],Tabla1[CODIGO]),"")</f>
        <v>IE-12</v>
      </c>
      <c r="D530" s="31" t="s">
        <v>374</v>
      </c>
      <c r="E530" s="31" t="str">
        <f>IFERROR(VLOOKUP(Tabla2[[#This Row],[CODIGO]],Tabla1[],3,0),"")</f>
        <v>INSTALACIONES ELECTRICAS</v>
      </c>
      <c r="F530" s="28" t="str">
        <f>IFERROR(VLOOKUP(Tabla2[[#This Row],[CODIGO]],Tabla1[],5,0),"")</f>
        <v>ALMACEN TICAPAMPA</v>
      </c>
      <c r="G530" s="26" t="str">
        <f>IFERROR(VLOOKUP(Tabla2[[#This Row],[CODIGO]],Tabla1[],6,0),"")</f>
        <v>MT</v>
      </c>
      <c r="H530" s="26">
        <f>IFERROR(VLOOKUP(Tabla2[[#This Row],[CODIGO]],Tabla1[],10,0),"")</f>
        <v>56</v>
      </c>
      <c r="I530" s="7">
        <v>-20</v>
      </c>
      <c r="J530" s="29" t="s">
        <v>474</v>
      </c>
      <c r="K530" s="26" t="str">
        <f>IFERROR(VLOOKUP(Tabla2[[#This Row],[CODIGO]],Tabla1[],11,0),"")</f>
        <v>COMPRA</v>
      </c>
      <c r="L530" s="67" t="s">
        <v>236</v>
      </c>
      <c r="M530" s="67"/>
      <c r="N530" s="70"/>
      <c r="O530" s="70">
        <f>Tabla2[[#This Row],[CANTIDAD]]*Tabla2[[#This Row],[PREC. UNITARIO]]</f>
        <v>0</v>
      </c>
      <c r="R530" t="str">
        <f>Tabla2[[#This Row],[QUIEN RECIBE]]&amp;"-"&amp;TEXT(Tabla2[[#This Row],[FECHA]],"dd/mm/yyyy")</f>
        <v>-01/10/2025</v>
      </c>
    </row>
    <row r="531" spans="2:18" ht="20.45" hidden="1" customHeight="1" x14ac:dyDescent="0.25">
      <c r="B531" s="5">
        <v>45930</v>
      </c>
      <c r="C531" s="2" t="str">
        <f>IFERROR(_xlfn.XLOOKUP(Tabla2[[#This Row],[PRODUCTO]],Tabla1[PRODUCTO],Tabla1[CODIGO]),"")</f>
        <v>IE-12</v>
      </c>
      <c r="D531" s="31" t="s">
        <v>374</v>
      </c>
      <c r="E531" s="31" t="str">
        <f>IFERROR(VLOOKUP(Tabla2[[#This Row],[CODIGO]],Tabla1[],3,0),"")</f>
        <v>INSTALACIONES ELECTRICAS</v>
      </c>
      <c r="F531" s="28" t="str">
        <f>IFERROR(VLOOKUP(Tabla2[[#This Row],[CODIGO]],Tabla1[],5,0),"")</f>
        <v>ALMACEN TICAPAMPA</v>
      </c>
      <c r="G531" s="26" t="str">
        <f>IFERROR(VLOOKUP(Tabla2[[#This Row],[CODIGO]],Tabla1[],6,0),"")</f>
        <v>MT</v>
      </c>
      <c r="H531" s="26">
        <f>IFERROR(VLOOKUP(Tabla2[[#This Row],[CODIGO]],Tabla1[],10,0),"")</f>
        <v>56</v>
      </c>
      <c r="I531" s="7">
        <v>-20</v>
      </c>
      <c r="J531" s="29" t="s">
        <v>474</v>
      </c>
      <c r="K531" s="26" t="str">
        <f>IFERROR(VLOOKUP(Tabla2[[#This Row],[CODIGO]],Tabla1[],11,0),"")</f>
        <v>COMPRA</v>
      </c>
      <c r="L531" s="67" t="s">
        <v>236</v>
      </c>
      <c r="M531" s="67"/>
      <c r="N531" s="70"/>
      <c r="O531" s="70">
        <f>Tabla2[[#This Row],[CANTIDAD]]*Tabla2[[#This Row],[PREC. UNITARIO]]</f>
        <v>0</v>
      </c>
      <c r="R531" t="str">
        <f>Tabla2[[#This Row],[QUIEN RECIBE]]&amp;"-"&amp;TEXT(Tabla2[[#This Row],[FECHA]],"dd/mm/yyyy")</f>
        <v>-30/09/2025</v>
      </c>
    </row>
    <row r="532" spans="2:18" ht="20.45" hidden="1" customHeight="1" x14ac:dyDescent="0.25">
      <c r="B532" s="5">
        <v>45931</v>
      </c>
      <c r="C532" s="2" t="str">
        <f>IFERROR(_xlfn.XLOOKUP(Tabla2[[#This Row],[PRODUCTO]],Tabla1[PRODUCTO],Tabla1[CODIGO]),"")</f>
        <v>HM-40</v>
      </c>
      <c r="D532" s="31" t="s">
        <v>407</v>
      </c>
      <c r="E532" s="31" t="str">
        <f>IFERROR(VLOOKUP(Tabla2[[#This Row],[CODIGO]],Tabla1[],3,0),"")</f>
        <v>HERRAMIENTAS</v>
      </c>
      <c r="F532" s="28" t="str">
        <f>IFERROR(VLOOKUP(Tabla2[[#This Row],[CODIGO]],Tabla1[],5,0),"")</f>
        <v>ALMACEN TICAPAMPA</v>
      </c>
      <c r="G532" s="26" t="str">
        <f>IFERROR(VLOOKUP(Tabla2[[#This Row],[CODIGO]],Tabla1[],6,0),"")</f>
        <v>UNI</v>
      </c>
      <c r="H532" s="26">
        <f>IFERROR(VLOOKUP(Tabla2[[#This Row],[CODIGO]],Tabla1[],10,0),"")</f>
        <v>3</v>
      </c>
      <c r="I532" s="7">
        <v>-1</v>
      </c>
      <c r="J532" s="29" t="s">
        <v>474</v>
      </c>
      <c r="K532" s="26" t="str">
        <f>IFERROR(VLOOKUP(Tabla2[[#This Row],[CODIGO]],Tabla1[],11,0),"")</f>
        <v>COMPRA</v>
      </c>
      <c r="L532" s="67" t="s">
        <v>236</v>
      </c>
      <c r="M532" s="67"/>
      <c r="N532" s="70"/>
      <c r="O532" s="70">
        <f>Tabla2[[#This Row],[CANTIDAD]]*Tabla2[[#This Row],[PREC. UNITARIO]]</f>
        <v>0</v>
      </c>
      <c r="R532" t="str">
        <f>Tabla2[[#This Row],[QUIEN RECIBE]]&amp;"-"&amp;TEXT(Tabla2[[#This Row],[FECHA]],"dd/mm/yyyy")</f>
        <v>-01/10/2025</v>
      </c>
    </row>
    <row r="533" spans="2:18" ht="20.45" hidden="1" customHeight="1" x14ac:dyDescent="0.25">
      <c r="B533" s="5">
        <v>45932</v>
      </c>
      <c r="C533" s="2" t="str">
        <f>IFERROR(_xlfn.XLOOKUP(Tabla2[[#This Row],[PRODUCTO]],Tabla1[PRODUCTO],Tabla1[CODIGO]),"")</f>
        <v>UE-58</v>
      </c>
      <c r="D533" s="31" t="s">
        <v>421</v>
      </c>
      <c r="E533" s="31" t="str">
        <f>IFERROR(VLOOKUP(Tabla2[[#This Row],[CODIGO]],Tabla1[],3,0),"")</f>
        <v>UTILES DE ESCRITORIO</v>
      </c>
      <c r="F533" s="28" t="str">
        <f>IFERROR(VLOOKUP(Tabla2[[#This Row],[CODIGO]],Tabla1[],5,0),"")</f>
        <v>ALMACEN TICAPAMPA</v>
      </c>
      <c r="G533" s="26" t="str">
        <f>IFERROR(VLOOKUP(Tabla2[[#This Row],[CODIGO]],Tabla1[],6,0),"")</f>
        <v>UNI</v>
      </c>
      <c r="H533" s="26">
        <f>IFERROR(VLOOKUP(Tabla2[[#This Row],[CODIGO]],Tabla1[],10,0),"")</f>
        <v>28</v>
      </c>
      <c r="I533" s="7">
        <v>-2</v>
      </c>
      <c r="J533" s="29" t="s">
        <v>350</v>
      </c>
      <c r="K533" s="26" t="str">
        <f>IFERROR(VLOOKUP(Tabla2[[#This Row],[CODIGO]],Tabla1[],11,0),"")</f>
        <v>COMPRA</v>
      </c>
      <c r="L533" s="67" t="s">
        <v>236</v>
      </c>
      <c r="M533" s="67" t="s">
        <v>242</v>
      </c>
      <c r="N533" s="70"/>
      <c r="O533" s="70">
        <f>Tabla2[[#This Row],[CANTIDAD]]*Tabla2[[#This Row],[PREC. UNITARIO]]</f>
        <v>0</v>
      </c>
      <c r="R533" t="str">
        <f>Tabla2[[#This Row],[QUIEN RECIBE]]&amp;"-"&amp;TEXT(Tabla2[[#This Row],[FECHA]],"dd/mm/yyyy")</f>
        <v>MAYTAHUARI ACOSTA, SAMMER AXEL-02/10/2025</v>
      </c>
    </row>
    <row r="534" spans="2:18" ht="20.45" hidden="1" customHeight="1" x14ac:dyDescent="0.25">
      <c r="B534" s="5">
        <v>45932</v>
      </c>
      <c r="C534" s="2" t="str">
        <f>IFERROR(_xlfn.XLOOKUP(Tabla2[[#This Row],[PRODUCTO]],Tabla1[PRODUCTO],Tabla1[CODIGO]),"")</f>
        <v>UE-58</v>
      </c>
      <c r="D534" s="31" t="s">
        <v>421</v>
      </c>
      <c r="E534" s="31" t="str">
        <f>IFERROR(VLOOKUP(Tabla2[[#This Row],[CODIGO]],Tabla1[],3,0),"")</f>
        <v>UTILES DE ESCRITORIO</v>
      </c>
      <c r="F534" s="28" t="str">
        <f>IFERROR(VLOOKUP(Tabla2[[#This Row],[CODIGO]],Tabla1[],5,0),"")</f>
        <v>ALMACEN TICAPAMPA</v>
      </c>
      <c r="G534" s="26" t="str">
        <f>IFERROR(VLOOKUP(Tabla2[[#This Row],[CODIGO]],Tabla1[],6,0),"")</f>
        <v>UNI</v>
      </c>
      <c r="H534" s="26">
        <f>IFERROR(VLOOKUP(Tabla2[[#This Row],[CODIGO]],Tabla1[],10,0),"")</f>
        <v>28</v>
      </c>
      <c r="I534" s="7">
        <v>-1</v>
      </c>
      <c r="J534" s="29" t="s">
        <v>350</v>
      </c>
      <c r="K534" s="26" t="str">
        <f>IFERROR(VLOOKUP(Tabla2[[#This Row],[CODIGO]],Tabla1[],11,0),"")</f>
        <v>COMPRA</v>
      </c>
      <c r="L534" s="67" t="s">
        <v>236</v>
      </c>
      <c r="M534" s="67" t="s">
        <v>302</v>
      </c>
      <c r="N534" s="70"/>
      <c r="O534" s="70">
        <f>Tabla2[[#This Row],[CANTIDAD]]*Tabla2[[#This Row],[PREC. UNITARIO]]</f>
        <v>0</v>
      </c>
      <c r="R534" t="str">
        <f>Tabla2[[#This Row],[QUIEN RECIBE]]&amp;"-"&amp;TEXT(Tabla2[[#This Row],[FECHA]],"dd/mm/yyyy")</f>
        <v>QUISPE LIMACHE, ROGELIO -02/10/2025</v>
      </c>
    </row>
    <row r="535" spans="2:18" ht="20.45" hidden="1" customHeight="1" x14ac:dyDescent="0.25">
      <c r="B535" s="5">
        <v>45932</v>
      </c>
      <c r="C535" s="2" t="str">
        <f>IFERROR(_xlfn.XLOOKUP(Tabla2[[#This Row],[PRODUCTO]],Tabla1[PRODUCTO],Tabla1[CODIGO]),"")</f>
        <v>UE-58</v>
      </c>
      <c r="D535" s="31" t="s">
        <v>421</v>
      </c>
      <c r="E535" s="31" t="str">
        <f>IFERROR(VLOOKUP(Tabla2[[#This Row],[CODIGO]],Tabla1[],3,0),"")</f>
        <v>UTILES DE ESCRITORIO</v>
      </c>
      <c r="F535" s="28" t="str">
        <f>IFERROR(VLOOKUP(Tabla2[[#This Row],[CODIGO]],Tabla1[],5,0),"")</f>
        <v>ALMACEN TICAPAMPA</v>
      </c>
      <c r="G535" s="26" t="str">
        <f>IFERROR(VLOOKUP(Tabla2[[#This Row],[CODIGO]],Tabla1[],6,0),"")</f>
        <v>UNI</v>
      </c>
      <c r="H535" s="26">
        <f>IFERROR(VLOOKUP(Tabla2[[#This Row],[CODIGO]],Tabla1[],10,0),"")</f>
        <v>28</v>
      </c>
      <c r="I535" s="7">
        <v>-1</v>
      </c>
      <c r="J535" s="29" t="s">
        <v>350</v>
      </c>
      <c r="K535" s="26" t="str">
        <f>IFERROR(VLOOKUP(Tabla2[[#This Row],[CODIGO]],Tabla1[],11,0),"")</f>
        <v>COMPRA</v>
      </c>
      <c r="L535" s="67" t="s">
        <v>236</v>
      </c>
      <c r="M535" s="67" t="s">
        <v>265</v>
      </c>
      <c r="N535" s="70"/>
      <c r="O535" s="70">
        <f>Tabla2[[#This Row],[CANTIDAD]]*Tabla2[[#This Row],[PREC. UNITARIO]]</f>
        <v>0</v>
      </c>
      <c r="R535" t="str">
        <f>Tabla2[[#This Row],[QUIEN RECIBE]]&amp;"-"&amp;TEXT(Tabla2[[#This Row],[FECHA]],"dd/mm/yyyy")</f>
        <v>ORDOÑEZ CONDORI, GILBERTO -02/10/2025</v>
      </c>
    </row>
    <row r="536" spans="2:18" ht="20.45" hidden="1" customHeight="1" x14ac:dyDescent="0.25">
      <c r="B536" s="5">
        <v>45932</v>
      </c>
      <c r="C536" s="2" t="str">
        <f>IFERROR(_xlfn.XLOOKUP(Tabla2[[#This Row],[PRODUCTO]],Tabla1[PRODUCTO],Tabla1[CODIGO]),"")</f>
        <v>AGU-1</v>
      </c>
      <c r="D536" s="31" t="s">
        <v>357</v>
      </c>
      <c r="E536" s="31" t="str">
        <f>IFERROR(VLOOKUP(Tabla2[[#This Row],[CODIGO]],Tabla1[],3,0),"")</f>
        <v>AGUA</v>
      </c>
      <c r="F536" s="28" t="str">
        <f>IFERROR(VLOOKUP(Tabla2[[#This Row],[CODIGO]],Tabla1[],5,0),"")</f>
        <v>ALMACEN TICAPAMPA</v>
      </c>
      <c r="G536" s="26" t="str">
        <f>IFERROR(VLOOKUP(Tabla2[[#This Row],[CODIGO]],Tabla1[],6,0),"")</f>
        <v>UNI</v>
      </c>
      <c r="H536" s="26">
        <f>IFERROR(VLOOKUP(Tabla2[[#This Row],[CODIGO]],Tabla1[],10,0),"")</f>
        <v>9</v>
      </c>
      <c r="I536" s="7">
        <v>-1</v>
      </c>
      <c r="J536" s="29" t="s">
        <v>350</v>
      </c>
      <c r="K536" s="26" t="str">
        <f>IFERROR(VLOOKUP(Tabla2[[#This Row],[CODIGO]],Tabla1[],11,0),"")</f>
        <v>COMPRA</v>
      </c>
      <c r="L536" s="67" t="s">
        <v>236</v>
      </c>
      <c r="M536" s="67" t="s">
        <v>323</v>
      </c>
      <c r="N536" s="70">
        <v>8</v>
      </c>
      <c r="O536" s="70">
        <f>Tabla2[[#This Row],[CANTIDAD]]*Tabla2[[#This Row],[PREC. UNITARIO]]</f>
        <v>-8</v>
      </c>
      <c r="R536" t="str">
        <f>Tabla2[[#This Row],[QUIEN RECIBE]]&amp;"-"&amp;TEXT(Tabla2[[#This Row],[FECHA]],"dd/mm/yyyy")</f>
        <v>TUANAMA PILCO, CRHIS-02/10/2025</v>
      </c>
    </row>
    <row r="537" spans="2:18" ht="20.45" hidden="1" customHeight="1" x14ac:dyDescent="0.25">
      <c r="B537" s="5">
        <v>45932</v>
      </c>
      <c r="C537" s="2" t="str">
        <f>IFERROR(_xlfn.XLOOKUP(Tabla2[[#This Row],[PRODUCTO]],Tabla1[PRODUCTO],Tabla1[CODIGO]),"")</f>
        <v>OTR-10</v>
      </c>
      <c r="D537" s="31" t="s">
        <v>426</v>
      </c>
      <c r="E537" s="31" t="str">
        <f>IFERROR(VLOOKUP(Tabla2[[#This Row],[CODIGO]],Tabla1[],3,0),"")</f>
        <v>OTROS</v>
      </c>
      <c r="F537" s="28" t="str">
        <f>IFERROR(VLOOKUP(Tabla2[[#This Row],[CODIGO]],Tabla1[],5,0),"")</f>
        <v>ALMACEN TICAPAMPA</v>
      </c>
      <c r="G537" s="26" t="str">
        <f>IFERROR(VLOOKUP(Tabla2[[#This Row],[CODIGO]],Tabla1[],6,0),"")</f>
        <v>UNI</v>
      </c>
      <c r="H537" s="26">
        <f>IFERROR(VLOOKUP(Tabla2[[#This Row],[CODIGO]],Tabla1[],10,0),"")</f>
        <v>111</v>
      </c>
      <c r="I537" s="7">
        <v>-10</v>
      </c>
      <c r="J537" s="29" t="s">
        <v>350</v>
      </c>
      <c r="K537" s="26" t="str">
        <f>IFERROR(VLOOKUP(Tabla2[[#This Row],[CODIGO]],Tabla1[],11,0),"")</f>
        <v>COMPRA</v>
      </c>
      <c r="L537" s="67" t="s">
        <v>236</v>
      </c>
      <c r="M537" s="67" t="s">
        <v>323</v>
      </c>
      <c r="N537" s="70"/>
      <c r="O537" s="70">
        <f>Tabla2[[#This Row],[CANTIDAD]]*Tabla2[[#This Row],[PREC. UNITARIO]]</f>
        <v>0</v>
      </c>
      <c r="R537" t="str">
        <f>Tabla2[[#This Row],[QUIEN RECIBE]]&amp;"-"&amp;TEXT(Tabla2[[#This Row],[FECHA]],"dd/mm/yyyy")</f>
        <v>TUANAMA PILCO, CRHIS-02/10/2025</v>
      </c>
    </row>
    <row r="538" spans="2:18" ht="20.45" hidden="1" customHeight="1" x14ac:dyDescent="0.25">
      <c r="B538" s="5">
        <v>45932</v>
      </c>
      <c r="C538" s="2" t="str">
        <f>IFERROR(_xlfn.XLOOKUP(Tabla2[[#This Row],[PRODUCTO]],Tabla1[PRODUCTO],Tabla1[CODIGO]),"")</f>
        <v>IS-30</v>
      </c>
      <c r="D538" s="31" t="s">
        <v>81</v>
      </c>
      <c r="E538" s="31" t="str">
        <f>IFERROR(VLOOKUP(Tabla2[[#This Row],[CODIGO]],Tabla1[],3,0),"")</f>
        <v>IMPLEMENTOS DE SEGURIDAD</v>
      </c>
      <c r="F538" s="28" t="str">
        <f>IFERROR(VLOOKUP(Tabla2[[#This Row],[CODIGO]],Tabla1[],5,0),"")</f>
        <v>ALMACEN TICAPAMPA</v>
      </c>
      <c r="G538" s="26" t="str">
        <f>IFERROR(VLOOKUP(Tabla2[[#This Row],[CODIGO]],Tabla1[],6,0),"")</f>
        <v>UNI</v>
      </c>
      <c r="H538" s="26">
        <f>IFERROR(VLOOKUP(Tabla2[[#This Row],[CODIGO]],Tabla1[],10,0),"")</f>
        <v>99</v>
      </c>
      <c r="I538" s="7">
        <v>-1</v>
      </c>
      <c r="J538" s="29" t="s">
        <v>350</v>
      </c>
      <c r="K538" s="26" t="str">
        <f>IFERROR(VLOOKUP(Tabla2[[#This Row],[CODIGO]],Tabla1[],11,0),"")</f>
        <v>COMPRA</v>
      </c>
      <c r="L538" s="67" t="s">
        <v>236</v>
      </c>
      <c r="M538" s="67" t="s">
        <v>265</v>
      </c>
      <c r="N538" s="70">
        <v>8</v>
      </c>
      <c r="O538" s="70">
        <f>Tabla2[[#This Row],[CANTIDAD]]*Tabla2[[#This Row],[PREC. UNITARIO]]</f>
        <v>-8</v>
      </c>
      <c r="R538" t="str">
        <f>Tabla2[[#This Row],[QUIEN RECIBE]]&amp;"-"&amp;TEXT(Tabla2[[#This Row],[FECHA]],"dd/mm/yyyy")</f>
        <v>ORDOÑEZ CONDORI, GILBERTO -02/10/2025</v>
      </c>
    </row>
    <row r="539" spans="2:18" ht="20.45" hidden="1" customHeight="1" x14ac:dyDescent="0.25">
      <c r="B539" s="5">
        <v>45932</v>
      </c>
      <c r="C539" s="2" t="str">
        <f>IFERROR(_xlfn.XLOOKUP(Tabla2[[#This Row],[PRODUCTO]],Tabla1[PRODUCTO],Tabla1[CODIGO]),"")</f>
        <v>IS-30</v>
      </c>
      <c r="D539" s="31" t="s">
        <v>81</v>
      </c>
      <c r="E539" s="31" t="str">
        <f>IFERROR(VLOOKUP(Tabla2[[#This Row],[CODIGO]],Tabla1[],3,0),"")</f>
        <v>IMPLEMENTOS DE SEGURIDAD</v>
      </c>
      <c r="F539" s="28" t="str">
        <f>IFERROR(VLOOKUP(Tabla2[[#This Row],[CODIGO]],Tabla1[],5,0),"")</f>
        <v>ALMACEN TICAPAMPA</v>
      </c>
      <c r="G539" s="26" t="str">
        <f>IFERROR(VLOOKUP(Tabla2[[#This Row],[CODIGO]],Tabla1[],6,0),"")</f>
        <v>UNI</v>
      </c>
      <c r="H539" s="26">
        <f>IFERROR(VLOOKUP(Tabla2[[#This Row],[CODIGO]],Tabla1[],10,0),"")</f>
        <v>99</v>
      </c>
      <c r="I539" s="7">
        <v>-1</v>
      </c>
      <c r="J539" s="29" t="s">
        <v>350</v>
      </c>
      <c r="K539" s="26" t="str">
        <f>IFERROR(VLOOKUP(Tabla2[[#This Row],[CODIGO]],Tabla1[],11,0),"")</f>
        <v>COMPRA</v>
      </c>
      <c r="L539" s="67" t="s">
        <v>236</v>
      </c>
      <c r="M539" s="67" t="s">
        <v>302</v>
      </c>
      <c r="N539" s="70">
        <v>8</v>
      </c>
      <c r="O539" s="70">
        <f>Tabla2[[#This Row],[CANTIDAD]]*Tabla2[[#This Row],[PREC. UNITARIO]]</f>
        <v>-8</v>
      </c>
      <c r="R539" t="str">
        <f>Tabla2[[#This Row],[QUIEN RECIBE]]&amp;"-"&amp;TEXT(Tabla2[[#This Row],[FECHA]],"dd/mm/yyyy")</f>
        <v>QUISPE LIMACHE, ROGELIO -02/10/2025</v>
      </c>
    </row>
    <row r="540" spans="2:18" ht="20.45" hidden="1" customHeight="1" x14ac:dyDescent="0.25">
      <c r="B540" s="5">
        <v>45932</v>
      </c>
      <c r="C540" s="2" t="str">
        <f>IFERROR(_xlfn.XLOOKUP(Tabla2[[#This Row],[PRODUCTO]],Tabla1[PRODUCTO],Tabla1[CODIGO]),"")</f>
        <v>IS-40</v>
      </c>
      <c r="D540" s="31" t="s">
        <v>409</v>
      </c>
      <c r="E540" s="31" t="str">
        <f>IFERROR(VLOOKUP(Tabla2[[#This Row],[CODIGO]],Tabla1[],3,0),"")</f>
        <v>IMPLEMENTOS DE SEGURIDAD</v>
      </c>
      <c r="F540" s="28" t="str">
        <f>IFERROR(VLOOKUP(Tabla2[[#This Row],[CODIGO]],Tabla1[],5,0),"")</f>
        <v>ALMACEN TICAPAMPA</v>
      </c>
      <c r="G540" s="26" t="str">
        <f>IFERROR(VLOOKUP(Tabla2[[#This Row],[CODIGO]],Tabla1[],6,0),"")</f>
        <v>UNI</v>
      </c>
      <c r="H540" s="26">
        <f>IFERROR(VLOOKUP(Tabla2[[#This Row],[CODIGO]],Tabla1[],10,0),"")</f>
        <v>22</v>
      </c>
      <c r="I540" s="7">
        <v>-1</v>
      </c>
      <c r="J540" s="29" t="s">
        <v>350</v>
      </c>
      <c r="K540" s="26" t="str">
        <f>IFERROR(VLOOKUP(Tabla2[[#This Row],[CODIGO]],Tabla1[],11,0),"")</f>
        <v>COMPRA</v>
      </c>
      <c r="L540" s="67" t="s">
        <v>236</v>
      </c>
      <c r="M540" s="67" t="s">
        <v>303</v>
      </c>
      <c r="N540" s="70"/>
      <c r="O540" s="70">
        <f>Tabla2[[#This Row],[CANTIDAD]]*Tabla2[[#This Row],[PREC. UNITARIO]]</f>
        <v>0</v>
      </c>
      <c r="R540" t="str">
        <f>Tabla2[[#This Row],[QUIEN RECIBE]]&amp;"-"&amp;TEXT(Tabla2[[#This Row],[FECHA]],"dd/mm/yyyy")</f>
        <v>APASTEGUI GRANDEZ, LUIS ALFREDO -02/10/2025</v>
      </c>
    </row>
    <row r="541" spans="2:18" ht="20.45" hidden="1" customHeight="1" x14ac:dyDescent="0.25">
      <c r="B541" s="5">
        <v>45927</v>
      </c>
      <c r="C541" s="2" t="str">
        <f>IFERROR(_xlfn.XLOOKUP(Tabla2[[#This Row],[PRODUCTO]],Tabla1[PRODUCTO],Tabla1[CODIGO]),"")</f>
        <v>AGU-1</v>
      </c>
      <c r="D541" s="31" t="s">
        <v>357</v>
      </c>
      <c r="E541" s="31" t="str">
        <f>IFERROR(VLOOKUP(Tabla2[[#This Row],[CODIGO]],Tabla1[],3,0),"")</f>
        <v>AGUA</v>
      </c>
      <c r="F541" s="28" t="str">
        <f>IFERROR(VLOOKUP(Tabla2[[#This Row],[CODIGO]],Tabla1[],5,0),"")</f>
        <v>ALMACEN TICAPAMPA</v>
      </c>
      <c r="G541" s="26" t="str">
        <f>IFERROR(VLOOKUP(Tabla2[[#This Row],[CODIGO]],Tabla1[],6,0),"")</f>
        <v>UNI</v>
      </c>
      <c r="H541" s="26">
        <f>IFERROR(VLOOKUP(Tabla2[[#This Row],[CODIGO]],Tabla1[],10,0),"")</f>
        <v>9</v>
      </c>
      <c r="I541" s="7">
        <v>-1</v>
      </c>
      <c r="J541" s="29" t="s">
        <v>350</v>
      </c>
      <c r="K541" s="26" t="str">
        <f>IFERROR(VLOOKUP(Tabla2[[#This Row],[CODIGO]],Tabla1[],11,0),"")</f>
        <v>COMPRA</v>
      </c>
      <c r="L541" s="67" t="s">
        <v>236</v>
      </c>
      <c r="M541" s="67" t="s">
        <v>323</v>
      </c>
      <c r="N541" s="70">
        <v>8</v>
      </c>
      <c r="O541" s="70">
        <f>Tabla2[[#This Row],[CANTIDAD]]*Tabla2[[#This Row],[PREC. UNITARIO]]</f>
        <v>-8</v>
      </c>
      <c r="R541" t="str">
        <f>Tabla2[[#This Row],[QUIEN RECIBE]]&amp;"-"&amp;TEXT(Tabla2[[#This Row],[FECHA]],"dd/mm/yyyy")</f>
        <v>TUANAMA PILCO, CRHIS-27/09/2025</v>
      </c>
    </row>
    <row r="542" spans="2:18" ht="20.45" hidden="1" customHeight="1" x14ac:dyDescent="0.25">
      <c r="B542" s="5">
        <v>45923</v>
      </c>
      <c r="C542" s="2" t="str">
        <f>IFERROR(_xlfn.XLOOKUP(Tabla2[[#This Row],[PRODUCTO]],Tabla1[PRODUCTO],Tabla1[CODIGO]),"")</f>
        <v>IS-30</v>
      </c>
      <c r="D542" s="31" t="s">
        <v>81</v>
      </c>
      <c r="E542" s="31" t="str">
        <f>IFERROR(VLOOKUP(Tabla2[[#This Row],[CODIGO]],Tabla1[],3,0),"")</f>
        <v>IMPLEMENTOS DE SEGURIDAD</v>
      </c>
      <c r="F542" s="28" t="str">
        <f>IFERROR(VLOOKUP(Tabla2[[#This Row],[CODIGO]],Tabla1[],5,0),"")</f>
        <v>ALMACEN TICAPAMPA</v>
      </c>
      <c r="G542" s="26" t="str">
        <f>IFERROR(VLOOKUP(Tabla2[[#This Row],[CODIGO]],Tabla1[],6,0),"")</f>
        <v>UNI</v>
      </c>
      <c r="H542" s="26">
        <f>IFERROR(VLOOKUP(Tabla2[[#This Row],[CODIGO]],Tabla1[],10,0),"")</f>
        <v>99</v>
      </c>
      <c r="I542" s="7">
        <v>-1</v>
      </c>
      <c r="J542" s="29" t="s">
        <v>350</v>
      </c>
      <c r="K542" s="26" t="str">
        <f>IFERROR(VLOOKUP(Tabla2[[#This Row],[CODIGO]],Tabla1[],11,0),"")</f>
        <v>COMPRA</v>
      </c>
      <c r="L542" s="67" t="s">
        <v>236</v>
      </c>
      <c r="M542" s="67"/>
      <c r="N542" s="70">
        <v>8</v>
      </c>
      <c r="O542" s="70">
        <f>Tabla2[[#This Row],[CANTIDAD]]*Tabla2[[#This Row],[PREC. UNITARIO]]</f>
        <v>-8</v>
      </c>
      <c r="R542" t="str">
        <f>Tabla2[[#This Row],[QUIEN RECIBE]]&amp;"-"&amp;TEXT(Tabla2[[#This Row],[FECHA]],"dd/mm/yyyy")</f>
        <v>-23/09/2025</v>
      </c>
    </row>
    <row r="543" spans="2:18" ht="20.45" hidden="1" customHeight="1" x14ac:dyDescent="0.25">
      <c r="B543" s="5">
        <v>45923</v>
      </c>
      <c r="C543" s="2" t="str">
        <f>IFERROR(_xlfn.XLOOKUP(Tabla2[[#This Row],[PRODUCTO]],Tabla1[PRODUCTO],Tabla1[CODIGO]),"")</f>
        <v>IS-30</v>
      </c>
      <c r="D543" s="31" t="s">
        <v>81</v>
      </c>
      <c r="E543" s="31" t="str">
        <f>IFERROR(VLOOKUP(Tabla2[[#This Row],[CODIGO]],Tabla1[],3,0),"")</f>
        <v>IMPLEMENTOS DE SEGURIDAD</v>
      </c>
      <c r="F543" s="28" t="str">
        <f>IFERROR(VLOOKUP(Tabla2[[#This Row],[CODIGO]],Tabla1[],5,0),"")</f>
        <v>ALMACEN TICAPAMPA</v>
      </c>
      <c r="G543" s="26" t="str">
        <f>IFERROR(VLOOKUP(Tabla2[[#This Row],[CODIGO]],Tabla1[],6,0),"")</f>
        <v>UNI</v>
      </c>
      <c r="H543" s="26">
        <f>IFERROR(VLOOKUP(Tabla2[[#This Row],[CODIGO]],Tabla1[],10,0),"")</f>
        <v>99</v>
      </c>
      <c r="I543" s="7">
        <v>-1</v>
      </c>
      <c r="J543" s="29" t="s">
        <v>350</v>
      </c>
      <c r="K543" s="26" t="str">
        <f>IFERROR(VLOOKUP(Tabla2[[#This Row],[CODIGO]],Tabla1[],11,0),"")</f>
        <v>COMPRA</v>
      </c>
      <c r="L543" s="67" t="s">
        <v>236</v>
      </c>
      <c r="M543" s="67"/>
      <c r="N543" s="70">
        <v>8</v>
      </c>
      <c r="O543" s="70">
        <f>Tabla2[[#This Row],[CANTIDAD]]*Tabla2[[#This Row],[PREC. UNITARIO]]</f>
        <v>-8</v>
      </c>
      <c r="R543" t="str">
        <f>Tabla2[[#This Row],[QUIEN RECIBE]]&amp;"-"&amp;TEXT(Tabla2[[#This Row],[FECHA]],"dd/mm/yyyy")</f>
        <v>-23/09/2025</v>
      </c>
    </row>
    <row r="544" spans="2:18" ht="20.45" hidden="1" customHeight="1" x14ac:dyDescent="0.25">
      <c r="B544" s="5">
        <v>45924</v>
      </c>
      <c r="C544" s="2" t="str">
        <f>IFERROR(_xlfn.XLOOKUP(Tabla2[[#This Row],[PRODUCTO]],Tabla1[PRODUCTO],Tabla1[CODIGO]),"")</f>
        <v>IS-30</v>
      </c>
      <c r="D544" s="31" t="s">
        <v>81</v>
      </c>
      <c r="E544" s="31" t="str">
        <f>IFERROR(VLOOKUP(Tabla2[[#This Row],[CODIGO]],Tabla1[],3,0),"")</f>
        <v>IMPLEMENTOS DE SEGURIDAD</v>
      </c>
      <c r="F544" s="28" t="str">
        <f>IFERROR(VLOOKUP(Tabla2[[#This Row],[CODIGO]],Tabla1[],5,0),"")</f>
        <v>ALMACEN TICAPAMPA</v>
      </c>
      <c r="G544" s="26" t="str">
        <f>IFERROR(VLOOKUP(Tabla2[[#This Row],[CODIGO]],Tabla1[],6,0),"")</f>
        <v>UNI</v>
      </c>
      <c r="H544" s="26">
        <f>IFERROR(VLOOKUP(Tabla2[[#This Row],[CODIGO]],Tabla1[],10,0),"")</f>
        <v>99</v>
      </c>
      <c r="I544" s="7">
        <v>-1</v>
      </c>
      <c r="J544" s="29" t="s">
        <v>350</v>
      </c>
      <c r="K544" s="26" t="str">
        <f>IFERROR(VLOOKUP(Tabla2[[#This Row],[CODIGO]],Tabla1[],11,0),"")</f>
        <v>COMPRA</v>
      </c>
      <c r="L544" s="67" t="s">
        <v>236</v>
      </c>
      <c r="M544" s="67"/>
      <c r="N544" s="70">
        <v>8</v>
      </c>
      <c r="O544" s="70">
        <f>Tabla2[[#This Row],[CANTIDAD]]*Tabla2[[#This Row],[PREC. UNITARIO]]</f>
        <v>-8</v>
      </c>
      <c r="R544" t="str">
        <f>Tabla2[[#This Row],[QUIEN RECIBE]]&amp;"-"&amp;TEXT(Tabla2[[#This Row],[FECHA]],"dd/mm/yyyy")</f>
        <v>-24/09/2025</v>
      </c>
    </row>
    <row r="545" spans="2:18" ht="20.45" hidden="1" customHeight="1" x14ac:dyDescent="0.25">
      <c r="B545" s="5">
        <v>45930</v>
      </c>
      <c r="C545" s="2" t="str">
        <f>IFERROR(_xlfn.XLOOKUP(Tabla2[[#This Row],[PRODUCTO]],Tabla1[PRODUCTO],Tabla1[CODIGO]),"")</f>
        <v>IS-40</v>
      </c>
      <c r="D545" s="31" t="s">
        <v>409</v>
      </c>
      <c r="E545" s="31" t="str">
        <f>IFERROR(VLOOKUP(Tabla2[[#This Row],[CODIGO]],Tabla1[],3,0),"")</f>
        <v>IMPLEMENTOS DE SEGURIDAD</v>
      </c>
      <c r="F545" s="28" t="str">
        <f>IFERROR(VLOOKUP(Tabla2[[#This Row],[CODIGO]],Tabla1[],5,0),"")</f>
        <v>ALMACEN TICAPAMPA</v>
      </c>
      <c r="G545" s="26" t="str">
        <f>IFERROR(VLOOKUP(Tabla2[[#This Row],[CODIGO]],Tabla1[],6,0),"")</f>
        <v>UNI</v>
      </c>
      <c r="H545" s="26">
        <f>IFERROR(VLOOKUP(Tabla2[[#This Row],[CODIGO]],Tabla1[],10,0),"")</f>
        <v>22</v>
      </c>
      <c r="I545" s="7">
        <v>-1</v>
      </c>
      <c r="J545" s="29" t="s">
        <v>350</v>
      </c>
      <c r="K545" s="26" t="str">
        <f>IFERROR(VLOOKUP(Tabla2[[#This Row],[CODIGO]],Tabla1[],11,0),"")</f>
        <v>COMPRA</v>
      </c>
      <c r="L545" s="67" t="s">
        <v>236</v>
      </c>
      <c r="M545" s="67"/>
      <c r="N545" s="70"/>
      <c r="O545" s="70">
        <f>Tabla2[[#This Row],[CANTIDAD]]*Tabla2[[#This Row],[PREC. UNITARIO]]</f>
        <v>0</v>
      </c>
      <c r="R545" t="str">
        <f>Tabla2[[#This Row],[QUIEN RECIBE]]&amp;"-"&amp;TEXT(Tabla2[[#This Row],[FECHA]],"dd/mm/yyyy")</f>
        <v>-30/09/2025</v>
      </c>
    </row>
    <row r="546" spans="2:18" ht="20.45" hidden="1" customHeight="1" x14ac:dyDescent="0.25">
      <c r="B546" s="5">
        <v>45924</v>
      </c>
      <c r="C546" s="2" t="str">
        <f>IFERROR(_xlfn.XLOOKUP(Tabla2[[#This Row],[PRODUCTO]],Tabla1[PRODUCTO],Tabla1[CODIGO]),"")</f>
        <v>IS-30</v>
      </c>
      <c r="D546" s="31" t="s">
        <v>81</v>
      </c>
      <c r="E546" s="31" t="str">
        <f>IFERROR(VLOOKUP(Tabla2[[#This Row],[CODIGO]],Tabla1[],3,0),"")</f>
        <v>IMPLEMENTOS DE SEGURIDAD</v>
      </c>
      <c r="F546" s="28" t="str">
        <f>IFERROR(VLOOKUP(Tabla2[[#This Row],[CODIGO]],Tabla1[],5,0),"")</f>
        <v>ALMACEN TICAPAMPA</v>
      </c>
      <c r="G546" s="26" t="str">
        <f>IFERROR(VLOOKUP(Tabla2[[#This Row],[CODIGO]],Tabla1[],6,0),"")</f>
        <v>UNI</v>
      </c>
      <c r="H546" s="26">
        <f>IFERROR(VLOOKUP(Tabla2[[#This Row],[CODIGO]],Tabla1[],10,0),"")</f>
        <v>99</v>
      </c>
      <c r="I546" s="7">
        <v>-1</v>
      </c>
      <c r="J546" s="29" t="s">
        <v>350</v>
      </c>
      <c r="K546" s="26" t="str">
        <f>IFERROR(VLOOKUP(Tabla2[[#This Row],[CODIGO]],Tabla1[],11,0),"")</f>
        <v>COMPRA</v>
      </c>
      <c r="L546" s="67" t="s">
        <v>236</v>
      </c>
      <c r="M546" s="67"/>
      <c r="N546" s="70">
        <v>8</v>
      </c>
      <c r="O546" s="70">
        <f>Tabla2[[#This Row],[CANTIDAD]]*Tabla2[[#This Row],[PREC. UNITARIO]]</f>
        <v>-8</v>
      </c>
      <c r="R546" t="str">
        <f>Tabla2[[#This Row],[QUIEN RECIBE]]&amp;"-"&amp;TEXT(Tabla2[[#This Row],[FECHA]],"dd/mm/yyyy")</f>
        <v>-24/09/2025</v>
      </c>
    </row>
    <row r="547" spans="2:18" ht="20.45" hidden="1" customHeight="1" x14ac:dyDescent="0.25">
      <c r="B547" s="5">
        <v>45924</v>
      </c>
      <c r="C547" s="2" t="str">
        <f>IFERROR(_xlfn.XLOOKUP(Tabla2[[#This Row],[PRODUCTO]],Tabla1[PRODUCTO],Tabla1[CODIGO]),"")</f>
        <v>IS-30</v>
      </c>
      <c r="D547" s="31" t="s">
        <v>81</v>
      </c>
      <c r="E547" s="31" t="str">
        <f>IFERROR(VLOOKUP(Tabla2[[#This Row],[CODIGO]],Tabla1[],3,0),"")</f>
        <v>IMPLEMENTOS DE SEGURIDAD</v>
      </c>
      <c r="F547" s="28" t="str">
        <f>IFERROR(VLOOKUP(Tabla2[[#This Row],[CODIGO]],Tabla1[],5,0),"")</f>
        <v>ALMACEN TICAPAMPA</v>
      </c>
      <c r="G547" s="26" t="str">
        <f>IFERROR(VLOOKUP(Tabla2[[#This Row],[CODIGO]],Tabla1[],6,0),"")</f>
        <v>UNI</v>
      </c>
      <c r="H547" s="26">
        <f>IFERROR(VLOOKUP(Tabla2[[#This Row],[CODIGO]],Tabla1[],10,0),"")</f>
        <v>99</v>
      </c>
      <c r="I547" s="7">
        <v>-1</v>
      </c>
      <c r="J547" s="29" t="s">
        <v>350</v>
      </c>
      <c r="K547" s="26" t="str">
        <f>IFERROR(VLOOKUP(Tabla2[[#This Row],[CODIGO]],Tabla1[],11,0),"")</f>
        <v>COMPRA</v>
      </c>
      <c r="L547" s="67" t="s">
        <v>236</v>
      </c>
      <c r="M547" s="67"/>
      <c r="N547" s="70">
        <v>8</v>
      </c>
      <c r="O547" s="70">
        <f>Tabla2[[#This Row],[CANTIDAD]]*Tabla2[[#This Row],[PREC. UNITARIO]]</f>
        <v>-8</v>
      </c>
      <c r="R547" t="str">
        <f>Tabla2[[#This Row],[QUIEN RECIBE]]&amp;"-"&amp;TEXT(Tabla2[[#This Row],[FECHA]],"dd/mm/yyyy")</f>
        <v>-24/09/2025</v>
      </c>
    </row>
    <row r="548" spans="2:18" ht="20.45" hidden="1" customHeight="1" x14ac:dyDescent="0.25">
      <c r="B548" s="5">
        <v>45925</v>
      </c>
      <c r="C548" s="2" t="str">
        <f>IFERROR(_xlfn.XLOOKUP(Tabla2[[#This Row],[PRODUCTO]],Tabla1[PRODUCTO],Tabla1[CODIGO]),"")</f>
        <v>IS-30</v>
      </c>
      <c r="D548" s="31" t="s">
        <v>81</v>
      </c>
      <c r="E548" s="31" t="str">
        <f>IFERROR(VLOOKUP(Tabla2[[#This Row],[CODIGO]],Tabla1[],3,0),"")</f>
        <v>IMPLEMENTOS DE SEGURIDAD</v>
      </c>
      <c r="F548" s="28" t="str">
        <f>IFERROR(VLOOKUP(Tabla2[[#This Row],[CODIGO]],Tabla1[],5,0),"")</f>
        <v>ALMACEN TICAPAMPA</v>
      </c>
      <c r="G548" s="26" t="str">
        <f>IFERROR(VLOOKUP(Tabla2[[#This Row],[CODIGO]],Tabla1[],6,0),"")</f>
        <v>UNI</v>
      </c>
      <c r="H548" s="26">
        <f>IFERROR(VLOOKUP(Tabla2[[#This Row],[CODIGO]],Tabla1[],10,0),"")</f>
        <v>99</v>
      </c>
      <c r="I548" s="7">
        <v>-1</v>
      </c>
      <c r="J548" s="29" t="s">
        <v>350</v>
      </c>
      <c r="K548" s="26" t="str">
        <f>IFERROR(VLOOKUP(Tabla2[[#This Row],[CODIGO]],Tabla1[],11,0),"")</f>
        <v>COMPRA</v>
      </c>
      <c r="L548" s="67" t="s">
        <v>236</v>
      </c>
      <c r="M548" s="67"/>
      <c r="N548" s="70">
        <v>8</v>
      </c>
      <c r="O548" s="70">
        <f>Tabla2[[#This Row],[CANTIDAD]]*Tabla2[[#This Row],[PREC. UNITARIO]]</f>
        <v>-8</v>
      </c>
      <c r="R548" t="str">
        <f>Tabla2[[#This Row],[QUIEN RECIBE]]&amp;"-"&amp;TEXT(Tabla2[[#This Row],[FECHA]],"dd/mm/yyyy")</f>
        <v>-25/09/2025</v>
      </c>
    </row>
    <row r="549" spans="2:18" ht="20.45" hidden="1" customHeight="1" x14ac:dyDescent="0.25">
      <c r="B549" s="5">
        <v>45925</v>
      </c>
      <c r="C549" s="2" t="str">
        <f>IFERROR(_xlfn.XLOOKUP(Tabla2[[#This Row],[PRODUCTO]],Tabla1[PRODUCTO],Tabla1[CODIGO]),"")</f>
        <v>IS-30</v>
      </c>
      <c r="D549" s="31" t="s">
        <v>81</v>
      </c>
      <c r="E549" s="31" t="str">
        <f>IFERROR(VLOOKUP(Tabla2[[#This Row],[CODIGO]],Tabla1[],3,0),"")</f>
        <v>IMPLEMENTOS DE SEGURIDAD</v>
      </c>
      <c r="F549" s="28" t="str">
        <f>IFERROR(VLOOKUP(Tabla2[[#This Row],[CODIGO]],Tabla1[],5,0),"")</f>
        <v>ALMACEN TICAPAMPA</v>
      </c>
      <c r="G549" s="26" t="str">
        <f>IFERROR(VLOOKUP(Tabla2[[#This Row],[CODIGO]],Tabla1[],6,0),"")</f>
        <v>UNI</v>
      </c>
      <c r="H549" s="26">
        <f>IFERROR(VLOOKUP(Tabla2[[#This Row],[CODIGO]],Tabla1[],10,0),"")</f>
        <v>99</v>
      </c>
      <c r="I549" s="7">
        <v>-1</v>
      </c>
      <c r="J549" s="29" t="s">
        <v>350</v>
      </c>
      <c r="K549" s="26" t="str">
        <f>IFERROR(VLOOKUP(Tabla2[[#This Row],[CODIGO]],Tabla1[],11,0),"")</f>
        <v>COMPRA</v>
      </c>
      <c r="L549" s="67" t="s">
        <v>236</v>
      </c>
      <c r="M549" s="67"/>
      <c r="N549" s="70">
        <v>8</v>
      </c>
      <c r="O549" s="70">
        <f>Tabla2[[#This Row],[CANTIDAD]]*Tabla2[[#This Row],[PREC. UNITARIO]]</f>
        <v>-8</v>
      </c>
      <c r="R549" t="str">
        <f>Tabla2[[#This Row],[QUIEN RECIBE]]&amp;"-"&amp;TEXT(Tabla2[[#This Row],[FECHA]],"dd/mm/yyyy")</f>
        <v>-25/09/2025</v>
      </c>
    </row>
    <row r="550" spans="2:18" ht="20.45" hidden="1" customHeight="1" x14ac:dyDescent="0.25">
      <c r="B550" s="5">
        <v>45925</v>
      </c>
      <c r="C550" s="2" t="str">
        <f>IFERROR(_xlfn.XLOOKUP(Tabla2[[#This Row],[PRODUCTO]],Tabla1[PRODUCTO],Tabla1[CODIGO]),"")</f>
        <v>IS-30</v>
      </c>
      <c r="D550" s="31" t="s">
        <v>81</v>
      </c>
      <c r="E550" s="31" t="str">
        <f>IFERROR(VLOOKUP(Tabla2[[#This Row],[CODIGO]],Tabla1[],3,0),"")</f>
        <v>IMPLEMENTOS DE SEGURIDAD</v>
      </c>
      <c r="F550" s="28" t="str">
        <f>IFERROR(VLOOKUP(Tabla2[[#This Row],[CODIGO]],Tabla1[],5,0),"")</f>
        <v>ALMACEN TICAPAMPA</v>
      </c>
      <c r="G550" s="26" t="str">
        <f>IFERROR(VLOOKUP(Tabla2[[#This Row],[CODIGO]],Tabla1[],6,0),"")</f>
        <v>UNI</v>
      </c>
      <c r="H550" s="26">
        <f>IFERROR(VLOOKUP(Tabla2[[#This Row],[CODIGO]],Tabla1[],10,0),"")</f>
        <v>99</v>
      </c>
      <c r="I550" s="7">
        <v>-1</v>
      </c>
      <c r="J550" s="29" t="s">
        <v>350</v>
      </c>
      <c r="K550" s="26" t="str">
        <f>IFERROR(VLOOKUP(Tabla2[[#This Row],[CODIGO]],Tabla1[],11,0),"")</f>
        <v>COMPRA</v>
      </c>
      <c r="L550" s="67" t="s">
        <v>236</v>
      </c>
      <c r="M550" s="67"/>
      <c r="N550" s="70">
        <v>8</v>
      </c>
      <c r="O550" s="70">
        <f>Tabla2[[#This Row],[CANTIDAD]]*Tabla2[[#This Row],[PREC. UNITARIO]]</f>
        <v>-8</v>
      </c>
      <c r="R550" t="str">
        <f>Tabla2[[#This Row],[QUIEN RECIBE]]&amp;"-"&amp;TEXT(Tabla2[[#This Row],[FECHA]],"dd/mm/yyyy")</f>
        <v>-25/09/2025</v>
      </c>
    </row>
    <row r="551" spans="2:18" ht="20.45" hidden="1" customHeight="1" x14ac:dyDescent="0.25">
      <c r="B551" s="5">
        <v>45927</v>
      </c>
      <c r="C551" s="2" t="str">
        <f>IFERROR(_xlfn.XLOOKUP(Tabla2[[#This Row],[PRODUCTO]],Tabla1[PRODUCTO],Tabla1[CODIGO]),"")</f>
        <v>IS-30</v>
      </c>
      <c r="D551" s="31" t="s">
        <v>81</v>
      </c>
      <c r="E551" s="31" t="str">
        <f>IFERROR(VLOOKUP(Tabla2[[#This Row],[CODIGO]],Tabla1[],3,0),"")</f>
        <v>IMPLEMENTOS DE SEGURIDAD</v>
      </c>
      <c r="F551" s="28" t="str">
        <f>IFERROR(VLOOKUP(Tabla2[[#This Row],[CODIGO]],Tabla1[],5,0),"")</f>
        <v>ALMACEN TICAPAMPA</v>
      </c>
      <c r="G551" s="26" t="str">
        <f>IFERROR(VLOOKUP(Tabla2[[#This Row],[CODIGO]],Tabla1[],6,0),"")</f>
        <v>UNI</v>
      </c>
      <c r="H551" s="26">
        <f>IFERROR(VLOOKUP(Tabla2[[#This Row],[CODIGO]],Tabla1[],10,0),"")</f>
        <v>99</v>
      </c>
      <c r="I551" s="7">
        <v>-1</v>
      </c>
      <c r="J551" s="29" t="s">
        <v>350</v>
      </c>
      <c r="K551" s="26" t="str">
        <f>IFERROR(VLOOKUP(Tabla2[[#This Row],[CODIGO]],Tabla1[],11,0),"")</f>
        <v>COMPRA</v>
      </c>
      <c r="L551" s="67" t="s">
        <v>236</v>
      </c>
      <c r="M551" s="67"/>
      <c r="N551" s="70">
        <v>8</v>
      </c>
      <c r="O551" s="70">
        <f>Tabla2[[#This Row],[CANTIDAD]]*Tabla2[[#This Row],[PREC. UNITARIO]]</f>
        <v>-8</v>
      </c>
      <c r="R551" t="str">
        <f>Tabla2[[#This Row],[QUIEN RECIBE]]&amp;"-"&amp;TEXT(Tabla2[[#This Row],[FECHA]],"dd/mm/yyyy")</f>
        <v>-27/09/2025</v>
      </c>
    </row>
    <row r="552" spans="2:18" ht="20.45" hidden="1" customHeight="1" x14ac:dyDescent="0.25">
      <c r="B552" s="5">
        <v>45927</v>
      </c>
      <c r="C552" s="2" t="str">
        <f>IFERROR(_xlfn.XLOOKUP(Tabla2[[#This Row],[PRODUCTO]],Tabla1[PRODUCTO],Tabla1[CODIGO]),"")</f>
        <v>IS-30</v>
      </c>
      <c r="D552" s="31" t="s">
        <v>81</v>
      </c>
      <c r="E552" s="31" t="str">
        <f>IFERROR(VLOOKUP(Tabla2[[#This Row],[CODIGO]],Tabla1[],3,0),"")</f>
        <v>IMPLEMENTOS DE SEGURIDAD</v>
      </c>
      <c r="F552" s="28" t="str">
        <f>IFERROR(VLOOKUP(Tabla2[[#This Row],[CODIGO]],Tabla1[],5,0),"")</f>
        <v>ALMACEN TICAPAMPA</v>
      </c>
      <c r="G552" s="26" t="str">
        <f>IFERROR(VLOOKUP(Tabla2[[#This Row],[CODIGO]],Tabla1[],6,0),"")</f>
        <v>UNI</v>
      </c>
      <c r="H552" s="26">
        <f>IFERROR(VLOOKUP(Tabla2[[#This Row],[CODIGO]],Tabla1[],10,0),"")</f>
        <v>99</v>
      </c>
      <c r="I552" s="7">
        <v>-1</v>
      </c>
      <c r="J552" s="29" t="s">
        <v>350</v>
      </c>
      <c r="K552" s="26" t="str">
        <f>IFERROR(VLOOKUP(Tabla2[[#This Row],[CODIGO]],Tabla1[],11,0),"")</f>
        <v>COMPRA</v>
      </c>
      <c r="L552" s="67" t="s">
        <v>236</v>
      </c>
      <c r="M552" s="67"/>
      <c r="N552" s="70">
        <v>8</v>
      </c>
      <c r="O552" s="70">
        <f>Tabla2[[#This Row],[CANTIDAD]]*Tabla2[[#This Row],[PREC. UNITARIO]]</f>
        <v>-8</v>
      </c>
      <c r="R552" t="str">
        <f>Tabla2[[#This Row],[QUIEN RECIBE]]&amp;"-"&amp;TEXT(Tabla2[[#This Row],[FECHA]],"dd/mm/yyyy")</f>
        <v>-27/09/2025</v>
      </c>
    </row>
    <row r="553" spans="2:18" ht="20.45" hidden="1" customHeight="1" x14ac:dyDescent="0.25">
      <c r="B553" s="5">
        <v>45928</v>
      </c>
      <c r="C553" s="2" t="str">
        <f>IFERROR(_xlfn.XLOOKUP(Tabla2[[#This Row],[PRODUCTO]],Tabla1[PRODUCTO],Tabla1[CODIGO]),"")</f>
        <v>IS-30</v>
      </c>
      <c r="D553" s="31" t="s">
        <v>81</v>
      </c>
      <c r="E553" s="31" t="str">
        <f>IFERROR(VLOOKUP(Tabla2[[#This Row],[CODIGO]],Tabla1[],3,0),"")</f>
        <v>IMPLEMENTOS DE SEGURIDAD</v>
      </c>
      <c r="F553" s="28" t="str">
        <f>IFERROR(VLOOKUP(Tabla2[[#This Row],[CODIGO]],Tabla1[],5,0),"")</f>
        <v>ALMACEN TICAPAMPA</v>
      </c>
      <c r="G553" s="26" t="str">
        <f>IFERROR(VLOOKUP(Tabla2[[#This Row],[CODIGO]],Tabla1[],6,0),"")</f>
        <v>UNI</v>
      </c>
      <c r="H553" s="26">
        <f>IFERROR(VLOOKUP(Tabla2[[#This Row],[CODIGO]],Tabla1[],10,0),"")</f>
        <v>99</v>
      </c>
      <c r="I553" s="7">
        <v>-1</v>
      </c>
      <c r="J553" s="29" t="s">
        <v>350</v>
      </c>
      <c r="K553" s="26" t="str">
        <f>IFERROR(VLOOKUP(Tabla2[[#This Row],[CODIGO]],Tabla1[],11,0),"")</f>
        <v>COMPRA</v>
      </c>
      <c r="L553" s="67" t="s">
        <v>236</v>
      </c>
      <c r="M553" s="67"/>
      <c r="N553" s="70">
        <v>8</v>
      </c>
      <c r="O553" s="70">
        <f>Tabla2[[#This Row],[CANTIDAD]]*Tabla2[[#This Row],[PREC. UNITARIO]]</f>
        <v>-8</v>
      </c>
      <c r="R553" t="str">
        <f>Tabla2[[#This Row],[QUIEN RECIBE]]&amp;"-"&amp;TEXT(Tabla2[[#This Row],[FECHA]],"dd/mm/yyyy")</f>
        <v>-28/09/2025</v>
      </c>
    </row>
    <row r="554" spans="2:18" ht="20.45" hidden="1" customHeight="1" x14ac:dyDescent="0.25">
      <c r="B554" s="5">
        <v>45928</v>
      </c>
      <c r="C554" s="2" t="str">
        <f>IFERROR(_xlfn.XLOOKUP(Tabla2[[#This Row],[PRODUCTO]],Tabla1[PRODUCTO],Tabla1[CODIGO]),"")</f>
        <v>UE-58</v>
      </c>
      <c r="D554" s="31" t="s">
        <v>421</v>
      </c>
      <c r="E554" s="31" t="str">
        <f>IFERROR(VLOOKUP(Tabla2[[#This Row],[CODIGO]],Tabla1[],3,0),"")</f>
        <v>UTILES DE ESCRITORIO</v>
      </c>
      <c r="F554" s="28" t="str">
        <f>IFERROR(VLOOKUP(Tabla2[[#This Row],[CODIGO]],Tabla1[],5,0),"")</f>
        <v>ALMACEN TICAPAMPA</v>
      </c>
      <c r="G554" s="26" t="str">
        <f>IFERROR(VLOOKUP(Tabla2[[#This Row],[CODIGO]],Tabla1[],6,0),"")</f>
        <v>UNI</v>
      </c>
      <c r="H554" s="26">
        <f>IFERROR(VLOOKUP(Tabla2[[#This Row],[CODIGO]],Tabla1[],10,0),"")</f>
        <v>28</v>
      </c>
      <c r="I554" s="7">
        <v>-3</v>
      </c>
      <c r="J554" s="29" t="s">
        <v>350</v>
      </c>
      <c r="K554" s="26" t="str">
        <f>IFERROR(VLOOKUP(Tabla2[[#This Row],[CODIGO]],Tabla1[],11,0),"")</f>
        <v>COMPRA</v>
      </c>
      <c r="L554" s="67" t="s">
        <v>236</v>
      </c>
      <c r="M554" s="67"/>
      <c r="N554" s="70"/>
      <c r="O554" s="70">
        <f>Tabla2[[#This Row],[CANTIDAD]]*Tabla2[[#This Row],[PREC. UNITARIO]]</f>
        <v>0</v>
      </c>
      <c r="R554" t="str">
        <f>Tabla2[[#This Row],[QUIEN RECIBE]]&amp;"-"&amp;TEXT(Tabla2[[#This Row],[FECHA]],"dd/mm/yyyy")</f>
        <v>-28/09/2025</v>
      </c>
    </row>
    <row r="555" spans="2:18" ht="20.45" hidden="1" customHeight="1" x14ac:dyDescent="0.25">
      <c r="B555" s="5">
        <v>45927</v>
      </c>
      <c r="C555" s="2" t="str">
        <f>IFERROR(_xlfn.XLOOKUP(Tabla2[[#This Row],[PRODUCTO]],Tabla1[PRODUCTO],Tabla1[CODIGO]),"")</f>
        <v>UE-58</v>
      </c>
      <c r="D555" s="31" t="s">
        <v>421</v>
      </c>
      <c r="E555" s="31" t="str">
        <f>IFERROR(VLOOKUP(Tabla2[[#This Row],[CODIGO]],Tabla1[],3,0),"")</f>
        <v>UTILES DE ESCRITORIO</v>
      </c>
      <c r="F555" s="28" t="str">
        <f>IFERROR(VLOOKUP(Tabla2[[#This Row],[CODIGO]],Tabla1[],5,0),"")</f>
        <v>ALMACEN TICAPAMPA</v>
      </c>
      <c r="G555" s="26" t="str">
        <f>IFERROR(VLOOKUP(Tabla2[[#This Row],[CODIGO]],Tabla1[],6,0),"")</f>
        <v>UNI</v>
      </c>
      <c r="H555" s="26">
        <f>IFERROR(VLOOKUP(Tabla2[[#This Row],[CODIGO]],Tabla1[],10,0),"")</f>
        <v>28</v>
      </c>
      <c r="I555" s="7">
        <v>-3</v>
      </c>
      <c r="J555" s="29" t="s">
        <v>350</v>
      </c>
      <c r="K555" s="26" t="str">
        <f>IFERROR(VLOOKUP(Tabla2[[#This Row],[CODIGO]],Tabla1[],11,0),"")</f>
        <v>COMPRA</v>
      </c>
      <c r="L555" s="67" t="s">
        <v>236</v>
      </c>
      <c r="M555" s="67"/>
      <c r="N555" s="70"/>
      <c r="O555" s="70">
        <f>Tabla2[[#This Row],[CANTIDAD]]*Tabla2[[#This Row],[PREC. UNITARIO]]</f>
        <v>0</v>
      </c>
      <c r="R555" t="str">
        <f>Tabla2[[#This Row],[QUIEN RECIBE]]&amp;"-"&amp;TEXT(Tabla2[[#This Row],[FECHA]],"dd/mm/yyyy")</f>
        <v>-27/09/2025</v>
      </c>
    </row>
    <row r="556" spans="2:18" ht="20.45" hidden="1" customHeight="1" x14ac:dyDescent="0.25">
      <c r="B556" s="5">
        <v>45928</v>
      </c>
      <c r="C556" s="2" t="str">
        <f>IFERROR(_xlfn.XLOOKUP(Tabla2[[#This Row],[PRODUCTO]],Tabla1[PRODUCTO],Tabla1[CODIGO]),"")</f>
        <v>UE-22</v>
      </c>
      <c r="D556" s="31" t="s">
        <v>176</v>
      </c>
      <c r="E556" s="31" t="str">
        <f>IFERROR(VLOOKUP(Tabla2[[#This Row],[CODIGO]],Tabla1[],3,0),"")</f>
        <v>UTILES DE ESCRITORIO</v>
      </c>
      <c r="F556" s="28" t="str">
        <f>IFERROR(VLOOKUP(Tabla2[[#This Row],[CODIGO]],Tabla1[],5,0),"")</f>
        <v>ALMACEN TICAPAMPA</v>
      </c>
      <c r="G556" s="26" t="str">
        <f>IFERROR(VLOOKUP(Tabla2[[#This Row],[CODIGO]],Tabla1[],6,0),"")</f>
        <v>UNI</v>
      </c>
      <c r="H556" s="26">
        <f>IFERROR(VLOOKUP(Tabla2[[#This Row],[CODIGO]],Tabla1[],10,0),"")</f>
        <v>0</v>
      </c>
      <c r="I556" s="7">
        <v>-4</v>
      </c>
      <c r="J556" s="29" t="s">
        <v>383</v>
      </c>
      <c r="K556" s="26" t="str">
        <f>IFERROR(VLOOKUP(Tabla2[[#This Row],[CODIGO]],Tabla1[],11,0),"")</f>
        <v>COMPRA</v>
      </c>
      <c r="L556" s="67" t="s">
        <v>236</v>
      </c>
      <c r="M556" s="67" t="s">
        <v>236</v>
      </c>
      <c r="N556" s="70"/>
      <c r="O556" s="70">
        <f>Tabla2[[#This Row],[CANTIDAD]]*Tabla2[[#This Row],[PREC. UNITARIO]]</f>
        <v>0</v>
      </c>
      <c r="R556" t="str">
        <f>Tabla2[[#This Row],[QUIEN RECIBE]]&amp;"-"&amp;TEXT(Tabla2[[#This Row],[FECHA]],"dd/mm/yyyy")</f>
        <v>NAVARRO LOZANO, ANGEL JAROL-28/09/2025</v>
      </c>
    </row>
    <row r="557" spans="2:18" ht="20.45" hidden="1" customHeight="1" x14ac:dyDescent="0.25">
      <c r="B557" s="5">
        <v>45932</v>
      </c>
      <c r="C557" s="2" t="str">
        <f>IFERROR(_xlfn.XLOOKUP(Tabla2[[#This Row],[PRODUCTO]],Tabla1[PRODUCTO],Tabla1[CODIGO]),"")</f>
        <v>UE-58</v>
      </c>
      <c r="D557" s="31" t="s">
        <v>421</v>
      </c>
      <c r="E557" s="31" t="str">
        <f>IFERROR(VLOOKUP(Tabla2[[#This Row],[CODIGO]],Tabla1[],3,0),"")</f>
        <v>UTILES DE ESCRITORIO</v>
      </c>
      <c r="F557" s="28" t="str">
        <f>IFERROR(VLOOKUP(Tabla2[[#This Row],[CODIGO]],Tabla1[],5,0),"")</f>
        <v>ALMACEN TICAPAMPA</v>
      </c>
      <c r="G557" s="26" t="str">
        <f>IFERROR(VLOOKUP(Tabla2[[#This Row],[CODIGO]],Tabla1[],6,0),"")</f>
        <v>UNI</v>
      </c>
      <c r="H557" s="26">
        <f>IFERROR(VLOOKUP(Tabla2[[#This Row],[CODIGO]],Tabla1[],10,0),"")</f>
        <v>28</v>
      </c>
      <c r="I557" s="7">
        <v>-2</v>
      </c>
      <c r="J557" s="29" t="s">
        <v>350</v>
      </c>
      <c r="K557" s="26" t="str">
        <f>IFERROR(VLOOKUP(Tabla2[[#This Row],[CODIGO]],Tabla1[],11,0),"")</f>
        <v>COMPRA</v>
      </c>
      <c r="L557" s="67" t="s">
        <v>236</v>
      </c>
      <c r="M557" s="67" t="s">
        <v>240</v>
      </c>
      <c r="N557" s="70"/>
      <c r="O557" s="70">
        <f>Tabla2[[#This Row],[CANTIDAD]]*Tabla2[[#This Row],[PREC. UNITARIO]]</f>
        <v>0</v>
      </c>
      <c r="R557" t="str">
        <f>Tabla2[[#This Row],[QUIEN RECIBE]]&amp;"-"&amp;TEXT(Tabla2[[#This Row],[FECHA]],"dd/mm/yyyy")</f>
        <v>LOZANO MALDONADO, HERNAN-02/10/2025</v>
      </c>
    </row>
    <row r="558" spans="2:18" ht="20.45" hidden="1" customHeight="1" x14ac:dyDescent="0.25">
      <c r="B558" s="5">
        <v>45933</v>
      </c>
      <c r="C558" s="2" t="str">
        <f>IFERROR(_xlfn.XLOOKUP(Tabla2[[#This Row],[PRODUCTO]],Tabla1[PRODUCTO],Tabla1[CODIGO]),"")</f>
        <v>HM-7</v>
      </c>
      <c r="D558" s="31" t="s">
        <v>314</v>
      </c>
      <c r="E558" s="31" t="str">
        <f>IFERROR(VLOOKUP(Tabla2[[#This Row],[CODIGO]],Tabla1[],3,0),"")</f>
        <v>HERRAMIENTAS</v>
      </c>
      <c r="F558" s="28" t="str">
        <f>IFERROR(VLOOKUP(Tabla2[[#This Row],[CODIGO]],Tabla1[],5,0),"")</f>
        <v>ALMACEN TICAPAMPA</v>
      </c>
      <c r="G558" s="26" t="str">
        <f>IFERROR(VLOOKUP(Tabla2[[#This Row],[CODIGO]],Tabla1[],6,0),"")</f>
        <v>UNI</v>
      </c>
      <c r="H558" s="26">
        <f>IFERROR(VLOOKUP(Tabla2[[#This Row],[CODIGO]],Tabla1[],10,0),"")</f>
        <v>1</v>
      </c>
      <c r="I558" s="7">
        <v>-1</v>
      </c>
      <c r="J558" s="29" t="s">
        <v>386</v>
      </c>
      <c r="K558" s="26" t="str">
        <f>IFERROR(VLOOKUP(Tabla2[[#This Row],[CODIGO]],Tabla1[],11,0),"")</f>
        <v>COMPRA</v>
      </c>
      <c r="L558" s="67" t="s">
        <v>236</v>
      </c>
      <c r="M558" s="67" t="s">
        <v>450</v>
      </c>
      <c r="N558" s="70"/>
      <c r="O558" s="70">
        <f>Tabla2[[#This Row],[CANTIDAD]]*Tabla2[[#This Row],[PREC. UNITARIO]]</f>
        <v>0</v>
      </c>
      <c r="R558" t="str">
        <f>Tabla2[[#This Row],[QUIEN RECIBE]]&amp;"-"&amp;TEXT(Tabla2[[#This Row],[FECHA]],"dd/mm/yyyy")</f>
        <v>MAQUERA QUISPE, LEONIDAS EDWIN-03/10/2025</v>
      </c>
    </row>
    <row r="559" spans="2:18" ht="20.45" hidden="1" customHeight="1" x14ac:dyDescent="0.25">
      <c r="B559" s="5">
        <v>45933</v>
      </c>
      <c r="C559" s="2" t="str">
        <f>IFERROR(_xlfn.XLOOKUP(Tabla2[[#This Row],[PRODUCTO]],Tabla1[PRODUCTO],Tabla1[CODIGO]),"")</f>
        <v>HM-17</v>
      </c>
      <c r="D559" s="31" t="s">
        <v>377</v>
      </c>
      <c r="E559" s="31" t="str">
        <f>IFERROR(VLOOKUP(Tabla2[[#This Row],[CODIGO]],Tabla1[],3,0),"")</f>
        <v>HERRAMIENTAS</v>
      </c>
      <c r="F559" s="28" t="str">
        <f>IFERROR(VLOOKUP(Tabla2[[#This Row],[CODIGO]],Tabla1[],5,0),"")</f>
        <v>ALMACEN TICAPAMPA</v>
      </c>
      <c r="G559" s="26" t="str">
        <f>IFERROR(VLOOKUP(Tabla2[[#This Row],[CODIGO]],Tabla1[],6,0),"")</f>
        <v>UNI</v>
      </c>
      <c r="H559" s="26">
        <f>IFERROR(VLOOKUP(Tabla2[[#This Row],[CODIGO]],Tabla1[],10,0),"")</f>
        <v>6</v>
      </c>
      <c r="I559" s="7">
        <v>-1</v>
      </c>
      <c r="J559" s="29" t="s">
        <v>350</v>
      </c>
      <c r="K559" s="26" t="str">
        <f>IFERROR(VLOOKUP(Tabla2[[#This Row],[CODIGO]],Tabla1[],11,0),"")</f>
        <v>COMPRA</v>
      </c>
      <c r="L559" s="67" t="s">
        <v>236</v>
      </c>
      <c r="M559" s="67" t="s">
        <v>244</v>
      </c>
      <c r="N559" s="70"/>
      <c r="O559" s="70">
        <f>Tabla2[[#This Row],[CANTIDAD]]*Tabla2[[#This Row],[PREC. UNITARIO]]</f>
        <v>0</v>
      </c>
      <c r="R559" t="str">
        <f>Tabla2[[#This Row],[QUIEN RECIBE]]&amp;"-"&amp;TEXT(Tabla2[[#This Row],[FECHA]],"dd/mm/yyyy")</f>
        <v>CORDOVA ANGULO, JUAN-03/10/2025</v>
      </c>
    </row>
    <row r="560" spans="2:18" ht="20.45" hidden="1" customHeight="1" x14ac:dyDescent="0.25">
      <c r="B560" s="5">
        <v>45933</v>
      </c>
      <c r="C560" s="2" t="str">
        <f>IFERROR(_xlfn.XLOOKUP(Tabla2[[#This Row],[PRODUCTO]],Tabla1[PRODUCTO],Tabla1[CODIGO]),"")</f>
        <v>UE-32</v>
      </c>
      <c r="D560" s="31" t="s">
        <v>186</v>
      </c>
      <c r="E560" s="31" t="str">
        <f>IFERROR(VLOOKUP(Tabla2[[#This Row],[CODIGO]],Tabla1[],3,0),"")</f>
        <v>UTILES DE ESCRITORIO</v>
      </c>
      <c r="F560" s="28" t="str">
        <f>IFERROR(VLOOKUP(Tabla2[[#This Row],[CODIGO]],Tabla1[],5,0),"")</f>
        <v>ALMACEN TICAPAMPA</v>
      </c>
      <c r="G560" s="26" t="str">
        <f>IFERROR(VLOOKUP(Tabla2[[#This Row],[CODIGO]],Tabla1[],6,0),"")</f>
        <v>UNI</v>
      </c>
      <c r="H560" s="26">
        <f>IFERROR(VLOOKUP(Tabla2[[#This Row],[CODIGO]],Tabla1[],10,0),"")</f>
        <v>0</v>
      </c>
      <c r="I560" s="7">
        <v>-2</v>
      </c>
      <c r="J560" s="29" t="s">
        <v>420</v>
      </c>
      <c r="K560" s="26" t="str">
        <f>IFERROR(VLOOKUP(Tabla2[[#This Row],[CODIGO]],Tabla1[],11,0),"")</f>
        <v>COMPRA</v>
      </c>
      <c r="L560" s="67" t="s">
        <v>236</v>
      </c>
      <c r="M560" s="67" t="s">
        <v>260</v>
      </c>
      <c r="N560" s="70"/>
      <c r="O560" s="70">
        <f>Tabla2[[#This Row],[CANTIDAD]]*Tabla2[[#This Row],[PREC. UNITARIO]]</f>
        <v>0</v>
      </c>
      <c r="R560" t="str">
        <f>Tabla2[[#This Row],[QUIEN RECIBE]]&amp;"-"&amp;TEXT(Tabla2[[#This Row],[FECHA]],"dd/mm/yyyy")</f>
        <v>SALAZAR BAZAN, ROCÍO DALILA-03/10/2025</v>
      </c>
    </row>
    <row r="561" spans="2:18" ht="20.45" hidden="1" customHeight="1" x14ac:dyDescent="0.25">
      <c r="B561" s="5">
        <v>45933</v>
      </c>
      <c r="C561" s="2" t="str">
        <f>IFERROR(_xlfn.XLOOKUP(Tabla2[[#This Row],[PRODUCTO]],Tabla1[PRODUCTO],Tabla1[CODIGO]),"")</f>
        <v>UE-38</v>
      </c>
      <c r="D561" s="31" t="s">
        <v>192</v>
      </c>
      <c r="E561" s="31" t="str">
        <f>IFERROR(VLOOKUP(Tabla2[[#This Row],[CODIGO]],Tabla1[],3,0),"")</f>
        <v>UTILES DE ESCRITORIO</v>
      </c>
      <c r="F561" s="28" t="str">
        <f>IFERROR(VLOOKUP(Tabla2[[#This Row],[CODIGO]],Tabla1[],5,0),"")</f>
        <v>ALMACEN TICAPAMPA</v>
      </c>
      <c r="G561" s="26" t="str">
        <f>IFERROR(VLOOKUP(Tabla2[[#This Row],[CODIGO]],Tabla1[],6,0),"")</f>
        <v>UNI</v>
      </c>
      <c r="H561" s="26">
        <f>IFERROR(VLOOKUP(Tabla2[[#This Row],[CODIGO]],Tabla1[],10,0),"")</f>
        <v>0</v>
      </c>
      <c r="I561" s="7">
        <v>-1</v>
      </c>
      <c r="J561" s="29" t="s">
        <v>420</v>
      </c>
      <c r="K561" s="26" t="str">
        <f>IFERROR(VLOOKUP(Tabla2[[#This Row],[CODIGO]],Tabla1[],11,0),"")</f>
        <v>COMPRA</v>
      </c>
      <c r="L561" s="67" t="s">
        <v>236</v>
      </c>
      <c r="M561" s="67" t="s">
        <v>256</v>
      </c>
      <c r="N561" s="70"/>
      <c r="O561" s="70">
        <f>Tabla2[[#This Row],[CANTIDAD]]*Tabla2[[#This Row],[PREC. UNITARIO]]</f>
        <v>0</v>
      </c>
      <c r="R561" t="str">
        <f>Tabla2[[#This Row],[QUIEN RECIBE]]&amp;"-"&amp;TEXT(Tabla2[[#This Row],[FECHA]],"dd/mm/yyyy")</f>
        <v>SILVA BORDA, ARLETTE NINOSKA-03/10/2025</v>
      </c>
    </row>
    <row r="562" spans="2:18" ht="20.45" hidden="1" customHeight="1" x14ac:dyDescent="0.25">
      <c r="B562" s="5">
        <v>45933</v>
      </c>
      <c r="C562" s="2" t="str">
        <f>IFERROR(_xlfn.XLOOKUP(Tabla2[[#This Row],[PRODUCTO]],Tabla1[PRODUCTO],Tabla1[CODIGO]),"")</f>
        <v>AGU-1</v>
      </c>
      <c r="D562" s="31" t="s">
        <v>357</v>
      </c>
      <c r="E562" s="31" t="str">
        <f>IFERROR(VLOOKUP(Tabla2[[#This Row],[CODIGO]],Tabla1[],3,0),"")</f>
        <v>AGUA</v>
      </c>
      <c r="F562" s="28" t="str">
        <f>IFERROR(VLOOKUP(Tabla2[[#This Row],[CODIGO]],Tabla1[],5,0),"")</f>
        <v>ALMACEN TICAPAMPA</v>
      </c>
      <c r="G562" s="26" t="str">
        <f>IFERROR(VLOOKUP(Tabla2[[#This Row],[CODIGO]],Tabla1[],6,0),"")</f>
        <v>UNI</v>
      </c>
      <c r="H562" s="26">
        <f>IFERROR(VLOOKUP(Tabla2[[#This Row],[CODIGO]],Tabla1[],10,0),"")</f>
        <v>9</v>
      </c>
      <c r="I562" s="7">
        <v>-1</v>
      </c>
      <c r="J562" s="29" t="s">
        <v>420</v>
      </c>
      <c r="K562" s="26" t="str">
        <f>IFERROR(VLOOKUP(Tabla2[[#This Row],[CODIGO]],Tabla1[],11,0),"")</f>
        <v>COMPRA</v>
      </c>
      <c r="L562" s="67" t="s">
        <v>236</v>
      </c>
      <c r="M562" s="67" t="s">
        <v>260</v>
      </c>
      <c r="N562" s="70">
        <v>8</v>
      </c>
      <c r="O562" s="70">
        <f>Tabla2[[#This Row],[CANTIDAD]]*Tabla2[[#This Row],[PREC. UNITARIO]]</f>
        <v>-8</v>
      </c>
      <c r="R562" t="str">
        <f>Tabla2[[#This Row],[QUIEN RECIBE]]&amp;"-"&amp;TEXT(Tabla2[[#This Row],[FECHA]],"dd/mm/yyyy")</f>
        <v>SALAZAR BAZAN, ROCÍO DALILA-03/10/2025</v>
      </c>
    </row>
    <row r="563" spans="2:18" ht="20.45" hidden="1" customHeight="1" x14ac:dyDescent="0.25">
      <c r="B563" s="5">
        <v>45933</v>
      </c>
      <c r="C563" s="2" t="str">
        <f>IFERROR(_xlfn.XLOOKUP(Tabla2[[#This Row],[PRODUCTO]],Tabla1[PRODUCTO],Tabla1[CODIGO]),"")</f>
        <v>UE-57</v>
      </c>
      <c r="D563" s="31" t="s">
        <v>368</v>
      </c>
      <c r="E563" s="31" t="str">
        <f>IFERROR(VLOOKUP(Tabla2[[#This Row],[CODIGO]],Tabla1[],3,0),"")</f>
        <v>UTILES DE ESCRITORIO</v>
      </c>
      <c r="F563" s="28" t="str">
        <f>IFERROR(VLOOKUP(Tabla2[[#This Row],[CODIGO]],Tabla1[],5,0),"")</f>
        <v>ALMACEN TICAPAMPA</v>
      </c>
      <c r="G563" s="26" t="str">
        <f>IFERROR(VLOOKUP(Tabla2[[#This Row],[CODIGO]],Tabla1[],6,0),"")</f>
        <v>UNI</v>
      </c>
      <c r="H563" s="26">
        <f>IFERROR(VLOOKUP(Tabla2[[#This Row],[CODIGO]],Tabla1[],10,0),"")</f>
        <v>13</v>
      </c>
      <c r="I563" s="7">
        <v>-1</v>
      </c>
      <c r="J563" s="29" t="s">
        <v>420</v>
      </c>
      <c r="K563" s="26" t="str">
        <f>IFERROR(VLOOKUP(Tabla2[[#This Row],[CODIGO]],Tabla1[],11,0),"")</f>
        <v>COMPRA</v>
      </c>
      <c r="L563" s="67" t="s">
        <v>236</v>
      </c>
      <c r="M563" s="67" t="s">
        <v>338</v>
      </c>
      <c r="N563" s="70"/>
      <c r="O563" s="70">
        <f>Tabla2[[#This Row],[CANTIDAD]]*Tabla2[[#This Row],[PREC. UNITARIO]]</f>
        <v>0</v>
      </c>
      <c r="R563" t="str">
        <f>Tabla2[[#This Row],[QUIEN RECIBE]]&amp;"-"&amp;TEXT(Tabla2[[#This Row],[FECHA]],"dd/mm/yyyy")</f>
        <v>YEANCARLO -03/10/2025</v>
      </c>
    </row>
    <row r="564" spans="2:18" ht="20.45" hidden="1" customHeight="1" x14ac:dyDescent="0.25">
      <c r="B564" s="5">
        <v>45933</v>
      </c>
      <c r="C564" s="2" t="str">
        <f>IFERROR(_xlfn.XLOOKUP(Tabla2[[#This Row],[PRODUCTO]],Tabla1[PRODUCTO],Tabla1[CODIGO]),"")</f>
        <v>UE-56</v>
      </c>
      <c r="D564" s="31" t="s">
        <v>325</v>
      </c>
      <c r="E564" s="31" t="str">
        <f>IFERROR(VLOOKUP(Tabla2[[#This Row],[CODIGO]],Tabla1[],3,0),"")</f>
        <v>UTILES DE ESCRITORIO</v>
      </c>
      <c r="F564" s="28" t="str">
        <f>IFERROR(VLOOKUP(Tabla2[[#This Row],[CODIGO]],Tabla1[],5,0),"")</f>
        <v>ALMACEN TICAPAMPA</v>
      </c>
      <c r="G564" s="26" t="str">
        <f>IFERROR(VLOOKUP(Tabla2[[#This Row],[CODIGO]],Tabla1[],6,0),"")</f>
        <v>PQTE</v>
      </c>
      <c r="H564" s="26">
        <f>IFERROR(VLOOKUP(Tabla2[[#This Row],[CODIGO]],Tabla1[],10,0),"")</f>
        <v>22</v>
      </c>
      <c r="I564" s="7">
        <v>-2</v>
      </c>
      <c r="J564" s="29" t="s">
        <v>420</v>
      </c>
      <c r="K564" s="26" t="str">
        <f>IFERROR(VLOOKUP(Tabla2[[#This Row],[CODIGO]],Tabla1[],11,0),"")</f>
        <v>COMPRA</v>
      </c>
      <c r="L564" s="67" t="s">
        <v>472</v>
      </c>
      <c r="M564" s="67" t="s">
        <v>256</v>
      </c>
      <c r="N564" s="70"/>
      <c r="O564" s="70">
        <f>Tabla2[[#This Row],[CANTIDAD]]*Tabla2[[#This Row],[PREC. UNITARIO]]</f>
        <v>0</v>
      </c>
      <c r="R564" t="str">
        <f>Tabla2[[#This Row],[QUIEN RECIBE]]&amp;"-"&amp;TEXT(Tabla2[[#This Row],[FECHA]],"dd/mm/yyyy")</f>
        <v>SILVA BORDA, ARLETTE NINOSKA-03/10/2025</v>
      </c>
    </row>
    <row r="565" spans="2:18" ht="20.45" hidden="1" customHeight="1" x14ac:dyDescent="0.25">
      <c r="B565" s="5">
        <v>45933</v>
      </c>
      <c r="C565" s="2" t="str">
        <f>IFERROR(_xlfn.XLOOKUP(Tabla2[[#This Row],[PRODUCTO]],Tabla1[PRODUCTO],Tabla1[CODIGO]),"")</f>
        <v>IS-35</v>
      </c>
      <c r="D565" s="31" t="s">
        <v>212</v>
      </c>
      <c r="E565" s="31" t="str">
        <f>IFERROR(VLOOKUP(Tabla2[[#This Row],[CODIGO]],Tabla1[],3,0),"")</f>
        <v>IMPLEMENTOS DE SEGURIDAD</v>
      </c>
      <c r="F565" s="28" t="str">
        <f>IFERROR(VLOOKUP(Tabla2[[#This Row],[CODIGO]],Tabla1[],5,0),"")</f>
        <v>ALMACEN TICAPAMPA</v>
      </c>
      <c r="G565" s="26" t="str">
        <f>IFERROR(VLOOKUP(Tabla2[[#This Row],[CODIGO]],Tabla1[],6,0),"")</f>
        <v>UNI</v>
      </c>
      <c r="H565" s="26">
        <f>IFERROR(VLOOKUP(Tabla2[[#This Row],[CODIGO]],Tabla1[],10,0),"")</f>
        <v>0</v>
      </c>
      <c r="I565" s="7">
        <v>-48</v>
      </c>
      <c r="J565" s="29" t="s">
        <v>475</v>
      </c>
      <c r="K565" s="26" t="str">
        <f>IFERROR(VLOOKUP(Tabla2[[#This Row],[CODIGO]],Tabla1[],11,0),"")</f>
        <v>COMPRA</v>
      </c>
      <c r="L565" s="67"/>
      <c r="M565" s="67"/>
      <c r="N565" s="70"/>
      <c r="O565" s="70">
        <f>Tabla2[[#This Row],[CANTIDAD]]*Tabla2[[#This Row],[PREC. UNITARIO]]</f>
        <v>0</v>
      </c>
      <c r="R565" t="str">
        <f>Tabla2[[#This Row],[QUIEN RECIBE]]&amp;"-"&amp;TEXT(Tabla2[[#This Row],[FECHA]],"dd/mm/yyyy")</f>
        <v>-03/10/2025</v>
      </c>
    </row>
    <row r="566" spans="2:18" ht="20.45" hidden="1" customHeight="1" x14ac:dyDescent="0.25">
      <c r="B566" s="5">
        <v>45933</v>
      </c>
      <c r="C566" s="2" t="str">
        <f>IFERROR(_xlfn.XLOOKUP(Tabla2[[#This Row],[PRODUCTO]],Tabla1[PRODUCTO],Tabla1[CODIGO]),"")</f>
        <v>UE-66</v>
      </c>
      <c r="D566" s="31" t="s">
        <v>476</v>
      </c>
      <c r="E566" s="31" t="str">
        <f>IFERROR(VLOOKUP(Tabla2[[#This Row],[CODIGO]],Tabla1[],3,0),"")</f>
        <v>UTILES DE ESCRITORIO</v>
      </c>
      <c r="F566" s="28" t="str">
        <f>IFERROR(VLOOKUP(Tabla2[[#This Row],[CODIGO]],Tabla1[],5,0),"")</f>
        <v>ALMACEN TICAPAMPA</v>
      </c>
      <c r="G566" s="26" t="str">
        <f>IFERROR(VLOOKUP(Tabla2[[#This Row],[CODIGO]],Tabla1[],6,0),"")</f>
        <v>CAJ</v>
      </c>
      <c r="H566" s="26">
        <f>IFERROR(VLOOKUP(Tabla2[[#This Row],[CODIGO]],Tabla1[],10,0),"")</f>
        <v>1</v>
      </c>
      <c r="I566" s="7">
        <v>2</v>
      </c>
      <c r="J566" s="29" t="s">
        <v>320</v>
      </c>
      <c r="K566" s="26" t="str">
        <f>IFERROR(VLOOKUP(Tabla2[[#This Row],[CODIGO]],Tabla1[],11,0),"")</f>
        <v>COMPRA</v>
      </c>
      <c r="L566" s="67"/>
      <c r="M566" s="67"/>
      <c r="N566" s="70"/>
      <c r="O566" s="70">
        <f>Tabla2[[#This Row],[CANTIDAD]]*Tabla2[[#This Row],[PREC. UNITARIO]]</f>
        <v>0</v>
      </c>
      <c r="R566" t="str">
        <f>Tabla2[[#This Row],[QUIEN RECIBE]]&amp;"-"&amp;TEXT(Tabla2[[#This Row],[FECHA]],"dd/mm/yyyy")</f>
        <v>-03/10/2025</v>
      </c>
    </row>
    <row r="567" spans="2:18" ht="20.45" hidden="1" customHeight="1" x14ac:dyDescent="0.25">
      <c r="B567" s="5">
        <v>45933</v>
      </c>
      <c r="C567" s="2" t="str">
        <f>IFERROR(_xlfn.XLOOKUP(Tabla2[[#This Row],[PRODUCTO]],Tabla1[PRODUCTO],Tabla1[CODIGO]),"")</f>
        <v>UE-66</v>
      </c>
      <c r="D567" s="31" t="s">
        <v>476</v>
      </c>
      <c r="E567" s="31" t="str">
        <f>IFERROR(VLOOKUP(Tabla2[[#This Row],[CODIGO]],Tabla1[],3,0),"")</f>
        <v>UTILES DE ESCRITORIO</v>
      </c>
      <c r="F567" s="28" t="str">
        <f>IFERROR(VLOOKUP(Tabla2[[#This Row],[CODIGO]],Tabla1[],5,0),"")</f>
        <v>ALMACEN TICAPAMPA</v>
      </c>
      <c r="G567" s="26" t="str">
        <f>IFERROR(VLOOKUP(Tabla2[[#This Row],[CODIGO]],Tabla1[],6,0),"")</f>
        <v>CAJ</v>
      </c>
      <c r="H567" s="26">
        <f>IFERROR(VLOOKUP(Tabla2[[#This Row],[CODIGO]],Tabla1[],10,0),"")</f>
        <v>1</v>
      </c>
      <c r="I567" s="7">
        <v>-1</v>
      </c>
      <c r="J567" s="29" t="s">
        <v>420</v>
      </c>
      <c r="K567" s="26" t="str">
        <f>IFERROR(VLOOKUP(Tabla2[[#This Row],[CODIGO]],Tabla1[],11,0),"")</f>
        <v>COMPRA</v>
      </c>
      <c r="L567" s="67" t="s">
        <v>472</v>
      </c>
      <c r="M567" s="67" t="s">
        <v>256</v>
      </c>
      <c r="N567" s="70"/>
      <c r="O567" s="70">
        <f>Tabla2[[#This Row],[CANTIDAD]]*Tabla2[[#This Row],[PREC. UNITARIO]]</f>
        <v>0</v>
      </c>
      <c r="R567" t="str">
        <f>Tabla2[[#This Row],[QUIEN RECIBE]]&amp;"-"&amp;TEXT(Tabla2[[#This Row],[FECHA]],"dd/mm/yyyy")</f>
        <v>SILVA BORDA, ARLETTE NINOSKA-03/10/2025</v>
      </c>
    </row>
    <row r="568" spans="2:18" ht="20.45" hidden="1" customHeight="1" x14ac:dyDescent="0.25">
      <c r="B568" s="5">
        <v>45932</v>
      </c>
      <c r="C568" s="2" t="str">
        <f>IFERROR(_xlfn.XLOOKUP(Tabla2[[#This Row],[PRODUCTO]],Tabla1[PRODUCTO],Tabla1[CODIGO]),"")</f>
        <v>IS-43</v>
      </c>
      <c r="D568" s="31" t="s">
        <v>477</v>
      </c>
      <c r="E568" s="31" t="str">
        <f>IFERROR(VLOOKUP(Tabla2[[#This Row],[CODIGO]],Tabla1[],3,0),"")</f>
        <v>IMPLEMENTOS DE SEGURIDAD</v>
      </c>
      <c r="F568" s="28" t="str">
        <f>IFERROR(VLOOKUP(Tabla2[[#This Row],[CODIGO]],Tabla1[],5,0),"")</f>
        <v>ALMACEN TICAPAMPA</v>
      </c>
      <c r="G568" s="26" t="str">
        <f>IFERROR(VLOOKUP(Tabla2[[#This Row],[CODIGO]],Tabla1[],6,0),"")</f>
        <v>UNI</v>
      </c>
      <c r="H568" s="26">
        <f>IFERROR(VLOOKUP(Tabla2[[#This Row],[CODIGO]],Tabla1[],10,0),"")</f>
        <v>3</v>
      </c>
      <c r="I568" s="7">
        <v>10</v>
      </c>
      <c r="J568" s="29" t="s">
        <v>320</v>
      </c>
      <c r="K568" s="26" t="str">
        <f>IFERROR(VLOOKUP(Tabla2[[#This Row],[CODIGO]],Tabla1[],11,0),"")</f>
        <v>COMPRA</v>
      </c>
      <c r="L568" s="67" t="s">
        <v>236</v>
      </c>
      <c r="M568" s="67" t="s">
        <v>236</v>
      </c>
      <c r="N568" s="70"/>
      <c r="O568" s="70">
        <f>Tabla2[[#This Row],[CANTIDAD]]*Tabla2[[#This Row],[PREC. UNITARIO]]</f>
        <v>0</v>
      </c>
      <c r="R568" t="str">
        <f>Tabla2[[#This Row],[QUIEN RECIBE]]&amp;"-"&amp;TEXT(Tabla2[[#This Row],[FECHA]],"dd/mm/yyyy")</f>
        <v>NAVARRO LOZANO, ANGEL JAROL-02/10/2025</v>
      </c>
    </row>
    <row r="569" spans="2:18" ht="20.45" hidden="1" customHeight="1" x14ac:dyDescent="0.25">
      <c r="B569" s="5">
        <v>45932</v>
      </c>
      <c r="C569" s="2" t="str">
        <f>IFERROR(_xlfn.XLOOKUP(Tabla2[[#This Row],[PRODUCTO]],Tabla1[PRODUCTO],Tabla1[CODIGO]),"")</f>
        <v>ISA-18</v>
      </c>
      <c r="D569" s="31" t="s">
        <v>441</v>
      </c>
      <c r="E569" s="31" t="str">
        <f>IFERROR(VLOOKUP(Tabla2[[#This Row],[CODIGO]],Tabla1[],3,0),"")</f>
        <v>INSTALACIONES SANITARIAS</v>
      </c>
      <c r="F569" s="28" t="str">
        <f>IFERROR(VLOOKUP(Tabla2[[#This Row],[CODIGO]],Tabla1[],5,0),"")</f>
        <v>ALMACEN TICAPAMPA</v>
      </c>
      <c r="G569" s="26" t="str">
        <f>IFERROR(VLOOKUP(Tabla2[[#This Row],[CODIGO]],Tabla1[],6,0),"")</f>
        <v>UNI</v>
      </c>
      <c r="H569" s="26">
        <f>IFERROR(VLOOKUP(Tabla2[[#This Row],[CODIGO]],Tabla1[],10,0),"")</f>
        <v>4</v>
      </c>
      <c r="I569" s="7">
        <v>3</v>
      </c>
      <c r="J569" s="29" t="s">
        <v>320</v>
      </c>
      <c r="K569" s="26" t="str">
        <f>IFERROR(VLOOKUP(Tabla2[[#This Row],[CODIGO]],Tabla1[],11,0),"")</f>
        <v>COMPRA</v>
      </c>
      <c r="L569" s="67" t="s">
        <v>236</v>
      </c>
      <c r="M569" s="67" t="s">
        <v>236</v>
      </c>
      <c r="N569" s="70"/>
      <c r="O569" s="70">
        <f>Tabla2[[#This Row],[CANTIDAD]]*Tabla2[[#This Row],[PREC. UNITARIO]]</f>
        <v>0</v>
      </c>
      <c r="R569" t="str">
        <f>Tabla2[[#This Row],[QUIEN RECIBE]]&amp;"-"&amp;TEXT(Tabla2[[#This Row],[FECHA]],"dd/mm/yyyy")</f>
        <v>NAVARRO LOZANO, ANGEL JAROL-02/10/2025</v>
      </c>
    </row>
    <row r="570" spans="2:18" ht="20.45" hidden="1" customHeight="1" x14ac:dyDescent="0.25">
      <c r="B570" s="5">
        <v>45932</v>
      </c>
      <c r="C570" s="2" t="str">
        <f>IFERROR(_xlfn.XLOOKUP(Tabla2[[#This Row],[PRODUCTO]],Tabla1[PRODUCTO],Tabla1[CODIGO]),"")</f>
        <v>ULI-7</v>
      </c>
      <c r="D570" s="31" t="s">
        <v>478</v>
      </c>
      <c r="E570" s="31" t="str">
        <f>IFERROR(VLOOKUP(Tabla2[[#This Row],[CODIGO]],Tabla1[],3,0),"")</f>
        <v>UTILES LIMPIEZA</v>
      </c>
      <c r="F570" s="28" t="str">
        <f>IFERROR(VLOOKUP(Tabla2[[#This Row],[CODIGO]],Tabla1[],5,0),"")</f>
        <v>ALMACEN TICAPAMPA</v>
      </c>
      <c r="G570" s="26" t="str">
        <f>IFERROR(VLOOKUP(Tabla2[[#This Row],[CODIGO]],Tabla1[],6,0),"")</f>
        <v>UNI</v>
      </c>
      <c r="H570" s="26">
        <f>IFERROR(VLOOKUP(Tabla2[[#This Row],[CODIGO]],Tabla1[],10,0),"")</f>
        <v>100</v>
      </c>
      <c r="I570" s="7">
        <v>100</v>
      </c>
      <c r="J570" s="29" t="s">
        <v>320</v>
      </c>
      <c r="K570" s="26" t="str">
        <f>IFERROR(VLOOKUP(Tabla2[[#This Row],[CODIGO]],Tabla1[],11,0),"")</f>
        <v>COMPRA</v>
      </c>
      <c r="L570" s="67" t="s">
        <v>236</v>
      </c>
      <c r="M570" s="67" t="s">
        <v>236</v>
      </c>
      <c r="N570" s="70"/>
      <c r="O570" s="70">
        <f>Tabla2[[#This Row],[CANTIDAD]]*Tabla2[[#This Row],[PREC. UNITARIO]]</f>
        <v>0</v>
      </c>
      <c r="R570" t="str">
        <f>Tabla2[[#This Row],[QUIEN RECIBE]]&amp;"-"&amp;TEXT(Tabla2[[#This Row],[FECHA]],"dd/mm/yyyy")</f>
        <v>NAVARRO LOZANO, ANGEL JAROL-02/10/2025</v>
      </c>
    </row>
    <row r="571" spans="2:18" ht="20.45" hidden="1" customHeight="1" x14ac:dyDescent="0.25">
      <c r="B571" s="5">
        <v>45933</v>
      </c>
      <c r="C571" s="2" t="str">
        <f>IFERROR(_xlfn.XLOOKUP(Tabla2[[#This Row],[PRODUCTO]],Tabla1[PRODUCTO],Tabla1[CODIGO]),"")</f>
        <v>IS-44</v>
      </c>
      <c r="D571" s="31" t="s">
        <v>479</v>
      </c>
      <c r="E571" s="31" t="str">
        <f>IFERROR(VLOOKUP(Tabla2[[#This Row],[CODIGO]],Tabla1[],3,0),"")</f>
        <v>IMPLEMENTOS DE SEGURIDAD</v>
      </c>
      <c r="F571" s="28" t="str">
        <f>IFERROR(VLOOKUP(Tabla2[[#This Row],[CODIGO]],Tabla1[],5,0),"")</f>
        <v>ALMACEN TICAPAMPA</v>
      </c>
      <c r="G571" s="26" t="str">
        <f>IFERROR(VLOOKUP(Tabla2[[#This Row],[CODIGO]],Tabla1[],6,0),"")</f>
        <v>UNI</v>
      </c>
      <c r="H571" s="26">
        <f>IFERROR(VLOOKUP(Tabla2[[#This Row],[CODIGO]],Tabla1[],10,0),"")</f>
        <v>6</v>
      </c>
      <c r="I571" s="7">
        <v>12</v>
      </c>
      <c r="J571" s="29" t="s">
        <v>320</v>
      </c>
      <c r="K571" s="26" t="str">
        <f>IFERROR(VLOOKUP(Tabla2[[#This Row],[CODIGO]],Tabla1[],11,0),"")</f>
        <v>ALMACEN CENTRAL</v>
      </c>
      <c r="L571" s="67" t="s">
        <v>236</v>
      </c>
      <c r="M571" s="67" t="s">
        <v>236</v>
      </c>
      <c r="N571" s="70"/>
      <c r="O571" s="70">
        <f>Tabla2[[#This Row],[CANTIDAD]]*Tabla2[[#This Row],[PREC. UNITARIO]]</f>
        <v>0</v>
      </c>
      <c r="R571" t="str">
        <f>Tabla2[[#This Row],[QUIEN RECIBE]]&amp;"-"&amp;TEXT(Tabla2[[#This Row],[FECHA]],"dd/mm/yyyy")</f>
        <v>NAVARRO LOZANO, ANGEL JAROL-03/10/2025</v>
      </c>
    </row>
    <row r="572" spans="2:18" ht="20.45" hidden="1" customHeight="1" x14ac:dyDescent="0.25">
      <c r="B572" s="5">
        <v>45933</v>
      </c>
      <c r="C572" s="2" t="str">
        <f>IFERROR(_xlfn.XLOOKUP(Tabla2[[#This Row],[PRODUCTO]],Tabla1[PRODUCTO],Tabla1[CODIGO]),"")</f>
        <v>AGU-1</v>
      </c>
      <c r="D572" s="31" t="s">
        <v>357</v>
      </c>
      <c r="E572" s="31" t="str">
        <f>IFERROR(VLOOKUP(Tabla2[[#This Row],[CODIGO]],Tabla1[],3,0),"")</f>
        <v>AGUA</v>
      </c>
      <c r="F572" s="28" t="str">
        <f>IFERROR(VLOOKUP(Tabla2[[#This Row],[CODIGO]],Tabla1[],5,0),"")</f>
        <v>ALMACEN TICAPAMPA</v>
      </c>
      <c r="G572" s="26" t="str">
        <f>IFERROR(VLOOKUP(Tabla2[[#This Row],[CODIGO]],Tabla1[],6,0),"")</f>
        <v>UNI</v>
      </c>
      <c r="H572" s="26">
        <f>IFERROR(VLOOKUP(Tabla2[[#This Row],[CODIGO]],Tabla1[],10,0),"")</f>
        <v>9</v>
      </c>
      <c r="I572" s="7">
        <v>-1</v>
      </c>
      <c r="J572" s="29" t="s">
        <v>350</v>
      </c>
      <c r="K572" s="26" t="str">
        <f>IFERROR(VLOOKUP(Tabla2[[#This Row],[CODIGO]],Tabla1[],11,0),"")</f>
        <v>COMPRA</v>
      </c>
      <c r="L572" s="67" t="s">
        <v>236</v>
      </c>
      <c r="M572" s="67" t="s">
        <v>307</v>
      </c>
      <c r="N572" s="70">
        <v>8</v>
      </c>
      <c r="O572" s="70">
        <f>Tabla2[[#This Row],[CANTIDAD]]*Tabla2[[#This Row],[PREC. UNITARIO]]</f>
        <v>-8</v>
      </c>
      <c r="R572" t="str">
        <f>Tabla2[[#This Row],[QUIEN RECIBE]]&amp;"-"&amp;TEXT(Tabla2[[#This Row],[FECHA]],"dd/mm/yyyy")</f>
        <v>CACERES CALACHUA, YEYSON JORGE-03/10/2025</v>
      </c>
    </row>
    <row r="573" spans="2:18" ht="20.45" hidden="1" customHeight="1" x14ac:dyDescent="0.25">
      <c r="B573" s="5">
        <v>45933</v>
      </c>
      <c r="C573" s="2" t="str">
        <f>IFERROR(_xlfn.XLOOKUP(Tabla2[[#This Row],[PRODUCTO]],Tabla1[PRODUCTO],Tabla1[CODIGO]),"")</f>
        <v>IS-44</v>
      </c>
      <c r="D573" s="31" t="s">
        <v>479</v>
      </c>
      <c r="E573" s="31" t="str">
        <f>IFERROR(VLOOKUP(Tabla2[[#This Row],[CODIGO]],Tabla1[],3,0),"")</f>
        <v>IMPLEMENTOS DE SEGURIDAD</v>
      </c>
      <c r="F573" s="28" t="str">
        <f>IFERROR(VLOOKUP(Tabla2[[#This Row],[CODIGO]],Tabla1[],5,0),"")</f>
        <v>ALMACEN TICAPAMPA</v>
      </c>
      <c r="G573" s="26" t="str">
        <f>IFERROR(VLOOKUP(Tabla2[[#This Row],[CODIGO]],Tabla1[],6,0),"")</f>
        <v>UNI</v>
      </c>
      <c r="H573" s="26">
        <f>IFERROR(VLOOKUP(Tabla2[[#This Row],[CODIGO]],Tabla1[],10,0),"")</f>
        <v>6</v>
      </c>
      <c r="I573" s="7">
        <v>-1</v>
      </c>
      <c r="J573" s="29" t="s">
        <v>480</v>
      </c>
      <c r="K573" s="26" t="str">
        <f>IFERROR(VLOOKUP(Tabla2[[#This Row],[CODIGO]],Tabla1[],11,0),"")</f>
        <v>ALMACEN CENTRAL</v>
      </c>
      <c r="L573" s="67" t="s">
        <v>236</v>
      </c>
      <c r="M573" s="67" t="s">
        <v>302</v>
      </c>
      <c r="N573" s="70"/>
      <c r="O573" s="70">
        <f>Tabla2[[#This Row],[CANTIDAD]]*Tabla2[[#This Row],[PREC. UNITARIO]]</f>
        <v>0</v>
      </c>
      <c r="R573" t="str">
        <f>Tabla2[[#This Row],[QUIEN RECIBE]]&amp;"-"&amp;TEXT(Tabla2[[#This Row],[FECHA]],"dd/mm/yyyy")</f>
        <v>QUISPE LIMACHE, ROGELIO -03/10/2025</v>
      </c>
    </row>
    <row r="574" spans="2:18" ht="20.45" hidden="1" customHeight="1" x14ac:dyDescent="0.25">
      <c r="B574" s="5">
        <v>45933</v>
      </c>
      <c r="C574" s="2" t="str">
        <f>IFERROR(_xlfn.XLOOKUP(Tabla2[[#This Row],[PRODUCTO]],Tabla1[PRODUCTO],Tabla1[CODIGO]),"")</f>
        <v>IS-26</v>
      </c>
      <c r="D574" s="31" t="s">
        <v>86</v>
      </c>
      <c r="E574" s="31" t="str">
        <f>IFERROR(VLOOKUP(Tabla2[[#This Row],[CODIGO]],Tabla1[],3,0),"")</f>
        <v>IMPLEMENTOS DE SEGURIDAD</v>
      </c>
      <c r="F574" s="28" t="str">
        <f>IFERROR(VLOOKUP(Tabla2[[#This Row],[CODIGO]],Tabla1[],5,0),"")</f>
        <v>ALMACEN TICAPAMPA</v>
      </c>
      <c r="G574" s="26" t="str">
        <f>IFERROR(VLOOKUP(Tabla2[[#This Row],[CODIGO]],Tabla1[],6,0),"")</f>
        <v>UNI</v>
      </c>
      <c r="H574" s="26">
        <f>IFERROR(VLOOKUP(Tabla2[[#This Row],[CODIGO]],Tabla1[],10,0),"")</f>
        <v>16</v>
      </c>
      <c r="I574" s="7">
        <v>-1</v>
      </c>
      <c r="J574" s="29" t="s">
        <v>480</v>
      </c>
      <c r="K574" s="26" t="str">
        <f>IFERROR(VLOOKUP(Tabla2[[#This Row],[CODIGO]],Tabla1[],11,0),"")</f>
        <v>COMPRA</v>
      </c>
      <c r="L574" s="67" t="s">
        <v>236</v>
      </c>
      <c r="M574" s="67" t="s">
        <v>302</v>
      </c>
      <c r="N574" s="70"/>
      <c r="O574" s="70">
        <f>Tabla2[[#This Row],[CANTIDAD]]*Tabla2[[#This Row],[PREC. UNITARIO]]</f>
        <v>0</v>
      </c>
      <c r="R574" t="str">
        <f>Tabla2[[#This Row],[QUIEN RECIBE]]&amp;"-"&amp;TEXT(Tabla2[[#This Row],[FECHA]],"dd/mm/yyyy")</f>
        <v>QUISPE LIMACHE, ROGELIO -03/10/2025</v>
      </c>
    </row>
    <row r="575" spans="2:18" ht="20.45" hidden="1" customHeight="1" x14ac:dyDescent="0.25">
      <c r="B575" s="5">
        <v>45933</v>
      </c>
      <c r="C575" s="2" t="str">
        <f>IFERROR(_xlfn.XLOOKUP(Tabla2[[#This Row],[PRODUCTO]],Tabla1[PRODUCTO],Tabla1[CODIGO]),"")</f>
        <v>IS-26</v>
      </c>
      <c r="D575" s="31" t="s">
        <v>86</v>
      </c>
      <c r="E575" s="31" t="str">
        <f>IFERROR(VLOOKUP(Tabla2[[#This Row],[CODIGO]],Tabla1[],3,0),"")</f>
        <v>IMPLEMENTOS DE SEGURIDAD</v>
      </c>
      <c r="F575" s="28" t="str">
        <f>IFERROR(VLOOKUP(Tabla2[[#This Row],[CODIGO]],Tabla1[],5,0),"")</f>
        <v>ALMACEN TICAPAMPA</v>
      </c>
      <c r="G575" s="26" t="str">
        <f>IFERROR(VLOOKUP(Tabla2[[#This Row],[CODIGO]],Tabla1[],6,0),"")</f>
        <v>UNI</v>
      </c>
      <c r="H575" s="26">
        <f>IFERROR(VLOOKUP(Tabla2[[#This Row],[CODIGO]],Tabla1[],10,0),"")</f>
        <v>16</v>
      </c>
      <c r="I575" s="7">
        <v>-1</v>
      </c>
      <c r="J575" s="29" t="s">
        <v>480</v>
      </c>
      <c r="K575" s="26" t="str">
        <f>IFERROR(VLOOKUP(Tabla2[[#This Row],[CODIGO]],Tabla1[],11,0),"")</f>
        <v>COMPRA</v>
      </c>
      <c r="L575" s="67" t="s">
        <v>236</v>
      </c>
      <c r="M575" s="67" t="s">
        <v>265</v>
      </c>
      <c r="N575" s="70"/>
      <c r="O575" s="70">
        <f>Tabla2[[#This Row],[CANTIDAD]]*Tabla2[[#This Row],[PREC. UNITARIO]]</f>
        <v>0</v>
      </c>
      <c r="R575" t="str">
        <f>Tabla2[[#This Row],[QUIEN RECIBE]]&amp;"-"&amp;TEXT(Tabla2[[#This Row],[FECHA]],"dd/mm/yyyy")</f>
        <v>ORDOÑEZ CONDORI, GILBERTO -03/10/2025</v>
      </c>
    </row>
    <row r="576" spans="2:18" ht="20.45" hidden="1" customHeight="1" x14ac:dyDescent="0.25">
      <c r="B576" s="5">
        <v>45933</v>
      </c>
      <c r="C576" s="2" t="str">
        <f>IFERROR(_xlfn.XLOOKUP(Tabla2[[#This Row],[PRODUCTO]],Tabla1[PRODUCTO],Tabla1[CODIGO]),"")</f>
        <v>IS-26</v>
      </c>
      <c r="D576" s="31" t="s">
        <v>86</v>
      </c>
      <c r="E576" s="31" t="str">
        <f>IFERROR(VLOOKUP(Tabla2[[#This Row],[CODIGO]],Tabla1[],3,0),"")</f>
        <v>IMPLEMENTOS DE SEGURIDAD</v>
      </c>
      <c r="F576" s="28" t="str">
        <f>IFERROR(VLOOKUP(Tabla2[[#This Row],[CODIGO]],Tabla1[],5,0),"")</f>
        <v>ALMACEN TICAPAMPA</v>
      </c>
      <c r="G576" s="26" t="str">
        <f>IFERROR(VLOOKUP(Tabla2[[#This Row],[CODIGO]],Tabla1[],6,0),"")</f>
        <v>UNI</v>
      </c>
      <c r="H576" s="26">
        <f>IFERROR(VLOOKUP(Tabla2[[#This Row],[CODIGO]],Tabla1[],10,0),"")</f>
        <v>16</v>
      </c>
      <c r="I576" s="7">
        <v>-1</v>
      </c>
      <c r="J576" s="29" t="s">
        <v>320</v>
      </c>
      <c r="K576" s="26" t="str">
        <f>IFERROR(VLOOKUP(Tabla2[[#This Row],[CODIGO]],Tabla1[],11,0),"")</f>
        <v>COMPRA</v>
      </c>
      <c r="L576" s="67"/>
      <c r="M576" s="67"/>
      <c r="N576" s="70"/>
      <c r="O576" s="70">
        <f>Tabla2[[#This Row],[CANTIDAD]]*Tabla2[[#This Row],[PREC. UNITARIO]]</f>
        <v>0</v>
      </c>
      <c r="R576" t="str">
        <f>Tabla2[[#This Row],[QUIEN RECIBE]]&amp;"-"&amp;TEXT(Tabla2[[#This Row],[FECHA]],"dd/mm/yyyy")</f>
        <v>-03/10/2025</v>
      </c>
    </row>
    <row r="577" spans="2:18" ht="20.45" hidden="1" customHeight="1" x14ac:dyDescent="0.25">
      <c r="B577" s="5">
        <v>45933</v>
      </c>
      <c r="C577" s="2" t="str">
        <f>IFERROR(_xlfn.XLOOKUP(Tabla2[[#This Row],[PRODUCTO]],Tabla1[PRODUCTO],Tabla1[CODIGO]),"")</f>
        <v>IS-43</v>
      </c>
      <c r="D577" s="31" t="s">
        <v>477</v>
      </c>
      <c r="E577" s="31" t="str">
        <f>IFERROR(VLOOKUP(Tabla2[[#This Row],[CODIGO]],Tabla1[],3,0),"")</f>
        <v>IMPLEMENTOS DE SEGURIDAD</v>
      </c>
      <c r="F577" s="28" t="str">
        <f>IFERROR(VLOOKUP(Tabla2[[#This Row],[CODIGO]],Tabla1[],5,0),"")</f>
        <v>ALMACEN TICAPAMPA</v>
      </c>
      <c r="G577" s="26" t="str">
        <f>IFERROR(VLOOKUP(Tabla2[[#This Row],[CODIGO]],Tabla1[],6,0),"")</f>
        <v>UNI</v>
      </c>
      <c r="H577" s="26">
        <f>IFERROR(VLOOKUP(Tabla2[[#This Row],[CODIGO]],Tabla1[],10,0),"")</f>
        <v>3</v>
      </c>
      <c r="I577" s="7">
        <v>-1</v>
      </c>
      <c r="J577" s="29" t="s">
        <v>422</v>
      </c>
      <c r="K577" s="26" t="str">
        <f>IFERROR(VLOOKUP(Tabla2[[#This Row],[CODIGO]],Tabla1[],11,0),"")</f>
        <v>COMPRA</v>
      </c>
      <c r="L577" s="67" t="s">
        <v>236</v>
      </c>
      <c r="M577" s="67" t="s">
        <v>236</v>
      </c>
      <c r="N577" s="70"/>
      <c r="O577" s="70">
        <f>Tabla2[[#This Row],[CANTIDAD]]*Tabla2[[#This Row],[PREC. UNITARIO]]</f>
        <v>0</v>
      </c>
      <c r="R577" t="str">
        <f>Tabla2[[#This Row],[QUIEN RECIBE]]&amp;"-"&amp;TEXT(Tabla2[[#This Row],[FECHA]],"dd/mm/yyyy")</f>
        <v>NAVARRO LOZANO, ANGEL JAROL-03/10/2025</v>
      </c>
    </row>
    <row r="578" spans="2:18" ht="20.45" hidden="1" customHeight="1" x14ac:dyDescent="0.25">
      <c r="B578" s="5">
        <v>45933</v>
      </c>
      <c r="C578" s="2" t="str">
        <f>IFERROR(_xlfn.XLOOKUP(Tabla2[[#This Row],[PRODUCTO]],Tabla1[PRODUCTO],Tabla1[CODIGO]),"")</f>
        <v>UE-67</v>
      </c>
      <c r="D578" s="31" t="s">
        <v>481</v>
      </c>
      <c r="E578" s="31" t="str">
        <f>IFERROR(VLOOKUP(Tabla2[[#This Row],[CODIGO]],Tabla1[],3,0),"")</f>
        <v>UTILES DE ESCRITORIO</v>
      </c>
      <c r="F578" s="28" t="str">
        <f>IFERROR(VLOOKUP(Tabla2[[#This Row],[CODIGO]],Tabla1[],5,0),"")</f>
        <v>ALMACEN TICAPAMPA</v>
      </c>
      <c r="G578" s="26" t="str">
        <f>IFERROR(VLOOKUP(Tabla2[[#This Row],[CODIGO]],Tabla1[],6,0),"")</f>
        <v>UNI</v>
      </c>
      <c r="H578" s="26">
        <f>IFERROR(VLOOKUP(Tabla2[[#This Row],[CODIGO]],Tabla1[],10,0),"")</f>
        <v>0</v>
      </c>
      <c r="I578" s="7">
        <v>1</v>
      </c>
      <c r="J578" s="29" t="s">
        <v>320</v>
      </c>
      <c r="K578" s="26" t="str">
        <f>IFERROR(VLOOKUP(Tabla2[[#This Row],[CODIGO]],Tabla1[],11,0),"")</f>
        <v>COMPRA</v>
      </c>
      <c r="L578" s="67"/>
      <c r="M578" s="67"/>
      <c r="N578" s="70"/>
      <c r="O578" s="70">
        <f>Tabla2[[#This Row],[CANTIDAD]]*Tabla2[[#This Row],[PREC. UNITARIO]]</f>
        <v>0</v>
      </c>
      <c r="R578" t="str">
        <f>Tabla2[[#This Row],[QUIEN RECIBE]]&amp;"-"&amp;TEXT(Tabla2[[#This Row],[FECHA]],"dd/mm/yyyy")</f>
        <v>-03/10/2025</v>
      </c>
    </row>
    <row r="579" spans="2:18" ht="20.45" hidden="1" customHeight="1" x14ac:dyDescent="0.25">
      <c r="B579" s="5">
        <v>45933</v>
      </c>
      <c r="C579" s="2" t="str">
        <f>IFERROR(_xlfn.XLOOKUP(Tabla2[[#This Row],[PRODUCTO]],Tabla1[PRODUCTO],Tabla1[CODIGO]),"")</f>
        <v>UE-68</v>
      </c>
      <c r="D579" s="31" t="s">
        <v>482</v>
      </c>
      <c r="E579" s="31" t="str">
        <f>IFERROR(VLOOKUP(Tabla2[[#This Row],[CODIGO]],Tabla1[],3,0),"")</f>
        <v>UTILES DE ESCRITORIO</v>
      </c>
      <c r="F579" s="28" t="str">
        <f>IFERROR(VLOOKUP(Tabla2[[#This Row],[CODIGO]],Tabla1[],5,0),"")</f>
        <v>ALMACEN TICAPAMPA</v>
      </c>
      <c r="G579" s="26" t="str">
        <f>IFERROR(VLOOKUP(Tabla2[[#This Row],[CODIGO]],Tabla1[],6,0),"")</f>
        <v>UNI</v>
      </c>
      <c r="H579" s="26">
        <f>IFERROR(VLOOKUP(Tabla2[[#This Row],[CODIGO]],Tabla1[],10,0),"")</f>
        <v>0</v>
      </c>
      <c r="I579" s="7">
        <v>1</v>
      </c>
      <c r="J579" s="29" t="s">
        <v>320</v>
      </c>
      <c r="K579" s="26" t="str">
        <f>IFERROR(VLOOKUP(Tabla2[[#This Row],[CODIGO]],Tabla1[],11,0),"")</f>
        <v>COMPRA</v>
      </c>
      <c r="L579" s="67"/>
      <c r="M579" s="67"/>
      <c r="N579" s="70"/>
      <c r="O579" s="70">
        <f>Tabla2[[#This Row],[CANTIDAD]]*Tabla2[[#This Row],[PREC. UNITARIO]]</f>
        <v>0</v>
      </c>
      <c r="R579" t="str">
        <f>Tabla2[[#This Row],[QUIEN RECIBE]]&amp;"-"&amp;TEXT(Tabla2[[#This Row],[FECHA]],"dd/mm/yyyy")</f>
        <v>-03/10/2025</v>
      </c>
    </row>
    <row r="580" spans="2:18" ht="20.45" hidden="1" customHeight="1" x14ac:dyDescent="0.25">
      <c r="B580" s="5">
        <v>45933</v>
      </c>
      <c r="C580" s="2" t="str">
        <f>IFERROR(_xlfn.XLOOKUP(Tabla2[[#This Row],[PRODUCTO]],Tabla1[PRODUCTO],Tabla1[CODIGO]),"")</f>
        <v>UE-69</v>
      </c>
      <c r="D580" s="31" t="s">
        <v>483</v>
      </c>
      <c r="E580" s="31" t="str">
        <f>IFERROR(VLOOKUP(Tabla2[[#This Row],[CODIGO]],Tabla1[],3,0),"")</f>
        <v>UTILES DE ESCRITORIO</v>
      </c>
      <c r="F580" s="28" t="str">
        <f>IFERROR(VLOOKUP(Tabla2[[#This Row],[CODIGO]],Tabla1[],5,0),"")</f>
        <v>ALMACEN TICAPAMPA</v>
      </c>
      <c r="G580" s="26" t="str">
        <f>IFERROR(VLOOKUP(Tabla2[[#This Row],[CODIGO]],Tabla1[],6,0),"")</f>
        <v>UNI</v>
      </c>
      <c r="H580" s="26">
        <f>IFERROR(VLOOKUP(Tabla2[[#This Row],[CODIGO]],Tabla1[],10,0),"")</f>
        <v>0</v>
      </c>
      <c r="I580" s="7">
        <v>1</v>
      </c>
      <c r="J580" s="29" t="s">
        <v>320</v>
      </c>
      <c r="K580" s="26" t="str">
        <f>IFERROR(VLOOKUP(Tabla2[[#This Row],[CODIGO]],Tabla1[],11,0),"")</f>
        <v>COMPRA</v>
      </c>
      <c r="L580" s="67"/>
      <c r="M580" s="67"/>
      <c r="N580" s="70"/>
      <c r="O580" s="70">
        <f>Tabla2[[#This Row],[CANTIDAD]]*Tabla2[[#This Row],[PREC. UNITARIO]]</f>
        <v>0</v>
      </c>
      <c r="R580" t="str">
        <f>Tabla2[[#This Row],[QUIEN RECIBE]]&amp;"-"&amp;TEXT(Tabla2[[#This Row],[FECHA]],"dd/mm/yyyy")</f>
        <v>-03/10/2025</v>
      </c>
    </row>
    <row r="581" spans="2:18" ht="20.45" hidden="1" customHeight="1" x14ac:dyDescent="0.25">
      <c r="B581" s="5">
        <v>45933</v>
      </c>
      <c r="C581" s="2" t="str">
        <f>IFERROR(_xlfn.XLOOKUP(Tabla2[[#This Row],[PRODUCTO]],Tabla1[PRODUCTO],Tabla1[CODIGO]),"")</f>
        <v>UE-70</v>
      </c>
      <c r="D581" s="31" t="s">
        <v>484</v>
      </c>
      <c r="E581" s="31" t="str">
        <f>IFERROR(VLOOKUP(Tabla2[[#This Row],[CODIGO]],Tabla1[],3,0),"")</f>
        <v>UTILES DE ESCRITORIO</v>
      </c>
      <c r="F581" s="28" t="str">
        <f>IFERROR(VLOOKUP(Tabla2[[#This Row],[CODIGO]],Tabla1[],5,0),"")</f>
        <v>ALMACEN TICAPAMPA</v>
      </c>
      <c r="G581" s="26" t="str">
        <f>IFERROR(VLOOKUP(Tabla2[[#This Row],[CODIGO]],Tabla1[],6,0),"")</f>
        <v>UNI</v>
      </c>
      <c r="H581" s="26">
        <f>IFERROR(VLOOKUP(Tabla2[[#This Row],[CODIGO]],Tabla1[],10,0),"")</f>
        <v>0</v>
      </c>
      <c r="I581" s="7">
        <v>1</v>
      </c>
      <c r="J581" s="29" t="s">
        <v>320</v>
      </c>
      <c r="K581" s="26" t="str">
        <f>IFERROR(VLOOKUP(Tabla2[[#This Row],[CODIGO]],Tabla1[],11,0),"")</f>
        <v>COMPRA</v>
      </c>
      <c r="L581" s="67"/>
      <c r="M581" s="67"/>
      <c r="N581" s="70"/>
      <c r="O581" s="70">
        <f>Tabla2[[#This Row],[CANTIDAD]]*Tabla2[[#This Row],[PREC. UNITARIO]]</f>
        <v>0</v>
      </c>
      <c r="R581" t="str">
        <f>Tabla2[[#This Row],[QUIEN RECIBE]]&amp;"-"&amp;TEXT(Tabla2[[#This Row],[FECHA]],"dd/mm/yyyy")</f>
        <v>-03/10/2025</v>
      </c>
    </row>
    <row r="582" spans="2:18" ht="20.45" hidden="1" customHeight="1" x14ac:dyDescent="0.25">
      <c r="B582" s="5">
        <v>45933</v>
      </c>
      <c r="C582" s="2" t="str">
        <f>IFERROR(_xlfn.XLOOKUP(Tabla2[[#This Row],[PRODUCTO]],Tabla1[PRODUCTO],Tabla1[CODIGO]),"")</f>
        <v>UE-67</v>
      </c>
      <c r="D582" s="31" t="s">
        <v>481</v>
      </c>
      <c r="E582" s="31" t="str">
        <f>IFERROR(VLOOKUP(Tabla2[[#This Row],[CODIGO]],Tabla1[],3,0),"")</f>
        <v>UTILES DE ESCRITORIO</v>
      </c>
      <c r="F582" s="28" t="str">
        <f>IFERROR(VLOOKUP(Tabla2[[#This Row],[CODIGO]],Tabla1[],5,0),"")</f>
        <v>ALMACEN TICAPAMPA</v>
      </c>
      <c r="G582" s="26" t="str">
        <f>IFERROR(VLOOKUP(Tabla2[[#This Row],[CODIGO]],Tabla1[],6,0),"")</f>
        <v>UNI</v>
      </c>
      <c r="H582" s="26">
        <f>IFERROR(VLOOKUP(Tabla2[[#This Row],[CODIGO]],Tabla1[],10,0),"")</f>
        <v>0</v>
      </c>
      <c r="I582" s="7">
        <v>-1</v>
      </c>
      <c r="J582" s="29" t="s">
        <v>383</v>
      </c>
      <c r="K582" s="26" t="str">
        <f>IFERROR(VLOOKUP(Tabla2[[#This Row],[CODIGO]],Tabla1[],11,0),"")</f>
        <v>COMPRA</v>
      </c>
      <c r="L582" s="67" t="s">
        <v>236</v>
      </c>
      <c r="M582" s="67" t="s">
        <v>472</v>
      </c>
      <c r="N582" s="70"/>
      <c r="O582" s="70">
        <f>Tabla2[[#This Row],[CANTIDAD]]*Tabla2[[#This Row],[PREC. UNITARIO]]</f>
        <v>0</v>
      </c>
      <c r="R582" t="str">
        <f>Tabla2[[#This Row],[QUIEN RECIBE]]&amp;"-"&amp;TEXT(Tabla2[[#This Row],[FECHA]],"dd/mm/yyyy")</f>
        <v>ACUACHI LANCHIPA ERNESTO ALONSO-03/10/2025</v>
      </c>
    </row>
    <row r="583" spans="2:18" ht="20.45" hidden="1" customHeight="1" x14ac:dyDescent="0.25">
      <c r="B583" s="5">
        <v>45933</v>
      </c>
      <c r="C583" s="2" t="str">
        <f>IFERROR(_xlfn.XLOOKUP(Tabla2[[#This Row],[PRODUCTO]],Tabla1[PRODUCTO],Tabla1[CODIGO]),"")</f>
        <v>UE-68</v>
      </c>
      <c r="D583" s="31" t="s">
        <v>482</v>
      </c>
      <c r="E583" s="31" t="str">
        <f>IFERROR(VLOOKUP(Tabla2[[#This Row],[CODIGO]],Tabla1[],3,0),"")</f>
        <v>UTILES DE ESCRITORIO</v>
      </c>
      <c r="F583" s="28" t="str">
        <f>IFERROR(VLOOKUP(Tabla2[[#This Row],[CODIGO]],Tabla1[],5,0),"")</f>
        <v>ALMACEN TICAPAMPA</v>
      </c>
      <c r="G583" s="26" t="str">
        <f>IFERROR(VLOOKUP(Tabla2[[#This Row],[CODIGO]],Tabla1[],6,0),"")</f>
        <v>UNI</v>
      </c>
      <c r="H583" s="26">
        <f>IFERROR(VLOOKUP(Tabla2[[#This Row],[CODIGO]],Tabla1[],10,0),"")</f>
        <v>0</v>
      </c>
      <c r="I583" s="7">
        <v>-1</v>
      </c>
      <c r="J583" s="29" t="s">
        <v>383</v>
      </c>
      <c r="K583" s="26" t="str">
        <f>IFERROR(VLOOKUP(Tabla2[[#This Row],[CODIGO]],Tabla1[],11,0),"")</f>
        <v>COMPRA</v>
      </c>
      <c r="L583" s="67" t="s">
        <v>236</v>
      </c>
      <c r="M583" s="67" t="s">
        <v>472</v>
      </c>
      <c r="N583" s="70"/>
      <c r="O583" s="70">
        <f>Tabla2[[#This Row],[CANTIDAD]]*Tabla2[[#This Row],[PREC. UNITARIO]]</f>
        <v>0</v>
      </c>
      <c r="R583" t="str">
        <f>Tabla2[[#This Row],[QUIEN RECIBE]]&amp;"-"&amp;TEXT(Tabla2[[#This Row],[FECHA]],"dd/mm/yyyy")</f>
        <v>ACUACHI LANCHIPA ERNESTO ALONSO-03/10/2025</v>
      </c>
    </row>
    <row r="584" spans="2:18" ht="20.45" hidden="1" customHeight="1" x14ac:dyDescent="0.25">
      <c r="B584" s="5">
        <v>45933</v>
      </c>
      <c r="C584" s="2" t="str">
        <f>IFERROR(_xlfn.XLOOKUP(Tabla2[[#This Row],[PRODUCTO]],Tabla1[PRODUCTO],Tabla1[CODIGO]),"")</f>
        <v>UE-69</v>
      </c>
      <c r="D584" s="31" t="s">
        <v>483</v>
      </c>
      <c r="E584" s="31" t="str">
        <f>IFERROR(VLOOKUP(Tabla2[[#This Row],[CODIGO]],Tabla1[],3,0),"")</f>
        <v>UTILES DE ESCRITORIO</v>
      </c>
      <c r="F584" s="28" t="str">
        <f>IFERROR(VLOOKUP(Tabla2[[#This Row],[CODIGO]],Tabla1[],5,0),"")</f>
        <v>ALMACEN TICAPAMPA</v>
      </c>
      <c r="G584" s="26" t="str">
        <f>IFERROR(VLOOKUP(Tabla2[[#This Row],[CODIGO]],Tabla1[],6,0),"")</f>
        <v>UNI</v>
      </c>
      <c r="H584" s="26">
        <f>IFERROR(VLOOKUP(Tabla2[[#This Row],[CODIGO]],Tabla1[],10,0),"")</f>
        <v>0</v>
      </c>
      <c r="I584" s="7">
        <v>-1</v>
      </c>
      <c r="J584" s="29" t="s">
        <v>383</v>
      </c>
      <c r="K584" s="26" t="str">
        <f>IFERROR(VLOOKUP(Tabla2[[#This Row],[CODIGO]],Tabla1[],11,0),"")</f>
        <v>COMPRA</v>
      </c>
      <c r="L584" s="67" t="s">
        <v>236</v>
      </c>
      <c r="M584" s="67" t="s">
        <v>472</v>
      </c>
      <c r="N584" s="70"/>
      <c r="O584" s="70">
        <f>Tabla2[[#This Row],[CANTIDAD]]*Tabla2[[#This Row],[PREC. UNITARIO]]</f>
        <v>0</v>
      </c>
      <c r="R584" t="str">
        <f>Tabla2[[#This Row],[QUIEN RECIBE]]&amp;"-"&amp;TEXT(Tabla2[[#This Row],[FECHA]],"dd/mm/yyyy")</f>
        <v>ACUACHI LANCHIPA ERNESTO ALONSO-03/10/2025</v>
      </c>
    </row>
    <row r="585" spans="2:18" ht="20.45" hidden="1" customHeight="1" x14ac:dyDescent="0.25">
      <c r="B585" s="5">
        <v>45933</v>
      </c>
      <c r="C585" s="2" t="str">
        <f>IFERROR(_xlfn.XLOOKUP(Tabla2[[#This Row],[PRODUCTO]],Tabla1[PRODUCTO],Tabla1[CODIGO]),"")</f>
        <v>UE-70</v>
      </c>
      <c r="D585" s="31" t="s">
        <v>484</v>
      </c>
      <c r="E585" s="31" t="str">
        <f>IFERROR(VLOOKUP(Tabla2[[#This Row],[CODIGO]],Tabla1[],3,0),"")</f>
        <v>UTILES DE ESCRITORIO</v>
      </c>
      <c r="F585" s="28" t="str">
        <f>IFERROR(VLOOKUP(Tabla2[[#This Row],[CODIGO]],Tabla1[],5,0),"")</f>
        <v>ALMACEN TICAPAMPA</v>
      </c>
      <c r="G585" s="26" t="str">
        <f>IFERROR(VLOOKUP(Tabla2[[#This Row],[CODIGO]],Tabla1[],6,0),"")</f>
        <v>UNI</v>
      </c>
      <c r="H585" s="26">
        <f>IFERROR(VLOOKUP(Tabla2[[#This Row],[CODIGO]],Tabla1[],10,0),"")</f>
        <v>0</v>
      </c>
      <c r="I585" s="7">
        <v>-1</v>
      </c>
      <c r="J585" s="29" t="s">
        <v>383</v>
      </c>
      <c r="K585" s="26" t="str">
        <f>IFERROR(VLOOKUP(Tabla2[[#This Row],[CODIGO]],Tabla1[],11,0),"")</f>
        <v>COMPRA</v>
      </c>
      <c r="L585" s="67" t="s">
        <v>236</v>
      </c>
      <c r="M585" s="67" t="s">
        <v>472</v>
      </c>
      <c r="N585" s="70"/>
      <c r="O585" s="70">
        <f>Tabla2[[#This Row],[CANTIDAD]]*Tabla2[[#This Row],[PREC. UNITARIO]]</f>
        <v>0</v>
      </c>
      <c r="R585" t="str">
        <f>Tabla2[[#This Row],[QUIEN RECIBE]]&amp;"-"&amp;TEXT(Tabla2[[#This Row],[FECHA]],"dd/mm/yyyy")</f>
        <v>ACUACHI LANCHIPA ERNESTO ALONSO-03/10/2025</v>
      </c>
    </row>
    <row r="586" spans="2:18" ht="20.45" hidden="1" customHeight="1" x14ac:dyDescent="0.25">
      <c r="B586" s="5">
        <v>45933</v>
      </c>
      <c r="C586" s="2" t="str">
        <f>IFERROR(_xlfn.XLOOKUP(Tabla2[[#This Row],[PRODUCTO]],Tabla1[PRODUCTO],Tabla1[CODIGO]),"")</f>
        <v>UE-57</v>
      </c>
      <c r="D586" s="31" t="s">
        <v>368</v>
      </c>
      <c r="E586" s="31" t="str">
        <f>IFERROR(VLOOKUP(Tabla2[[#This Row],[CODIGO]],Tabla1[],3,0),"")</f>
        <v>UTILES DE ESCRITORIO</v>
      </c>
      <c r="F586" s="28" t="str">
        <f>IFERROR(VLOOKUP(Tabla2[[#This Row],[CODIGO]],Tabla1[],5,0),"")</f>
        <v>ALMACEN TICAPAMPA</v>
      </c>
      <c r="G586" s="26" t="str">
        <f>IFERROR(VLOOKUP(Tabla2[[#This Row],[CODIGO]],Tabla1[],6,0),"")</f>
        <v>UNI</v>
      </c>
      <c r="H586" s="26">
        <f>IFERROR(VLOOKUP(Tabla2[[#This Row],[CODIGO]],Tabla1[],10,0),"")</f>
        <v>13</v>
      </c>
      <c r="I586" s="7">
        <v>-3</v>
      </c>
      <c r="J586" s="29" t="s">
        <v>420</v>
      </c>
      <c r="K586" s="26" t="str">
        <f>IFERROR(VLOOKUP(Tabla2[[#This Row],[CODIGO]],Tabla1[],11,0),"")</f>
        <v>COMPRA</v>
      </c>
      <c r="L586" s="67" t="s">
        <v>236</v>
      </c>
      <c r="M586" s="67" t="s">
        <v>338</v>
      </c>
      <c r="N586" s="70"/>
      <c r="O586" s="70">
        <f>Tabla2[[#This Row],[CANTIDAD]]*Tabla2[[#This Row],[PREC. UNITARIO]]</f>
        <v>0</v>
      </c>
      <c r="R586" t="str">
        <f>Tabla2[[#This Row],[QUIEN RECIBE]]&amp;"-"&amp;TEXT(Tabla2[[#This Row],[FECHA]],"dd/mm/yyyy")</f>
        <v>YEANCARLO -03/10/2025</v>
      </c>
    </row>
    <row r="587" spans="2:18" ht="20.45" hidden="1" customHeight="1" x14ac:dyDescent="0.25">
      <c r="B587" s="5">
        <v>45933</v>
      </c>
      <c r="C587" s="2" t="str">
        <f>IFERROR(_xlfn.XLOOKUP(Tabla2[[#This Row],[PRODUCTO]],Tabla1[PRODUCTO],Tabla1[CODIGO]),"")</f>
        <v>IS-23</v>
      </c>
      <c r="D587" s="31" t="s">
        <v>75</v>
      </c>
      <c r="E587" s="31" t="str">
        <f>IFERROR(VLOOKUP(Tabla2[[#This Row],[CODIGO]],Tabla1[],3,0),"")</f>
        <v>IMPLEMENTOS DE SEGURIDAD</v>
      </c>
      <c r="F587" s="28" t="str">
        <f>IFERROR(VLOOKUP(Tabla2[[#This Row],[CODIGO]],Tabla1[],5,0),"")</f>
        <v>ALMACEN TICAPAMPA</v>
      </c>
      <c r="G587" s="26" t="str">
        <f>IFERROR(VLOOKUP(Tabla2[[#This Row],[CODIGO]],Tabla1[],6,0),"")</f>
        <v>UNI</v>
      </c>
      <c r="H587" s="26">
        <f>IFERROR(VLOOKUP(Tabla2[[#This Row],[CODIGO]],Tabla1[],10,0),"")</f>
        <v>34</v>
      </c>
      <c r="I587" s="7">
        <v>-1</v>
      </c>
      <c r="J587" s="29" t="s">
        <v>350</v>
      </c>
      <c r="K587" s="26" t="str">
        <f>IFERROR(VLOOKUP(Tabla2[[#This Row],[CODIGO]],Tabla1[],11,0),"")</f>
        <v>COMPRA</v>
      </c>
      <c r="L587" s="67" t="s">
        <v>236</v>
      </c>
      <c r="M587" s="67" t="s">
        <v>302</v>
      </c>
      <c r="N587" s="70">
        <v>4</v>
      </c>
      <c r="O587" s="70">
        <f>Tabla2[[#This Row],[CANTIDAD]]*Tabla2[[#This Row],[PREC. UNITARIO]]</f>
        <v>-4</v>
      </c>
      <c r="R587" t="str">
        <f>Tabla2[[#This Row],[QUIEN RECIBE]]&amp;"-"&amp;TEXT(Tabla2[[#This Row],[FECHA]],"dd/mm/yyyy")</f>
        <v>QUISPE LIMACHE, ROGELIO -03/10/2025</v>
      </c>
    </row>
    <row r="588" spans="2:18" ht="20.45" hidden="1" customHeight="1" x14ac:dyDescent="0.25">
      <c r="B588" s="5">
        <v>45933</v>
      </c>
      <c r="C588" s="2" t="str">
        <f>IFERROR(_xlfn.XLOOKUP(Tabla2[[#This Row],[PRODUCTO]],Tabla1[PRODUCTO],Tabla1[CODIGO]),"")</f>
        <v>UE-58</v>
      </c>
      <c r="D588" s="31" t="s">
        <v>421</v>
      </c>
      <c r="E588" s="31" t="str">
        <f>IFERROR(VLOOKUP(Tabla2[[#This Row],[CODIGO]],Tabla1[],3,0),"")</f>
        <v>UTILES DE ESCRITORIO</v>
      </c>
      <c r="F588" s="28" t="str">
        <f>IFERROR(VLOOKUP(Tabla2[[#This Row],[CODIGO]],Tabla1[],5,0),"")</f>
        <v>ALMACEN TICAPAMPA</v>
      </c>
      <c r="G588" s="26" t="str">
        <f>IFERROR(VLOOKUP(Tabla2[[#This Row],[CODIGO]],Tabla1[],6,0),"")</f>
        <v>UNI</v>
      </c>
      <c r="H588" s="26">
        <f>IFERROR(VLOOKUP(Tabla2[[#This Row],[CODIGO]],Tabla1[],10,0),"")</f>
        <v>28</v>
      </c>
      <c r="I588" s="7">
        <v>-1</v>
      </c>
      <c r="J588" s="29" t="s">
        <v>350</v>
      </c>
      <c r="K588" s="26" t="str">
        <f>IFERROR(VLOOKUP(Tabla2[[#This Row],[CODIGO]],Tabla1[],11,0),"")</f>
        <v>COMPRA</v>
      </c>
      <c r="L588" s="67" t="s">
        <v>236</v>
      </c>
      <c r="M588" s="67" t="s">
        <v>236</v>
      </c>
      <c r="N588" s="70"/>
      <c r="O588" s="70">
        <f>Tabla2[[#This Row],[CANTIDAD]]*Tabla2[[#This Row],[PREC. UNITARIO]]</f>
        <v>0</v>
      </c>
      <c r="R588" t="str">
        <f>Tabla2[[#This Row],[QUIEN RECIBE]]&amp;"-"&amp;TEXT(Tabla2[[#This Row],[FECHA]],"dd/mm/yyyy")</f>
        <v>NAVARRO LOZANO, ANGEL JAROL-03/10/2025</v>
      </c>
    </row>
    <row r="589" spans="2:18" ht="20.45" hidden="1" customHeight="1" x14ac:dyDescent="0.25">
      <c r="B589" s="5">
        <v>45933</v>
      </c>
      <c r="C589" s="2" t="str">
        <f>IFERROR(_xlfn.XLOOKUP(Tabla2[[#This Row],[PRODUCTO]],Tabla1[PRODUCTO],Tabla1[CODIGO]),"")</f>
        <v>CEM-1</v>
      </c>
      <c r="D589" s="31" t="s">
        <v>485</v>
      </c>
      <c r="E589" s="31" t="str">
        <f>IFERROR(VLOOKUP(Tabla2[[#This Row],[CODIGO]],Tabla1[],3,0),"")</f>
        <v>CEMENTO</v>
      </c>
      <c r="F589" s="28" t="str">
        <f>IFERROR(VLOOKUP(Tabla2[[#This Row],[CODIGO]],Tabla1[],5,0),"")</f>
        <v>ALMACEN TICAPAMPA</v>
      </c>
      <c r="G589" s="26" t="str">
        <f>IFERROR(VLOOKUP(Tabla2[[#This Row],[CODIGO]],Tabla1[],6,0),"")</f>
        <v>UNI</v>
      </c>
      <c r="H589" s="26">
        <f>IFERROR(VLOOKUP(Tabla2[[#This Row],[CODIGO]],Tabla1[],10,0),"")</f>
        <v>1545</v>
      </c>
      <c r="I589" s="7">
        <v>720</v>
      </c>
      <c r="J589" s="29" t="s">
        <v>320</v>
      </c>
      <c r="K589" s="26" t="str">
        <f>IFERROR(VLOOKUP(Tabla2[[#This Row],[CODIGO]],Tabla1[],11,0),"")</f>
        <v>COMPRA</v>
      </c>
      <c r="L589" s="67" t="s">
        <v>472</v>
      </c>
      <c r="M589" s="67" t="s">
        <v>236</v>
      </c>
      <c r="N589" s="70">
        <v>23</v>
      </c>
      <c r="O589" s="70">
        <f>Tabla2[[#This Row],[CANTIDAD]]*Tabla2[[#This Row],[PREC. UNITARIO]]</f>
        <v>16560</v>
      </c>
      <c r="R589" t="str">
        <f>Tabla2[[#This Row],[QUIEN RECIBE]]&amp;"-"&amp;TEXT(Tabla2[[#This Row],[FECHA]],"dd/mm/yyyy")</f>
        <v>NAVARRO LOZANO, ANGEL JAROL-03/10/2025</v>
      </c>
    </row>
    <row r="590" spans="2:18" ht="20.45" hidden="1" customHeight="1" x14ac:dyDescent="0.25">
      <c r="B590" s="5">
        <v>45936</v>
      </c>
      <c r="C590" s="2" t="str">
        <f>IFERROR(_xlfn.XLOOKUP(Tabla2[[#This Row],[PRODUCTO]],Tabla1[PRODUCTO],Tabla1[CODIGO]),"")</f>
        <v>CEM-1</v>
      </c>
      <c r="D590" s="31" t="s">
        <v>485</v>
      </c>
      <c r="E590" s="31" t="str">
        <f>IFERROR(VLOOKUP(Tabla2[[#This Row],[CODIGO]],Tabla1[],3,0),"")</f>
        <v>CEMENTO</v>
      </c>
      <c r="F590" s="28" t="str">
        <f>IFERROR(VLOOKUP(Tabla2[[#This Row],[CODIGO]],Tabla1[],5,0),"")</f>
        <v>ALMACEN TICAPAMPA</v>
      </c>
      <c r="G590" s="26" t="str">
        <f>IFERROR(VLOOKUP(Tabla2[[#This Row],[CODIGO]],Tabla1[],6,0),"")</f>
        <v>UNI</v>
      </c>
      <c r="H590" s="26">
        <f>IFERROR(VLOOKUP(Tabla2[[#This Row],[CODIGO]],Tabla1[],10,0),"")</f>
        <v>1545</v>
      </c>
      <c r="I590" s="7">
        <v>-12</v>
      </c>
      <c r="J590" s="29" t="s">
        <v>488</v>
      </c>
      <c r="K590" s="26" t="str">
        <f>IFERROR(VLOOKUP(Tabla2[[#This Row],[CODIGO]],Tabla1[],11,0),"")</f>
        <v>COMPRA</v>
      </c>
      <c r="L590" s="67" t="s">
        <v>236</v>
      </c>
      <c r="M590" s="67" t="s">
        <v>239</v>
      </c>
      <c r="N590" s="70">
        <v>23</v>
      </c>
      <c r="O590" s="70">
        <f>Tabla2[[#This Row],[CANTIDAD]]*Tabla2[[#This Row],[PREC. UNITARIO]]</f>
        <v>-276</v>
      </c>
      <c r="R590" t="str">
        <f>Tabla2[[#This Row],[QUIEN RECIBE]]&amp;"-"&amp;TEXT(Tabla2[[#This Row],[FECHA]],"dd/mm/yyyy")</f>
        <v>JEREMIAS PALOMINO, NORBERTO LEONCIO-06/10/2025</v>
      </c>
    </row>
    <row r="591" spans="2:18" ht="20.45" hidden="1" customHeight="1" x14ac:dyDescent="0.25">
      <c r="B591" s="5">
        <v>45938</v>
      </c>
      <c r="C591" s="2" t="str">
        <f>IFERROR(_xlfn.XLOOKUP(Tabla2[[#This Row],[PRODUCTO]],Tabla1[PRODUCTO],Tabla1[CODIGO]),"")</f>
        <v>CEM-1</v>
      </c>
      <c r="D591" s="31" t="s">
        <v>485</v>
      </c>
      <c r="E591" s="31" t="str">
        <f>IFERROR(VLOOKUP(Tabla2[[#This Row],[CODIGO]],Tabla1[],3,0),"")</f>
        <v>CEMENTO</v>
      </c>
      <c r="F591" s="28" t="str">
        <f>IFERROR(VLOOKUP(Tabla2[[#This Row],[CODIGO]],Tabla1[],5,0),"")</f>
        <v>ALMACEN TICAPAMPA</v>
      </c>
      <c r="G591" s="26" t="str">
        <f>IFERROR(VLOOKUP(Tabla2[[#This Row],[CODIGO]],Tabla1[],6,0),"")</f>
        <v>UNI</v>
      </c>
      <c r="H591" s="26">
        <f>IFERROR(VLOOKUP(Tabla2[[#This Row],[CODIGO]],Tabla1[],10,0),"")</f>
        <v>1545</v>
      </c>
      <c r="I591" s="7">
        <v>-120</v>
      </c>
      <c r="J591" s="29" t="s">
        <v>489</v>
      </c>
      <c r="K591" s="26" t="str">
        <f>IFERROR(VLOOKUP(Tabla2[[#This Row],[CODIGO]],Tabla1[],11,0),"")</f>
        <v>COMPRA</v>
      </c>
      <c r="L591" s="67" t="s">
        <v>472</v>
      </c>
      <c r="M591" s="67"/>
      <c r="N591" s="70">
        <v>23</v>
      </c>
      <c r="O591" s="70">
        <f>Tabla2[[#This Row],[CANTIDAD]]*Tabla2[[#This Row],[PREC. UNITARIO]]</f>
        <v>-2760</v>
      </c>
      <c r="R591" t="str">
        <f>Tabla2[[#This Row],[QUIEN RECIBE]]&amp;"-"&amp;TEXT(Tabla2[[#This Row],[FECHA]],"dd/mm/yyyy")</f>
        <v>-08/10/2025</v>
      </c>
    </row>
    <row r="592" spans="2:18" ht="20.45" hidden="1" customHeight="1" x14ac:dyDescent="0.25">
      <c r="B592" s="5">
        <v>45938</v>
      </c>
      <c r="C592" s="2" t="str">
        <f>IFERROR(_xlfn.XLOOKUP(Tabla2[[#This Row],[PRODUCTO]],Tabla1[PRODUCTO],Tabla1[CODIGO]),"")</f>
        <v>CEM-1</v>
      </c>
      <c r="D592" s="31" t="s">
        <v>485</v>
      </c>
      <c r="E592" s="31" t="str">
        <f>IFERROR(VLOOKUP(Tabla2[[#This Row],[CODIGO]],Tabla1[],3,0),"")</f>
        <v>CEMENTO</v>
      </c>
      <c r="F592" s="28" t="str">
        <f>IFERROR(VLOOKUP(Tabla2[[#This Row],[CODIGO]],Tabla1[],5,0),"")</f>
        <v>ALMACEN TICAPAMPA</v>
      </c>
      <c r="G592" s="26" t="str">
        <f>IFERROR(VLOOKUP(Tabla2[[#This Row],[CODIGO]],Tabla1[],6,0),"")</f>
        <v>UNI</v>
      </c>
      <c r="H592" s="26">
        <f>IFERROR(VLOOKUP(Tabla2[[#This Row],[CODIGO]],Tabla1[],10,0),"")</f>
        <v>1545</v>
      </c>
      <c r="I592" s="7">
        <v>-36</v>
      </c>
      <c r="J592" s="29" t="s">
        <v>490</v>
      </c>
      <c r="K592" s="26" t="str">
        <f>IFERROR(VLOOKUP(Tabla2[[#This Row],[CODIGO]],Tabla1[],11,0),"")</f>
        <v>COMPRA</v>
      </c>
      <c r="L592" s="67" t="s">
        <v>236</v>
      </c>
      <c r="M592" s="67" t="s">
        <v>239</v>
      </c>
      <c r="N592" s="70">
        <v>23</v>
      </c>
      <c r="O592" s="70">
        <f>Tabla2[[#This Row],[CANTIDAD]]*Tabla2[[#This Row],[PREC. UNITARIO]]</f>
        <v>-828</v>
      </c>
      <c r="R592" t="str">
        <f>Tabla2[[#This Row],[QUIEN RECIBE]]&amp;"-"&amp;TEXT(Tabla2[[#This Row],[FECHA]],"dd/mm/yyyy")</f>
        <v>JEREMIAS PALOMINO, NORBERTO LEONCIO-08/10/2025</v>
      </c>
    </row>
    <row r="593" spans="2:18" ht="20.45" hidden="1" customHeight="1" x14ac:dyDescent="0.25">
      <c r="B593" s="5">
        <v>45939</v>
      </c>
      <c r="C593" s="2" t="str">
        <f>IFERROR(_xlfn.XLOOKUP(Tabla2[[#This Row],[PRODUCTO]],Tabla1[PRODUCTO],Tabla1[CODIGO]),"")</f>
        <v>CEM-1</v>
      </c>
      <c r="D593" s="31" t="s">
        <v>485</v>
      </c>
      <c r="E593" s="31" t="str">
        <f>IFERROR(VLOOKUP(Tabla2[[#This Row],[CODIGO]],Tabla1[],3,0),"")</f>
        <v>CEMENTO</v>
      </c>
      <c r="F593" s="28" t="str">
        <f>IFERROR(VLOOKUP(Tabla2[[#This Row],[CODIGO]],Tabla1[],5,0),"")</f>
        <v>ALMACEN TICAPAMPA</v>
      </c>
      <c r="G593" s="26" t="str">
        <f>IFERROR(VLOOKUP(Tabla2[[#This Row],[CODIGO]],Tabla1[],6,0),"")</f>
        <v>UNI</v>
      </c>
      <c r="H593" s="26">
        <f>IFERROR(VLOOKUP(Tabla2[[#This Row],[CODIGO]],Tabla1[],10,0),"")</f>
        <v>1545</v>
      </c>
      <c r="I593" s="7">
        <v>-50</v>
      </c>
      <c r="J593" s="29" t="s">
        <v>491</v>
      </c>
      <c r="K593" s="26" t="str">
        <f>IFERROR(VLOOKUP(Tabla2[[#This Row],[CODIGO]],Tabla1[],11,0),"")</f>
        <v>COMPRA</v>
      </c>
      <c r="L593" s="67" t="s">
        <v>472</v>
      </c>
      <c r="M593" s="67"/>
      <c r="N593" s="70">
        <v>23</v>
      </c>
      <c r="O593" s="70">
        <f>Tabla2[[#This Row],[CANTIDAD]]*Tabla2[[#This Row],[PREC. UNITARIO]]</f>
        <v>-1150</v>
      </c>
      <c r="R593" t="str">
        <f>Tabla2[[#This Row],[QUIEN RECIBE]]&amp;"-"&amp;TEXT(Tabla2[[#This Row],[FECHA]],"dd/mm/yyyy")</f>
        <v>-09/10/2025</v>
      </c>
    </row>
    <row r="594" spans="2:18" ht="20.45" hidden="1" customHeight="1" x14ac:dyDescent="0.25">
      <c r="B594" s="5">
        <v>45939</v>
      </c>
      <c r="C594" s="2" t="str">
        <f>IFERROR(_xlfn.XLOOKUP(Tabla2[[#This Row],[PRODUCTO]],Tabla1[PRODUCTO],Tabla1[CODIGO]),"")</f>
        <v>CEM-1</v>
      </c>
      <c r="D594" s="31" t="s">
        <v>485</v>
      </c>
      <c r="E594" s="31" t="str">
        <f>IFERROR(VLOOKUP(Tabla2[[#This Row],[CODIGO]],Tabla1[],3,0),"")</f>
        <v>CEMENTO</v>
      </c>
      <c r="F594" s="28" t="str">
        <f>IFERROR(VLOOKUP(Tabla2[[#This Row],[CODIGO]],Tabla1[],5,0),"")</f>
        <v>ALMACEN TICAPAMPA</v>
      </c>
      <c r="G594" s="26" t="str">
        <f>IFERROR(VLOOKUP(Tabla2[[#This Row],[CODIGO]],Tabla1[],6,0),"")</f>
        <v>UNI</v>
      </c>
      <c r="H594" s="26">
        <f>IFERROR(VLOOKUP(Tabla2[[#This Row],[CODIGO]],Tabla1[],10,0),"")</f>
        <v>1545</v>
      </c>
      <c r="I594" s="7">
        <v>-39</v>
      </c>
      <c r="J594" s="29" t="s">
        <v>490</v>
      </c>
      <c r="K594" s="26" t="str">
        <f>IFERROR(VLOOKUP(Tabla2[[#This Row],[CODIGO]],Tabla1[],11,0),"")</f>
        <v>COMPRA</v>
      </c>
      <c r="L594" s="67" t="s">
        <v>236</v>
      </c>
      <c r="M594" s="67" t="s">
        <v>239</v>
      </c>
      <c r="N594" s="70">
        <v>23</v>
      </c>
      <c r="O594" s="70">
        <f>Tabla2[[#This Row],[CANTIDAD]]*Tabla2[[#This Row],[PREC. UNITARIO]]</f>
        <v>-897</v>
      </c>
      <c r="R594" t="str">
        <f>Tabla2[[#This Row],[QUIEN RECIBE]]&amp;"-"&amp;TEXT(Tabla2[[#This Row],[FECHA]],"dd/mm/yyyy")</f>
        <v>JEREMIAS PALOMINO, NORBERTO LEONCIO-09/10/2025</v>
      </c>
    </row>
    <row r="595" spans="2:18" ht="20.45" hidden="1" customHeight="1" x14ac:dyDescent="0.25">
      <c r="B595" s="5">
        <v>45937</v>
      </c>
      <c r="C595" s="2" t="str">
        <f>IFERROR(_xlfn.XLOOKUP(Tabla2[[#This Row],[PRODUCTO]],Tabla1[PRODUCTO],Tabla1[CODIGO]),"")</f>
        <v>CEM-1</v>
      </c>
      <c r="D595" s="31" t="s">
        <v>485</v>
      </c>
      <c r="E595" s="31" t="str">
        <f>IFERROR(VLOOKUP(Tabla2[[#This Row],[CODIGO]],Tabla1[],3,0),"")</f>
        <v>CEMENTO</v>
      </c>
      <c r="F595" s="28" t="str">
        <f>IFERROR(VLOOKUP(Tabla2[[#This Row],[CODIGO]],Tabla1[],5,0),"")</f>
        <v>ALMACEN TICAPAMPA</v>
      </c>
      <c r="G595" s="26" t="str">
        <f>IFERROR(VLOOKUP(Tabla2[[#This Row],[CODIGO]],Tabla1[],6,0),"")</f>
        <v>UNI</v>
      </c>
      <c r="H595" s="26">
        <f>IFERROR(VLOOKUP(Tabla2[[#This Row],[CODIGO]],Tabla1[],10,0),"")</f>
        <v>1545</v>
      </c>
      <c r="I595" s="7">
        <v>-7</v>
      </c>
      <c r="J595" s="29" t="s">
        <v>488</v>
      </c>
      <c r="K595" s="26" t="str">
        <f>IFERROR(VLOOKUP(Tabla2[[#This Row],[CODIGO]],Tabla1[],11,0),"")</f>
        <v>COMPRA</v>
      </c>
      <c r="L595" s="67" t="s">
        <v>236</v>
      </c>
      <c r="M595" s="67" t="s">
        <v>239</v>
      </c>
      <c r="N595" s="70">
        <v>23</v>
      </c>
      <c r="O595" s="70">
        <f>Tabla2[[#This Row],[CANTIDAD]]*Tabla2[[#This Row],[PREC. UNITARIO]]</f>
        <v>-161</v>
      </c>
      <c r="R595" t="str">
        <f>Tabla2[[#This Row],[QUIEN RECIBE]]&amp;"-"&amp;TEXT(Tabla2[[#This Row],[FECHA]],"dd/mm/yyyy")</f>
        <v>JEREMIAS PALOMINO, NORBERTO LEONCIO-07/10/2025</v>
      </c>
    </row>
    <row r="596" spans="2:18" ht="20.45" hidden="1" customHeight="1" x14ac:dyDescent="0.25">
      <c r="B596" s="5">
        <v>45936</v>
      </c>
      <c r="C596" s="2" t="str">
        <f>IFERROR(_xlfn.XLOOKUP(Tabla2[[#This Row],[PRODUCTO]],Tabla1[PRODUCTO],Tabla1[CODIGO]),"")</f>
        <v>IS-2</v>
      </c>
      <c r="D596" s="31" t="s">
        <v>52</v>
      </c>
      <c r="E596" s="31" t="str">
        <f>IFERROR(VLOOKUP(Tabla2[[#This Row],[CODIGO]],Tabla1[],3,0),"")</f>
        <v>IMPLEMENTOS DE SEGURIDAD</v>
      </c>
      <c r="F596" s="28" t="str">
        <f>IFERROR(VLOOKUP(Tabla2[[#This Row],[CODIGO]],Tabla1[],5,0),"")</f>
        <v>ALMACEN TICAPAMPA</v>
      </c>
      <c r="G596" s="26" t="str">
        <f>IFERROR(VLOOKUP(Tabla2[[#This Row],[CODIGO]],Tabla1[],6,0),"")</f>
        <v>UNI</v>
      </c>
      <c r="H596" s="26">
        <f>IFERROR(VLOOKUP(Tabla2[[#This Row],[CODIGO]],Tabla1[],10,0),"")</f>
        <v>5</v>
      </c>
      <c r="I596" s="7">
        <v>-1</v>
      </c>
      <c r="J596" s="29" t="s">
        <v>321</v>
      </c>
      <c r="K596" s="26" t="str">
        <f>IFERROR(VLOOKUP(Tabla2[[#This Row],[CODIGO]],Tabla1[],11,0),"")</f>
        <v>COMPRA</v>
      </c>
      <c r="L596" s="67" t="s">
        <v>236</v>
      </c>
      <c r="M596" s="67" t="s">
        <v>492</v>
      </c>
      <c r="N596" s="70">
        <v>45</v>
      </c>
      <c r="O596" s="70">
        <f>Tabla2[[#This Row],[CANTIDAD]]*Tabla2[[#This Row],[PREC. UNITARIO]]</f>
        <v>-45</v>
      </c>
      <c r="R596" t="str">
        <f>Tabla2[[#This Row],[QUIEN RECIBE]]&amp;"-"&amp;TEXT(Tabla2[[#This Row],[FECHA]],"dd/mm/yyyy")</f>
        <v>GUTARATE SABINO, RONEL-06/10/2025</v>
      </c>
    </row>
    <row r="597" spans="2:18" ht="20.45" hidden="1" customHeight="1" x14ac:dyDescent="0.25">
      <c r="B597" s="5">
        <v>45936</v>
      </c>
      <c r="C597" s="2" t="str">
        <f>IFERROR(_xlfn.XLOOKUP(Tabla2[[#This Row],[PRODUCTO]],Tabla1[PRODUCTO],Tabla1[CODIGO]),"")</f>
        <v>IS-15</v>
      </c>
      <c r="D597" s="31" t="s">
        <v>64</v>
      </c>
      <c r="E597" s="31" t="str">
        <f>IFERROR(VLOOKUP(Tabla2[[#This Row],[CODIGO]],Tabla1[],3,0),"")</f>
        <v>IMPLEMENTOS DE SEGURIDAD</v>
      </c>
      <c r="F597" s="28" t="str">
        <f>IFERROR(VLOOKUP(Tabla2[[#This Row],[CODIGO]],Tabla1[],5,0),"")</f>
        <v>ALMACEN TICAPAMPA</v>
      </c>
      <c r="G597" s="26" t="str">
        <f>IFERROR(VLOOKUP(Tabla2[[#This Row],[CODIGO]],Tabla1[],6,0),"")</f>
        <v>PAR</v>
      </c>
      <c r="H597" s="26">
        <f>IFERROR(VLOOKUP(Tabla2[[#This Row],[CODIGO]],Tabla1[],10,0),"")</f>
        <v>0</v>
      </c>
      <c r="I597" s="7">
        <v>-1</v>
      </c>
      <c r="J597" s="29" t="s">
        <v>321</v>
      </c>
      <c r="K597" s="26" t="str">
        <f>IFERROR(VLOOKUP(Tabla2[[#This Row],[CODIGO]],Tabla1[],11,0),"")</f>
        <v>COMPRA</v>
      </c>
      <c r="L597" s="67" t="s">
        <v>236</v>
      </c>
      <c r="M597" s="67" t="s">
        <v>492</v>
      </c>
      <c r="N597" s="70">
        <v>63</v>
      </c>
      <c r="O597" s="70">
        <f>Tabla2[[#This Row],[CANTIDAD]]*Tabla2[[#This Row],[PREC. UNITARIO]]</f>
        <v>-63</v>
      </c>
      <c r="R597" t="str">
        <f>Tabla2[[#This Row],[QUIEN RECIBE]]&amp;"-"&amp;TEXT(Tabla2[[#This Row],[FECHA]],"dd/mm/yyyy")</f>
        <v>GUTARATE SABINO, RONEL-06/10/2025</v>
      </c>
    </row>
    <row r="598" spans="2:18" ht="20.45" hidden="1" customHeight="1" x14ac:dyDescent="0.25">
      <c r="B598" s="5">
        <v>45936</v>
      </c>
      <c r="C598" s="2" t="str">
        <f>IFERROR(_xlfn.XLOOKUP(Tabla2[[#This Row],[PRODUCTO]],Tabla1[PRODUCTO],Tabla1[CODIGO]),"")</f>
        <v>IS-15</v>
      </c>
      <c r="D598" s="31" t="s">
        <v>64</v>
      </c>
      <c r="E598" s="31" t="str">
        <f>IFERROR(VLOOKUP(Tabla2[[#This Row],[CODIGO]],Tabla1[],3,0),"")</f>
        <v>IMPLEMENTOS DE SEGURIDAD</v>
      </c>
      <c r="F598" s="28" t="str">
        <f>IFERROR(VLOOKUP(Tabla2[[#This Row],[CODIGO]],Tabla1[],5,0),"")</f>
        <v>ALMACEN TICAPAMPA</v>
      </c>
      <c r="G598" s="26" t="str">
        <f>IFERROR(VLOOKUP(Tabla2[[#This Row],[CODIGO]],Tabla1[],6,0),"")</f>
        <v>PAR</v>
      </c>
      <c r="H598" s="26">
        <f>IFERROR(VLOOKUP(Tabla2[[#This Row],[CODIGO]],Tabla1[],10,0),"")</f>
        <v>0</v>
      </c>
      <c r="I598" s="7">
        <v>-3</v>
      </c>
      <c r="J598" s="29" t="s">
        <v>495</v>
      </c>
      <c r="K598" s="26" t="str">
        <f>IFERROR(VLOOKUP(Tabla2[[#This Row],[CODIGO]],Tabla1[],11,0),"")</f>
        <v>COMPRA</v>
      </c>
      <c r="L598" s="67" t="s">
        <v>236</v>
      </c>
      <c r="M598" s="67" t="s">
        <v>308</v>
      </c>
      <c r="N598" s="70">
        <v>63</v>
      </c>
      <c r="O598" s="70">
        <f>Tabla2[[#This Row],[CANTIDAD]]*Tabla2[[#This Row],[PREC. UNITARIO]]</f>
        <v>-189</v>
      </c>
      <c r="R598" t="str">
        <f>Tabla2[[#This Row],[QUIEN RECIBE]]&amp;"-"&amp;TEXT(Tabla2[[#This Row],[FECHA]],"dd/mm/yyyy")</f>
        <v>ACOSTA ROJAS, JOSEPH ALFONSO-06/10/2025</v>
      </c>
    </row>
    <row r="599" spans="2:18" ht="20.45" hidden="1" customHeight="1" x14ac:dyDescent="0.25">
      <c r="B599" s="5">
        <v>45936</v>
      </c>
      <c r="C599" s="2" t="str">
        <f>IFERROR(_xlfn.XLOOKUP(Tabla2[[#This Row],[PRODUCTO]],Tabla1[PRODUCTO],Tabla1[CODIGO]),"")</f>
        <v>IS-30</v>
      </c>
      <c r="D599" s="31" t="s">
        <v>81</v>
      </c>
      <c r="E599" s="31" t="str">
        <f>IFERROR(VLOOKUP(Tabla2[[#This Row],[CODIGO]],Tabla1[],3,0),"")</f>
        <v>IMPLEMENTOS DE SEGURIDAD</v>
      </c>
      <c r="F599" s="28" t="str">
        <f>IFERROR(VLOOKUP(Tabla2[[#This Row],[CODIGO]],Tabla1[],5,0),"")</f>
        <v>ALMACEN TICAPAMPA</v>
      </c>
      <c r="G599" s="26" t="str">
        <f>IFERROR(VLOOKUP(Tabla2[[#This Row],[CODIGO]],Tabla1[],6,0),"")</f>
        <v>UNI</v>
      </c>
      <c r="H599" s="26">
        <f>IFERROR(VLOOKUP(Tabla2[[#This Row],[CODIGO]],Tabla1[],10,0),"")</f>
        <v>99</v>
      </c>
      <c r="I599" s="7">
        <v>-100</v>
      </c>
      <c r="J599" s="29" t="s">
        <v>495</v>
      </c>
      <c r="K599" s="26" t="str">
        <f>IFERROR(VLOOKUP(Tabla2[[#This Row],[CODIGO]],Tabla1[],11,0),"")</f>
        <v>COMPRA</v>
      </c>
      <c r="L599" s="67" t="s">
        <v>236</v>
      </c>
      <c r="M599" s="67" t="s">
        <v>308</v>
      </c>
      <c r="N599" s="70">
        <v>8</v>
      </c>
      <c r="O599" s="70">
        <f>Tabla2[[#This Row],[CANTIDAD]]*Tabla2[[#This Row],[PREC. UNITARIO]]</f>
        <v>-800</v>
      </c>
      <c r="R599" t="str">
        <f>Tabla2[[#This Row],[QUIEN RECIBE]]&amp;"-"&amp;TEXT(Tabla2[[#This Row],[FECHA]],"dd/mm/yyyy")</f>
        <v>ACOSTA ROJAS, JOSEPH ALFONSO-06/10/2025</v>
      </c>
    </row>
    <row r="600" spans="2:18" ht="20.45" hidden="1" customHeight="1" x14ac:dyDescent="0.25">
      <c r="B600" s="5">
        <v>45936</v>
      </c>
      <c r="C600" s="2" t="str">
        <f>IFERROR(_xlfn.XLOOKUP(Tabla2[[#This Row],[PRODUCTO]],Tabla1[PRODUCTO],Tabla1[CODIGO]),"")</f>
        <v>IS-36</v>
      </c>
      <c r="D600" s="31" t="s">
        <v>300</v>
      </c>
      <c r="E600" s="31" t="str">
        <f>IFERROR(VLOOKUP(Tabla2[[#This Row],[CODIGO]],Tabla1[],3,0),"")</f>
        <v>IMPLEMENTOS DE SEGURIDAD</v>
      </c>
      <c r="F600" s="28" t="str">
        <f>IFERROR(VLOOKUP(Tabla2[[#This Row],[CODIGO]],Tabla1[],5,0),"")</f>
        <v>ALMACEN TICAPAMPA</v>
      </c>
      <c r="G600" s="26" t="str">
        <f>IFERROR(VLOOKUP(Tabla2[[#This Row],[CODIGO]],Tabla1[],6,0),"")</f>
        <v>UNI</v>
      </c>
      <c r="H600" s="26">
        <f>IFERROR(VLOOKUP(Tabla2[[#This Row],[CODIGO]],Tabla1[],10,0),"")</f>
        <v>4</v>
      </c>
      <c r="I600" s="7">
        <v>-2</v>
      </c>
      <c r="J600" s="29" t="s">
        <v>321</v>
      </c>
      <c r="K600" s="26" t="str">
        <f>IFERROR(VLOOKUP(Tabla2[[#This Row],[CODIGO]],Tabla1[],11,0),"")</f>
        <v>COMPRA</v>
      </c>
      <c r="L600" s="67" t="s">
        <v>236</v>
      </c>
      <c r="M600" s="67" t="s">
        <v>492</v>
      </c>
      <c r="N600" s="70"/>
      <c r="O600" s="70">
        <f>Tabla2[[#This Row],[CANTIDAD]]*Tabla2[[#This Row],[PREC. UNITARIO]]</f>
        <v>0</v>
      </c>
      <c r="R600" t="str">
        <f>Tabla2[[#This Row],[QUIEN RECIBE]]&amp;"-"&amp;TEXT(Tabla2[[#This Row],[FECHA]],"dd/mm/yyyy")</f>
        <v>GUTARATE SABINO, RONEL-06/10/2025</v>
      </c>
    </row>
    <row r="601" spans="2:18" ht="20.45" hidden="1" customHeight="1" x14ac:dyDescent="0.25">
      <c r="B601" s="5">
        <v>45936</v>
      </c>
      <c r="C601" s="2" t="str">
        <f>IFERROR(_xlfn.XLOOKUP(Tabla2[[#This Row],[PRODUCTO]],Tabla1[PRODUCTO],Tabla1[CODIGO]),"")</f>
        <v>IS-31</v>
      </c>
      <c r="D601" s="31" t="s">
        <v>82</v>
      </c>
      <c r="E601" s="31" t="str">
        <f>IFERROR(VLOOKUP(Tabla2[[#This Row],[CODIGO]],Tabla1[],3,0),"")</f>
        <v>IMPLEMENTOS DE SEGURIDAD</v>
      </c>
      <c r="F601" s="28" t="str">
        <f>IFERROR(VLOOKUP(Tabla2[[#This Row],[CODIGO]],Tabla1[],5,0),"")</f>
        <v>ALMACEN TICAPAMPA</v>
      </c>
      <c r="G601" s="26" t="str">
        <f>IFERROR(VLOOKUP(Tabla2[[#This Row],[CODIGO]],Tabla1[],6,0),"")</f>
        <v>UNI</v>
      </c>
      <c r="H601" s="26">
        <f>IFERROR(VLOOKUP(Tabla2[[#This Row],[CODIGO]],Tabla1[],10,0),"")</f>
        <v>0</v>
      </c>
      <c r="I601" s="7">
        <v>-2</v>
      </c>
      <c r="J601" s="29" t="s">
        <v>321</v>
      </c>
      <c r="K601" s="26" t="str">
        <f>IFERROR(VLOOKUP(Tabla2[[#This Row],[CODIGO]],Tabla1[],11,0),"")</f>
        <v>COMPRA</v>
      </c>
      <c r="L601" s="67" t="s">
        <v>236</v>
      </c>
      <c r="M601" s="67" t="s">
        <v>492</v>
      </c>
      <c r="N601" s="70">
        <v>22</v>
      </c>
      <c r="O601" s="70">
        <f>Tabla2[[#This Row],[CANTIDAD]]*Tabla2[[#This Row],[PREC. UNITARIO]]</f>
        <v>-44</v>
      </c>
      <c r="R601" t="str">
        <f>Tabla2[[#This Row],[QUIEN RECIBE]]&amp;"-"&amp;TEXT(Tabla2[[#This Row],[FECHA]],"dd/mm/yyyy")</f>
        <v>GUTARATE SABINO, RONEL-06/10/2025</v>
      </c>
    </row>
    <row r="602" spans="2:18" ht="20.45" hidden="1" customHeight="1" x14ac:dyDescent="0.25">
      <c r="B602" s="5">
        <v>45936</v>
      </c>
      <c r="C602" s="2" t="str">
        <f>IFERROR(_xlfn.XLOOKUP(Tabla2[[#This Row],[PRODUCTO]],Tabla1[PRODUCTO],Tabla1[CODIGO]),"")</f>
        <v>IS-14</v>
      </c>
      <c r="D602" s="31" t="s">
        <v>271</v>
      </c>
      <c r="E602" s="31" t="str">
        <f>IFERROR(VLOOKUP(Tabla2[[#This Row],[CODIGO]],Tabla1[],3,0),"")</f>
        <v>IMPLEMENTOS DE SEGURIDAD</v>
      </c>
      <c r="F602" s="28" t="str">
        <f>IFERROR(VLOOKUP(Tabla2[[#This Row],[CODIGO]],Tabla1[],5,0),"")</f>
        <v>ALMACEN TICAPAMPA</v>
      </c>
      <c r="G602" s="26" t="str">
        <f>IFERROR(VLOOKUP(Tabla2[[#This Row],[CODIGO]],Tabla1[],6,0),"")</f>
        <v>UNI</v>
      </c>
      <c r="H602" s="26">
        <f>IFERROR(VLOOKUP(Tabla2[[#This Row],[CODIGO]],Tabla1[],10,0),"")</f>
        <v>1</v>
      </c>
      <c r="I602" s="7">
        <v>-1</v>
      </c>
      <c r="J602" s="29" t="s">
        <v>321</v>
      </c>
      <c r="K602" s="26" t="str">
        <f>IFERROR(VLOOKUP(Tabla2[[#This Row],[CODIGO]],Tabla1[],11,0),"")</f>
        <v>COMPRA</v>
      </c>
      <c r="L602" s="67" t="s">
        <v>236</v>
      </c>
      <c r="M602" s="67" t="s">
        <v>492</v>
      </c>
      <c r="N602" s="70">
        <v>4</v>
      </c>
      <c r="O602" s="70">
        <f>Tabla2[[#This Row],[CANTIDAD]]*Tabla2[[#This Row],[PREC. UNITARIO]]</f>
        <v>-4</v>
      </c>
      <c r="R602" t="str">
        <f>Tabla2[[#This Row],[QUIEN RECIBE]]&amp;"-"&amp;TEXT(Tabla2[[#This Row],[FECHA]],"dd/mm/yyyy")</f>
        <v>GUTARATE SABINO, RONEL-06/10/2025</v>
      </c>
    </row>
    <row r="603" spans="2:18" ht="20.45" hidden="1" customHeight="1" x14ac:dyDescent="0.25">
      <c r="B603" s="5">
        <v>45936</v>
      </c>
      <c r="C603" s="2" t="str">
        <f>IFERROR(_xlfn.XLOOKUP(Tabla2[[#This Row],[PRODUCTO]],Tabla1[PRODUCTO],Tabla1[CODIGO]),"")</f>
        <v>IS-21</v>
      </c>
      <c r="D603" s="31" t="s">
        <v>70</v>
      </c>
      <c r="E603" s="31" t="str">
        <f>IFERROR(VLOOKUP(Tabla2[[#This Row],[CODIGO]],Tabla1[],3,0),"")</f>
        <v>IMPLEMENTOS DE SEGURIDAD</v>
      </c>
      <c r="F603" s="28" t="str">
        <f>IFERROR(VLOOKUP(Tabla2[[#This Row],[CODIGO]],Tabla1[],5,0),"")</f>
        <v>ALMACEN TICAPAMPA</v>
      </c>
      <c r="G603" s="26" t="str">
        <f>IFERROR(VLOOKUP(Tabla2[[#This Row],[CODIGO]],Tabla1[],6,0),"")</f>
        <v>UNI</v>
      </c>
      <c r="H603" s="26">
        <f>IFERROR(VLOOKUP(Tabla2[[#This Row],[CODIGO]],Tabla1[],10,0),"")</f>
        <v>13</v>
      </c>
      <c r="I603" s="7">
        <v>-1</v>
      </c>
      <c r="J603" s="29" t="s">
        <v>321</v>
      </c>
      <c r="K603" s="26" t="str">
        <f>IFERROR(VLOOKUP(Tabla2[[#This Row],[CODIGO]],Tabla1[],11,0),"")</f>
        <v>COMPRA</v>
      </c>
      <c r="L603" s="67" t="s">
        <v>236</v>
      </c>
      <c r="M603" s="67" t="s">
        <v>492</v>
      </c>
      <c r="N603" s="70">
        <v>6.5</v>
      </c>
      <c r="O603" s="70">
        <f>Tabla2[[#This Row],[CANTIDAD]]*Tabla2[[#This Row],[PREC. UNITARIO]]</f>
        <v>-6.5</v>
      </c>
      <c r="R603" t="str">
        <f>Tabla2[[#This Row],[QUIEN RECIBE]]&amp;"-"&amp;TEXT(Tabla2[[#This Row],[FECHA]],"dd/mm/yyyy")</f>
        <v>GUTARATE SABINO, RONEL-06/10/2025</v>
      </c>
    </row>
    <row r="604" spans="2:18" ht="20.45" hidden="1" customHeight="1" x14ac:dyDescent="0.25">
      <c r="B604" s="5">
        <v>45936</v>
      </c>
      <c r="C604" s="2" t="str">
        <f>IFERROR(_xlfn.XLOOKUP(Tabla2[[#This Row],[PRODUCTO]],Tabla1[PRODUCTO],Tabla1[CODIGO]),"")</f>
        <v>IS-30</v>
      </c>
      <c r="D604" s="31" t="s">
        <v>81</v>
      </c>
      <c r="E604" s="31" t="str">
        <f>IFERROR(VLOOKUP(Tabla2[[#This Row],[CODIGO]],Tabla1[],3,0),"")</f>
        <v>IMPLEMENTOS DE SEGURIDAD</v>
      </c>
      <c r="F604" s="28" t="str">
        <f>IFERROR(VLOOKUP(Tabla2[[#This Row],[CODIGO]],Tabla1[],5,0),"")</f>
        <v>ALMACEN TICAPAMPA</v>
      </c>
      <c r="G604" s="26" t="str">
        <f>IFERROR(VLOOKUP(Tabla2[[#This Row],[CODIGO]],Tabla1[],6,0),"")</f>
        <v>UNI</v>
      </c>
      <c r="H604" s="26">
        <f>IFERROR(VLOOKUP(Tabla2[[#This Row],[CODIGO]],Tabla1[],10,0),"")</f>
        <v>99</v>
      </c>
      <c r="I604" s="7">
        <v>-1</v>
      </c>
      <c r="J604" s="29" t="s">
        <v>321</v>
      </c>
      <c r="K604" s="26" t="str">
        <f>IFERROR(VLOOKUP(Tabla2[[#This Row],[CODIGO]],Tabla1[],11,0),"")</f>
        <v>COMPRA</v>
      </c>
      <c r="L604" s="67" t="s">
        <v>236</v>
      </c>
      <c r="M604" s="67" t="s">
        <v>492</v>
      </c>
      <c r="N604" s="70">
        <v>8</v>
      </c>
      <c r="O604" s="70">
        <f>Tabla2[[#This Row],[CANTIDAD]]*Tabla2[[#This Row],[PREC. UNITARIO]]</f>
        <v>-8</v>
      </c>
      <c r="R604" t="str">
        <f>Tabla2[[#This Row],[QUIEN RECIBE]]&amp;"-"&amp;TEXT(Tabla2[[#This Row],[FECHA]],"dd/mm/yyyy")</f>
        <v>GUTARATE SABINO, RONEL-06/10/2025</v>
      </c>
    </row>
    <row r="605" spans="2:18" ht="20.45" hidden="1" customHeight="1" x14ac:dyDescent="0.25">
      <c r="B605" s="5">
        <v>45936</v>
      </c>
      <c r="C605" s="2" t="str">
        <f>IFERROR(_xlfn.XLOOKUP(Tabla2[[#This Row],[PRODUCTO]],Tabla1[PRODUCTO],Tabla1[CODIGO]),"")</f>
        <v>IS-40</v>
      </c>
      <c r="D605" s="31" t="s">
        <v>409</v>
      </c>
      <c r="E605" s="31" t="str">
        <f>IFERROR(VLOOKUP(Tabla2[[#This Row],[CODIGO]],Tabla1[],3,0),"")</f>
        <v>IMPLEMENTOS DE SEGURIDAD</v>
      </c>
      <c r="F605" s="28" t="str">
        <f>IFERROR(VLOOKUP(Tabla2[[#This Row],[CODIGO]],Tabla1[],5,0),"")</f>
        <v>ALMACEN TICAPAMPA</v>
      </c>
      <c r="G605" s="26" t="str">
        <f>IFERROR(VLOOKUP(Tabla2[[#This Row],[CODIGO]],Tabla1[],6,0),"")</f>
        <v>UNI</v>
      </c>
      <c r="H605" s="26">
        <f>IFERROR(VLOOKUP(Tabla2[[#This Row],[CODIGO]],Tabla1[],10,0),"")</f>
        <v>22</v>
      </c>
      <c r="I605" s="7">
        <v>-1</v>
      </c>
      <c r="J605" s="29" t="s">
        <v>321</v>
      </c>
      <c r="K605" s="26" t="str">
        <f>IFERROR(VLOOKUP(Tabla2[[#This Row],[CODIGO]],Tabla1[],11,0),"")</f>
        <v>COMPRA</v>
      </c>
      <c r="L605" s="67" t="s">
        <v>236</v>
      </c>
      <c r="M605" s="67" t="s">
        <v>493</v>
      </c>
      <c r="N605" s="70"/>
      <c r="O605" s="70">
        <f>Tabla2[[#This Row],[CANTIDAD]]*Tabla2[[#This Row],[PREC. UNITARIO]]</f>
        <v>0</v>
      </c>
      <c r="R605" t="str">
        <f>Tabla2[[#This Row],[QUIEN RECIBE]]&amp;"-"&amp;TEXT(Tabla2[[#This Row],[FECHA]],"dd/mm/yyyy")</f>
        <v>TACANAHUI CALISAYA, NESTOR-06/10/2025</v>
      </c>
    </row>
    <row r="606" spans="2:18" ht="20.45" hidden="1" customHeight="1" x14ac:dyDescent="0.25">
      <c r="B606" s="5">
        <v>45936</v>
      </c>
      <c r="C606" s="2" t="str">
        <f>IFERROR(_xlfn.XLOOKUP(Tabla2[[#This Row],[PRODUCTO]],Tabla1[PRODUCTO],Tabla1[CODIGO]),"")</f>
        <v>IS-33</v>
      </c>
      <c r="D606" s="31" t="s">
        <v>84</v>
      </c>
      <c r="E606" s="31" t="str">
        <f>IFERROR(VLOOKUP(Tabla2[[#This Row],[CODIGO]],Tabla1[],3,0),"")</f>
        <v>IMPLEMENTOS DE SEGURIDAD</v>
      </c>
      <c r="F606" s="28" t="str">
        <f>IFERROR(VLOOKUP(Tabla2[[#This Row],[CODIGO]],Tabla1[],5,0),"")</f>
        <v>ALMACEN TICAPAMPA</v>
      </c>
      <c r="G606" s="26" t="str">
        <f>IFERROR(VLOOKUP(Tabla2[[#This Row],[CODIGO]],Tabla1[],6,0),"")</f>
        <v>UNI</v>
      </c>
      <c r="H606" s="26">
        <f>IFERROR(VLOOKUP(Tabla2[[#This Row],[CODIGO]],Tabla1[],10,0),"")</f>
        <v>1</v>
      </c>
      <c r="I606" s="7">
        <v>-1</v>
      </c>
      <c r="J606" s="29" t="s">
        <v>321</v>
      </c>
      <c r="K606" s="26" t="str">
        <f>IFERROR(VLOOKUP(Tabla2[[#This Row],[CODIGO]],Tabla1[],11,0),"")</f>
        <v>COMPRA</v>
      </c>
      <c r="L606" s="67" t="s">
        <v>236</v>
      </c>
      <c r="M606" s="67" t="s">
        <v>493</v>
      </c>
      <c r="N606" s="70">
        <v>22</v>
      </c>
      <c r="O606" s="70">
        <f>Tabla2[[#This Row],[CANTIDAD]]*Tabla2[[#This Row],[PREC. UNITARIO]]</f>
        <v>-22</v>
      </c>
      <c r="R606" t="str">
        <f>Tabla2[[#This Row],[QUIEN RECIBE]]&amp;"-"&amp;TEXT(Tabla2[[#This Row],[FECHA]],"dd/mm/yyyy")</f>
        <v>TACANAHUI CALISAYA, NESTOR-06/10/2025</v>
      </c>
    </row>
    <row r="607" spans="2:18" ht="20.45" hidden="1" customHeight="1" x14ac:dyDescent="0.25">
      <c r="B607" s="5">
        <v>45936</v>
      </c>
      <c r="C607" s="2" t="str">
        <f>IFERROR(_xlfn.XLOOKUP(Tabla2[[#This Row],[PRODUCTO]],Tabla1[PRODUCTO],Tabla1[CODIGO]),"")</f>
        <v>AGU-1</v>
      </c>
      <c r="D607" s="31" t="s">
        <v>357</v>
      </c>
      <c r="E607" s="31" t="str">
        <f>IFERROR(VLOOKUP(Tabla2[[#This Row],[CODIGO]],Tabla1[],3,0),"")</f>
        <v>AGUA</v>
      </c>
      <c r="F607" s="28" t="str">
        <f>IFERROR(VLOOKUP(Tabla2[[#This Row],[CODIGO]],Tabla1[],5,0),"")</f>
        <v>ALMACEN TICAPAMPA</v>
      </c>
      <c r="G607" s="26" t="str">
        <f>IFERROR(VLOOKUP(Tabla2[[#This Row],[CODIGO]],Tabla1[],6,0),"")</f>
        <v>UNI</v>
      </c>
      <c r="H607" s="26">
        <f>IFERROR(VLOOKUP(Tabla2[[#This Row],[CODIGO]],Tabla1[],10,0),"")</f>
        <v>9</v>
      </c>
      <c r="I607" s="7">
        <v>-1</v>
      </c>
      <c r="J607" s="29" t="s">
        <v>496</v>
      </c>
      <c r="K607" s="26" t="str">
        <f>IFERROR(VLOOKUP(Tabla2[[#This Row],[CODIGO]],Tabla1[],11,0),"")</f>
        <v>COMPRA</v>
      </c>
      <c r="L607" s="67" t="s">
        <v>236</v>
      </c>
      <c r="M607" s="67" t="s">
        <v>236</v>
      </c>
      <c r="N607" s="70">
        <v>8</v>
      </c>
      <c r="O607" s="70">
        <f>Tabla2[[#This Row],[CANTIDAD]]*Tabla2[[#This Row],[PREC. UNITARIO]]</f>
        <v>-8</v>
      </c>
      <c r="R607" t="str">
        <f>Tabla2[[#This Row],[QUIEN RECIBE]]&amp;"-"&amp;TEXT(Tabla2[[#This Row],[FECHA]],"dd/mm/yyyy")</f>
        <v>NAVARRO LOZANO, ANGEL JAROL-06/10/2025</v>
      </c>
    </row>
    <row r="608" spans="2:18" ht="20.45" hidden="1" customHeight="1" x14ac:dyDescent="0.25">
      <c r="B608" s="5">
        <v>45936</v>
      </c>
      <c r="C608" s="2" t="str">
        <f>IFERROR(_xlfn.XLOOKUP(Tabla2[[#This Row],[PRODUCTO]],Tabla1[PRODUCTO],Tabla1[CODIGO]),"")</f>
        <v>IS-31</v>
      </c>
      <c r="D608" s="31" t="s">
        <v>82</v>
      </c>
      <c r="E608" s="31" t="str">
        <f>IFERROR(VLOOKUP(Tabla2[[#This Row],[CODIGO]],Tabla1[],3,0),"")</f>
        <v>IMPLEMENTOS DE SEGURIDAD</v>
      </c>
      <c r="F608" s="28" t="str">
        <f>IFERROR(VLOOKUP(Tabla2[[#This Row],[CODIGO]],Tabla1[],5,0),"")</f>
        <v>ALMACEN TICAPAMPA</v>
      </c>
      <c r="G608" s="26" t="str">
        <f>IFERROR(VLOOKUP(Tabla2[[#This Row],[CODIGO]],Tabla1[],6,0),"")</f>
        <v>UNI</v>
      </c>
      <c r="H608" s="26">
        <f>IFERROR(VLOOKUP(Tabla2[[#This Row],[CODIGO]],Tabla1[],10,0),"")</f>
        <v>0</v>
      </c>
      <c r="I608" s="7">
        <v>-1</v>
      </c>
      <c r="J608" s="29" t="s">
        <v>321</v>
      </c>
      <c r="K608" s="26" t="str">
        <f>IFERROR(VLOOKUP(Tabla2[[#This Row],[CODIGO]],Tabla1[],11,0),"")</f>
        <v>COMPRA</v>
      </c>
      <c r="L608" s="67" t="s">
        <v>236</v>
      </c>
      <c r="M608" s="67" t="s">
        <v>236</v>
      </c>
      <c r="N608" s="70">
        <v>22</v>
      </c>
      <c r="O608" s="70">
        <f>Tabla2[[#This Row],[CANTIDAD]]*Tabla2[[#This Row],[PREC. UNITARIO]]</f>
        <v>-22</v>
      </c>
      <c r="R608" t="str">
        <f>Tabla2[[#This Row],[QUIEN RECIBE]]&amp;"-"&amp;TEXT(Tabla2[[#This Row],[FECHA]],"dd/mm/yyyy")</f>
        <v>NAVARRO LOZANO, ANGEL JAROL-06/10/2025</v>
      </c>
    </row>
    <row r="609" spans="2:18" ht="20.45" hidden="1" customHeight="1" x14ac:dyDescent="0.25">
      <c r="B609" s="5">
        <v>45936</v>
      </c>
      <c r="C609" s="2" t="str">
        <f>IFERROR(_xlfn.XLOOKUP(Tabla2[[#This Row],[PRODUCTO]],Tabla1[PRODUCTO],Tabla1[CODIGO]),"")</f>
        <v>IS-31</v>
      </c>
      <c r="D609" s="31" t="s">
        <v>82</v>
      </c>
      <c r="E609" s="31" t="str">
        <f>IFERROR(VLOOKUP(Tabla2[[#This Row],[CODIGO]],Tabla1[],3,0),"")</f>
        <v>IMPLEMENTOS DE SEGURIDAD</v>
      </c>
      <c r="F609" s="28" t="str">
        <f>IFERROR(VLOOKUP(Tabla2[[#This Row],[CODIGO]],Tabla1[],5,0),"")</f>
        <v>ALMACEN TICAPAMPA</v>
      </c>
      <c r="G609" s="26" t="str">
        <f>IFERROR(VLOOKUP(Tabla2[[#This Row],[CODIGO]],Tabla1[],6,0),"")</f>
        <v>UNI</v>
      </c>
      <c r="H609" s="26">
        <f>IFERROR(VLOOKUP(Tabla2[[#This Row],[CODIGO]],Tabla1[],10,0),"")</f>
        <v>0</v>
      </c>
      <c r="I609" s="7">
        <v>-1</v>
      </c>
      <c r="J609" s="29" t="s">
        <v>321</v>
      </c>
      <c r="K609" s="26" t="str">
        <f>IFERROR(VLOOKUP(Tabla2[[#This Row],[CODIGO]],Tabla1[],11,0),"")</f>
        <v>COMPRA</v>
      </c>
      <c r="L609" s="67" t="s">
        <v>236</v>
      </c>
      <c r="M609" s="67" t="s">
        <v>242</v>
      </c>
      <c r="N609" s="70">
        <v>22</v>
      </c>
      <c r="O609" s="70">
        <f>Tabla2[[#This Row],[CANTIDAD]]*Tabla2[[#This Row],[PREC. UNITARIO]]</f>
        <v>-22</v>
      </c>
      <c r="R609" t="str">
        <f>Tabla2[[#This Row],[QUIEN RECIBE]]&amp;"-"&amp;TEXT(Tabla2[[#This Row],[FECHA]],"dd/mm/yyyy")</f>
        <v>MAYTAHUARI ACOSTA, SAMMER AXEL-06/10/2025</v>
      </c>
    </row>
    <row r="610" spans="2:18" ht="20.45" hidden="1" customHeight="1" x14ac:dyDescent="0.25">
      <c r="B610" s="5">
        <v>45936</v>
      </c>
      <c r="C610" s="2" t="str">
        <f>IFERROR(_xlfn.XLOOKUP(Tabla2[[#This Row],[PRODUCTO]],Tabla1[PRODUCTO],Tabla1[CODIGO]),"")</f>
        <v>IS-31</v>
      </c>
      <c r="D610" s="31" t="s">
        <v>82</v>
      </c>
      <c r="E610" s="31" t="str">
        <f>IFERROR(VLOOKUP(Tabla2[[#This Row],[CODIGO]],Tabla1[],3,0),"")</f>
        <v>IMPLEMENTOS DE SEGURIDAD</v>
      </c>
      <c r="F610" s="28" t="str">
        <f>IFERROR(VLOOKUP(Tabla2[[#This Row],[CODIGO]],Tabla1[],5,0),"")</f>
        <v>ALMACEN TICAPAMPA</v>
      </c>
      <c r="G610" s="26" t="str">
        <f>IFERROR(VLOOKUP(Tabla2[[#This Row],[CODIGO]],Tabla1[],6,0),"")</f>
        <v>UNI</v>
      </c>
      <c r="H610" s="26">
        <f>IFERROR(VLOOKUP(Tabla2[[#This Row],[CODIGO]],Tabla1[],10,0),"")</f>
        <v>0</v>
      </c>
      <c r="I610" s="7">
        <v>-1</v>
      </c>
      <c r="J610" s="29" t="s">
        <v>321</v>
      </c>
      <c r="K610" s="26" t="str">
        <f>IFERROR(VLOOKUP(Tabla2[[#This Row],[CODIGO]],Tabla1[],11,0),"")</f>
        <v>COMPRA</v>
      </c>
      <c r="L610" s="67" t="s">
        <v>236</v>
      </c>
      <c r="M610" s="67" t="s">
        <v>241</v>
      </c>
      <c r="N610" s="70">
        <v>22</v>
      </c>
      <c r="O610" s="70">
        <f>Tabla2[[#This Row],[CANTIDAD]]*Tabla2[[#This Row],[PREC. UNITARIO]]</f>
        <v>-22</v>
      </c>
      <c r="R610" t="str">
        <f>Tabla2[[#This Row],[QUIEN RECIBE]]&amp;"-"&amp;TEXT(Tabla2[[#This Row],[FECHA]],"dd/mm/yyyy")</f>
        <v>PIÑA CHUJANDAMA, KEVIN-06/10/2025</v>
      </c>
    </row>
    <row r="611" spans="2:18" ht="20.45" hidden="1" customHeight="1" x14ac:dyDescent="0.25">
      <c r="B611" s="5">
        <v>45936</v>
      </c>
      <c r="C611" s="2" t="str">
        <f>IFERROR(_xlfn.XLOOKUP(Tabla2[[#This Row],[PRODUCTO]],Tabla1[PRODUCTO],Tabla1[CODIGO]),"")</f>
        <v>IS-14</v>
      </c>
      <c r="D611" s="31" t="s">
        <v>271</v>
      </c>
      <c r="E611" s="31" t="str">
        <f>IFERROR(VLOOKUP(Tabla2[[#This Row],[CODIGO]],Tabla1[],3,0),"")</f>
        <v>IMPLEMENTOS DE SEGURIDAD</v>
      </c>
      <c r="F611" s="28" t="str">
        <f>IFERROR(VLOOKUP(Tabla2[[#This Row],[CODIGO]],Tabla1[],5,0),"")</f>
        <v>ALMACEN TICAPAMPA</v>
      </c>
      <c r="G611" s="26" t="str">
        <f>IFERROR(VLOOKUP(Tabla2[[#This Row],[CODIGO]],Tabla1[],6,0),"")</f>
        <v>UNI</v>
      </c>
      <c r="H611" s="26">
        <f>IFERROR(VLOOKUP(Tabla2[[#This Row],[CODIGO]],Tabla1[],10,0),"")</f>
        <v>1</v>
      </c>
      <c r="I611" s="7">
        <v>-1</v>
      </c>
      <c r="J611" s="29" t="s">
        <v>321</v>
      </c>
      <c r="K611" s="26" t="str">
        <f>IFERROR(VLOOKUP(Tabla2[[#This Row],[CODIGO]],Tabla1[],11,0),"")</f>
        <v>COMPRA</v>
      </c>
      <c r="L611" s="67" t="s">
        <v>236</v>
      </c>
      <c r="M611" s="67" t="s">
        <v>493</v>
      </c>
      <c r="N611" s="70">
        <v>4</v>
      </c>
      <c r="O611" s="70">
        <f>Tabla2[[#This Row],[CANTIDAD]]*Tabla2[[#This Row],[PREC. UNITARIO]]</f>
        <v>-4</v>
      </c>
      <c r="R611" t="str">
        <f>Tabla2[[#This Row],[QUIEN RECIBE]]&amp;"-"&amp;TEXT(Tabla2[[#This Row],[FECHA]],"dd/mm/yyyy")</f>
        <v>TACANAHUI CALISAYA, NESTOR-06/10/2025</v>
      </c>
    </row>
    <row r="612" spans="2:18" ht="20.45" hidden="1" customHeight="1" x14ac:dyDescent="0.25">
      <c r="B612" s="5">
        <v>45936</v>
      </c>
      <c r="C612" s="2" t="str">
        <f>IFERROR(_xlfn.XLOOKUP(Tabla2[[#This Row],[PRODUCTO]],Tabla1[PRODUCTO],Tabla1[CODIGO]),"")</f>
        <v>IS-40</v>
      </c>
      <c r="D612" s="31" t="s">
        <v>409</v>
      </c>
      <c r="E612" s="31" t="str">
        <f>IFERROR(VLOOKUP(Tabla2[[#This Row],[CODIGO]],Tabla1[],3,0),"")</f>
        <v>IMPLEMENTOS DE SEGURIDAD</v>
      </c>
      <c r="F612" s="28" t="str">
        <f>IFERROR(VLOOKUP(Tabla2[[#This Row],[CODIGO]],Tabla1[],5,0),"")</f>
        <v>ALMACEN TICAPAMPA</v>
      </c>
      <c r="G612" s="26" t="str">
        <f>IFERROR(VLOOKUP(Tabla2[[#This Row],[CODIGO]],Tabla1[],6,0),"")</f>
        <v>UNI</v>
      </c>
      <c r="H612" s="26">
        <f>IFERROR(VLOOKUP(Tabla2[[#This Row],[CODIGO]],Tabla1[],10,0),"")</f>
        <v>22</v>
      </c>
      <c r="I612" s="7">
        <v>-1</v>
      </c>
      <c r="J612" s="29" t="s">
        <v>321</v>
      </c>
      <c r="K612" s="26" t="str">
        <f>IFERROR(VLOOKUP(Tabla2[[#This Row],[CODIGO]],Tabla1[],11,0),"")</f>
        <v>COMPRA</v>
      </c>
      <c r="L612" s="67" t="s">
        <v>236</v>
      </c>
      <c r="M612" s="67" t="s">
        <v>307</v>
      </c>
      <c r="N612" s="70"/>
      <c r="O612" s="70">
        <f>Tabla2[[#This Row],[CANTIDAD]]*Tabla2[[#This Row],[PREC. UNITARIO]]</f>
        <v>0</v>
      </c>
      <c r="R612" t="str">
        <f>Tabla2[[#This Row],[QUIEN RECIBE]]&amp;"-"&amp;TEXT(Tabla2[[#This Row],[FECHA]],"dd/mm/yyyy")</f>
        <v>CACERES CALACHUA, YEYSON JORGE-06/10/2025</v>
      </c>
    </row>
    <row r="613" spans="2:18" ht="20.45" hidden="1" customHeight="1" x14ac:dyDescent="0.25">
      <c r="B613" s="5">
        <v>45936</v>
      </c>
      <c r="C613" s="2" t="str">
        <f>IFERROR(_xlfn.XLOOKUP(Tabla2[[#This Row],[PRODUCTO]],Tabla1[PRODUCTO],Tabla1[CODIGO]),"")</f>
        <v>IS-30</v>
      </c>
      <c r="D613" s="31" t="s">
        <v>81</v>
      </c>
      <c r="E613" s="31" t="str">
        <f>IFERROR(VLOOKUP(Tabla2[[#This Row],[CODIGO]],Tabla1[],3,0),"")</f>
        <v>IMPLEMENTOS DE SEGURIDAD</v>
      </c>
      <c r="F613" s="28" t="str">
        <f>IFERROR(VLOOKUP(Tabla2[[#This Row],[CODIGO]],Tabla1[],5,0),"")</f>
        <v>ALMACEN TICAPAMPA</v>
      </c>
      <c r="G613" s="26" t="str">
        <f>IFERROR(VLOOKUP(Tabla2[[#This Row],[CODIGO]],Tabla1[],6,0),"")</f>
        <v>UNI</v>
      </c>
      <c r="H613" s="26">
        <f>IFERROR(VLOOKUP(Tabla2[[#This Row],[CODIGO]],Tabla1[],10,0),"")</f>
        <v>99</v>
      </c>
      <c r="I613" s="7">
        <v>-1</v>
      </c>
      <c r="J613" s="29" t="s">
        <v>321</v>
      </c>
      <c r="K613" s="26" t="str">
        <f>IFERROR(VLOOKUP(Tabla2[[#This Row],[CODIGO]],Tabla1[],11,0),"")</f>
        <v>COMPRA</v>
      </c>
      <c r="L613" s="67" t="s">
        <v>236</v>
      </c>
      <c r="M613" s="67" t="s">
        <v>303</v>
      </c>
      <c r="N613" s="70">
        <v>8</v>
      </c>
      <c r="O613" s="70">
        <f>Tabla2[[#This Row],[CANTIDAD]]*Tabla2[[#This Row],[PREC. UNITARIO]]</f>
        <v>-8</v>
      </c>
      <c r="R613" t="str">
        <f>Tabla2[[#This Row],[QUIEN RECIBE]]&amp;"-"&amp;TEXT(Tabla2[[#This Row],[FECHA]],"dd/mm/yyyy")</f>
        <v>APASTEGUI GRANDEZ, LUIS ALFREDO -06/10/2025</v>
      </c>
    </row>
    <row r="614" spans="2:18" ht="20.45" hidden="1" customHeight="1" x14ac:dyDescent="0.25">
      <c r="B614" s="5">
        <v>45936</v>
      </c>
      <c r="C614" s="2" t="str">
        <f>IFERROR(_xlfn.XLOOKUP(Tabla2[[#This Row],[PRODUCTO]],Tabla1[PRODUCTO],Tabla1[CODIGO]),"")</f>
        <v>IS-30</v>
      </c>
      <c r="D614" s="31" t="s">
        <v>81</v>
      </c>
      <c r="E614" s="31" t="str">
        <f>IFERROR(VLOOKUP(Tabla2[[#This Row],[CODIGO]],Tabla1[],3,0),"")</f>
        <v>IMPLEMENTOS DE SEGURIDAD</v>
      </c>
      <c r="F614" s="28" t="str">
        <f>IFERROR(VLOOKUP(Tabla2[[#This Row],[CODIGO]],Tabla1[],5,0),"")</f>
        <v>ALMACEN TICAPAMPA</v>
      </c>
      <c r="G614" s="26" t="str">
        <f>IFERROR(VLOOKUP(Tabla2[[#This Row],[CODIGO]],Tabla1[],6,0),"")</f>
        <v>UNI</v>
      </c>
      <c r="H614" s="26">
        <f>IFERROR(VLOOKUP(Tabla2[[#This Row],[CODIGO]],Tabla1[],10,0),"")</f>
        <v>99</v>
      </c>
      <c r="I614" s="7">
        <v>-1</v>
      </c>
      <c r="J614" s="29" t="s">
        <v>321</v>
      </c>
      <c r="K614" s="26" t="str">
        <f>IFERROR(VLOOKUP(Tabla2[[#This Row],[CODIGO]],Tabla1[],11,0),"")</f>
        <v>COMPRA</v>
      </c>
      <c r="L614" s="67" t="s">
        <v>236</v>
      </c>
      <c r="M614" s="67" t="s">
        <v>244</v>
      </c>
      <c r="N614" s="70">
        <v>8</v>
      </c>
      <c r="O614" s="70">
        <f>Tabla2[[#This Row],[CANTIDAD]]*Tabla2[[#This Row],[PREC. UNITARIO]]</f>
        <v>-8</v>
      </c>
      <c r="R614" t="str">
        <f>Tabla2[[#This Row],[QUIEN RECIBE]]&amp;"-"&amp;TEXT(Tabla2[[#This Row],[FECHA]],"dd/mm/yyyy")</f>
        <v>CORDOVA ANGULO, JUAN-06/10/2025</v>
      </c>
    </row>
    <row r="615" spans="2:18" ht="20.45" hidden="1" customHeight="1" x14ac:dyDescent="0.25">
      <c r="B615" s="5">
        <v>45936</v>
      </c>
      <c r="C615" s="2" t="str">
        <f>IFERROR(_xlfn.XLOOKUP(Tabla2[[#This Row],[PRODUCTO]],Tabla1[PRODUCTO],Tabla1[CODIGO]),"")</f>
        <v>IS-30</v>
      </c>
      <c r="D615" s="31" t="s">
        <v>81</v>
      </c>
      <c r="E615" s="31" t="str">
        <f>IFERROR(VLOOKUP(Tabla2[[#This Row],[CODIGO]],Tabla1[],3,0),"")</f>
        <v>IMPLEMENTOS DE SEGURIDAD</v>
      </c>
      <c r="F615" s="28" t="str">
        <f>IFERROR(VLOOKUP(Tabla2[[#This Row],[CODIGO]],Tabla1[],5,0),"")</f>
        <v>ALMACEN TICAPAMPA</v>
      </c>
      <c r="G615" s="26" t="str">
        <f>IFERROR(VLOOKUP(Tabla2[[#This Row],[CODIGO]],Tabla1[],6,0),"")</f>
        <v>UNI</v>
      </c>
      <c r="H615" s="26">
        <f>IFERROR(VLOOKUP(Tabla2[[#This Row],[CODIGO]],Tabla1[],10,0),"")</f>
        <v>99</v>
      </c>
      <c r="I615" s="7">
        <v>-1</v>
      </c>
      <c r="J615" s="29" t="s">
        <v>321</v>
      </c>
      <c r="K615" s="26" t="str">
        <f>IFERROR(VLOOKUP(Tabla2[[#This Row],[CODIGO]],Tabla1[],11,0),"")</f>
        <v>COMPRA</v>
      </c>
      <c r="L615" s="67" t="s">
        <v>236</v>
      </c>
      <c r="M615" s="67" t="s">
        <v>240</v>
      </c>
      <c r="N615" s="70">
        <v>8</v>
      </c>
      <c r="O615" s="70">
        <f>Tabla2[[#This Row],[CANTIDAD]]*Tabla2[[#This Row],[PREC. UNITARIO]]</f>
        <v>-8</v>
      </c>
      <c r="R615" t="str">
        <f>Tabla2[[#This Row],[QUIEN RECIBE]]&amp;"-"&amp;TEXT(Tabla2[[#This Row],[FECHA]],"dd/mm/yyyy")</f>
        <v>LOZANO MALDONADO, HERNAN-06/10/2025</v>
      </c>
    </row>
    <row r="616" spans="2:18" ht="20.45" hidden="1" customHeight="1" x14ac:dyDescent="0.25">
      <c r="B616" s="5">
        <v>45936</v>
      </c>
      <c r="C616" s="2" t="str">
        <f>IFERROR(_xlfn.XLOOKUP(Tabla2[[#This Row],[PRODUCTO]],Tabla1[PRODUCTO],Tabla1[CODIGO]),"")</f>
        <v>IS-30</v>
      </c>
      <c r="D616" s="31" t="s">
        <v>81</v>
      </c>
      <c r="E616" s="31" t="str">
        <f>IFERROR(VLOOKUP(Tabla2[[#This Row],[CODIGO]],Tabla1[],3,0),"")</f>
        <v>IMPLEMENTOS DE SEGURIDAD</v>
      </c>
      <c r="F616" s="28" t="str">
        <f>IFERROR(VLOOKUP(Tabla2[[#This Row],[CODIGO]],Tabla1[],5,0),"")</f>
        <v>ALMACEN TICAPAMPA</v>
      </c>
      <c r="G616" s="26" t="str">
        <f>IFERROR(VLOOKUP(Tabla2[[#This Row],[CODIGO]],Tabla1[],6,0),"")</f>
        <v>UNI</v>
      </c>
      <c r="H616" s="26">
        <f>IFERROR(VLOOKUP(Tabla2[[#This Row],[CODIGO]],Tabla1[],10,0),"")</f>
        <v>99</v>
      </c>
      <c r="I616" s="7">
        <v>-1</v>
      </c>
      <c r="J616" s="29" t="s">
        <v>321</v>
      </c>
      <c r="K616" s="26" t="str">
        <f>IFERROR(VLOOKUP(Tabla2[[#This Row],[CODIGO]],Tabla1[],11,0),"")</f>
        <v>COMPRA</v>
      </c>
      <c r="L616" s="67" t="s">
        <v>236</v>
      </c>
      <c r="M616" s="67" t="s">
        <v>241</v>
      </c>
      <c r="N616" s="70">
        <v>8</v>
      </c>
      <c r="O616" s="70">
        <f>Tabla2[[#This Row],[CANTIDAD]]*Tabla2[[#This Row],[PREC. UNITARIO]]</f>
        <v>-8</v>
      </c>
      <c r="R616" t="str">
        <f>Tabla2[[#This Row],[QUIEN RECIBE]]&amp;"-"&amp;TEXT(Tabla2[[#This Row],[FECHA]],"dd/mm/yyyy")</f>
        <v>PIÑA CHUJANDAMA, KEVIN-06/10/2025</v>
      </c>
    </row>
    <row r="617" spans="2:18" ht="20.45" hidden="1" customHeight="1" x14ac:dyDescent="0.25">
      <c r="B617" s="5">
        <v>45936</v>
      </c>
      <c r="C617" s="2" t="str">
        <f>IFERROR(_xlfn.XLOOKUP(Tabla2[[#This Row],[PRODUCTO]],Tabla1[PRODUCTO],Tabla1[CODIGO]),"")</f>
        <v>UE-58</v>
      </c>
      <c r="D617" s="31" t="s">
        <v>421</v>
      </c>
      <c r="E617" s="31" t="str">
        <f>IFERROR(VLOOKUP(Tabla2[[#This Row],[CODIGO]],Tabla1[],3,0),"")</f>
        <v>UTILES DE ESCRITORIO</v>
      </c>
      <c r="F617" s="28" t="str">
        <f>IFERROR(VLOOKUP(Tabla2[[#This Row],[CODIGO]],Tabla1[],5,0),"")</f>
        <v>ALMACEN TICAPAMPA</v>
      </c>
      <c r="G617" s="26" t="str">
        <f>IFERROR(VLOOKUP(Tabla2[[#This Row],[CODIGO]],Tabla1[],6,0),"")</f>
        <v>UNI</v>
      </c>
      <c r="H617" s="26">
        <f>IFERROR(VLOOKUP(Tabla2[[#This Row],[CODIGO]],Tabla1[],10,0),"")</f>
        <v>28</v>
      </c>
      <c r="I617" s="7">
        <v>-3</v>
      </c>
      <c r="J617" s="29" t="s">
        <v>350</v>
      </c>
      <c r="K617" s="26" t="str">
        <f>IFERROR(VLOOKUP(Tabla2[[#This Row],[CODIGO]],Tabla1[],11,0),"")</f>
        <v>COMPRA</v>
      </c>
      <c r="L617" s="67" t="s">
        <v>236</v>
      </c>
      <c r="M617" s="67" t="s">
        <v>307</v>
      </c>
      <c r="N617" s="70"/>
      <c r="O617" s="70">
        <f>Tabla2[[#This Row],[CANTIDAD]]*Tabla2[[#This Row],[PREC. UNITARIO]]</f>
        <v>0</v>
      </c>
      <c r="R617" t="str">
        <f>Tabla2[[#This Row],[QUIEN RECIBE]]&amp;"-"&amp;TEXT(Tabla2[[#This Row],[FECHA]],"dd/mm/yyyy")</f>
        <v>CACERES CALACHUA, YEYSON JORGE-06/10/2025</v>
      </c>
    </row>
    <row r="618" spans="2:18" ht="20.45" hidden="1" customHeight="1" x14ac:dyDescent="0.25">
      <c r="B618" s="5">
        <v>45936</v>
      </c>
      <c r="C618" s="2" t="str">
        <f>IFERROR(_xlfn.XLOOKUP(Tabla2[[#This Row],[PRODUCTO]],Tabla1[PRODUCTO],Tabla1[CODIGO]),"")</f>
        <v>IS-42</v>
      </c>
      <c r="D618" s="31" t="s">
        <v>425</v>
      </c>
      <c r="E618" s="31" t="str">
        <f>IFERROR(VLOOKUP(Tabla2[[#This Row],[CODIGO]],Tabla1[],3,0),"")</f>
        <v>IMPLEMENTOS DE SEGURIDAD</v>
      </c>
      <c r="F618" s="28" t="str">
        <f>IFERROR(VLOOKUP(Tabla2[[#This Row],[CODIGO]],Tabla1[],5,0),"")</f>
        <v>ALMACEN TICAPAMPA</v>
      </c>
      <c r="G618" s="26" t="str">
        <f>IFERROR(VLOOKUP(Tabla2[[#This Row],[CODIGO]],Tabla1[],6,0),"")</f>
        <v>UNI</v>
      </c>
      <c r="H618" s="26">
        <f>IFERROR(VLOOKUP(Tabla2[[#This Row],[CODIGO]],Tabla1[],10,0),"")</f>
        <v>28</v>
      </c>
      <c r="I618" s="7">
        <v>-2</v>
      </c>
      <c r="J618" s="29" t="s">
        <v>350</v>
      </c>
      <c r="K618" s="26" t="str">
        <f>IFERROR(VLOOKUP(Tabla2[[#This Row],[CODIGO]],Tabla1[],11,0),"")</f>
        <v>ALMACEN CENTRAL</v>
      </c>
      <c r="L618" s="67" t="s">
        <v>236</v>
      </c>
      <c r="M618" s="67" t="s">
        <v>307</v>
      </c>
      <c r="N618" s="70"/>
      <c r="O618" s="70">
        <f>Tabla2[[#This Row],[CANTIDAD]]*Tabla2[[#This Row],[PREC. UNITARIO]]</f>
        <v>0</v>
      </c>
      <c r="R618" t="str">
        <f>Tabla2[[#This Row],[QUIEN RECIBE]]&amp;"-"&amp;TEXT(Tabla2[[#This Row],[FECHA]],"dd/mm/yyyy")</f>
        <v>CACERES CALACHUA, YEYSON JORGE-06/10/2025</v>
      </c>
    </row>
    <row r="619" spans="2:18" ht="20.45" hidden="1" customHeight="1" x14ac:dyDescent="0.25">
      <c r="B619" s="5">
        <v>45936</v>
      </c>
      <c r="C619" s="2" t="str">
        <f>IFERROR(_xlfn.XLOOKUP(Tabla2[[#This Row],[PRODUCTO]],Tabla1[PRODUCTO],Tabla1[CODIGO]),"")</f>
        <v>IS-42</v>
      </c>
      <c r="D619" s="31" t="s">
        <v>425</v>
      </c>
      <c r="E619" s="31" t="str">
        <f>IFERROR(VLOOKUP(Tabla2[[#This Row],[CODIGO]],Tabla1[],3,0),"")</f>
        <v>IMPLEMENTOS DE SEGURIDAD</v>
      </c>
      <c r="F619" s="28" t="str">
        <f>IFERROR(VLOOKUP(Tabla2[[#This Row],[CODIGO]],Tabla1[],5,0),"")</f>
        <v>ALMACEN TICAPAMPA</v>
      </c>
      <c r="G619" s="26" t="str">
        <f>IFERROR(VLOOKUP(Tabla2[[#This Row],[CODIGO]],Tabla1[],6,0),"")</f>
        <v>UNI</v>
      </c>
      <c r="H619" s="26">
        <f>IFERROR(VLOOKUP(Tabla2[[#This Row],[CODIGO]],Tabla1[],10,0),"")</f>
        <v>28</v>
      </c>
      <c r="I619" s="7">
        <v>-1</v>
      </c>
      <c r="J619" s="29" t="s">
        <v>350</v>
      </c>
      <c r="K619" s="26" t="str">
        <f>IFERROR(VLOOKUP(Tabla2[[#This Row],[CODIGO]],Tabla1[],11,0),"")</f>
        <v>ALMACEN CENTRAL</v>
      </c>
      <c r="L619" s="67" t="s">
        <v>236</v>
      </c>
      <c r="M619" s="67" t="s">
        <v>493</v>
      </c>
      <c r="N619" s="70"/>
      <c r="O619" s="70">
        <f>Tabla2[[#This Row],[CANTIDAD]]*Tabla2[[#This Row],[PREC. UNITARIO]]</f>
        <v>0</v>
      </c>
      <c r="R619" t="str">
        <f>Tabla2[[#This Row],[QUIEN RECIBE]]&amp;"-"&amp;TEXT(Tabla2[[#This Row],[FECHA]],"dd/mm/yyyy")</f>
        <v>TACANAHUI CALISAYA, NESTOR-06/10/2025</v>
      </c>
    </row>
    <row r="620" spans="2:18" ht="20.45" hidden="1" customHeight="1" x14ac:dyDescent="0.25">
      <c r="B620" s="5">
        <v>45939</v>
      </c>
      <c r="C620" s="2" t="str">
        <f>IFERROR(_xlfn.XLOOKUP(Tabla2[[#This Row],[PRODUCTO]],Tabla1[PRODUCTO],Tabla1[CODIGO]),"")</f>
        <v>AGU-1</v>
      </c>
      <c r="D620" s="31" t="s">
        <v>357</v>
      </c>
      <c r="E620" s="31" t="str">
        <f>IFERROR(VLOOKUP(Tabla2[[#This Row],[CODIGO]],Tabla1[],3,0),"")</f>
        <v>AGUA</v>
      </c>
      <c r="F620" s="28" t="str">
        <f>IFERROR(VLOOKUP(Tabla2[[#This Row],[CODIGO]],Tabla1[],5,0),"")</f>
        <v>ALMACEN TICAPAMPA</v>
      </c>
      <c r="G620" s="26" t="str">
        <f>IFERROR(VLOOKUP(Tabla2[[#This Row],[CODIGO]],Tabla1[],6,0),"")</f>
        <v>UNI</v>
      </c>
      <c r="H620" s="26">
        <f>IFERROR(VLOOKUP(Tabla2[[#This Row],[CODIGO]],Tabla1[],10,0),"")</f>
        <v>9</v>
      </c>
      <c r="I620" s="7">
        <v>-1</v>
      </c>
      <c r="J620" s="29" t="s">
        <v>350</v>
      </c>
      <c r="K620" s="26" t="str">
        <f>IFERROR(VLOOKUP(Tabla2[[#This Row],[CODIGO]],Tabla1[],11,0),"")</f>
        <v>COMPRA</v>
      </c>
      <c r="L620" s="67" t="s">
        <v>236</v>
      </c>
      <c r="M620" s="67" t="s">
        <v>244</v>
      </c>
      <c r="N620" s="70">
        <v>8</v>
      </c>
      <c r="O620" s="70">
        <f>Tabla2[[#This Row],[CANTIDAD]]*Tabla2[[#This Row],[PREC. UNITARIO]]</f>
        <v>-8</v>
      </c>
      <c r="R620" t="str">
        <f>Tabla2[[#This Row],[QUIEN RECIBE]]&amp;"-"&amp;TEXT(Tabla2[[#This Row],[FECHA]],"dd/mm/yyyy")</f>
        <v>CORDOVA ANGULO, JUAN-09/10/2025</v>
      </c>
    </row>
    <row r="621" spans="2:18" ht="20.45" hidden="1" customHeight="1" x14ac:dyDescent="0.25">
      <c r="B621" s="5">
        <v>45939</v>
      </c>
      <c r="C621" s="2" t="str">
        <f>IFERROR(_xlfn.XLOOKUP(Tabla2[[#This Row],[PRODUCTO]],Tabla1[PRODUCTO],Tabla1[CODIGO]),"")</f>
        <v>AGU-1</v>
      </c>
      <c r="D621" s="31" t="s">
        <v>357</v>
      </c>
      <c r="E621" s="31" t="str">
        <f>IFERROR(VLOOKUP(Tabla2[[#This Row],[CODIGO]],Tabla1[],3,0),"")</f>
        <v>AGUA</v>
      </c>
      <c r="F621" s="28" t="str">
        <f>IFERROR(VLOOKUP(Tabla2[[#This Row],[CODIGO]],Tabla1[],5,0),"")</f>
        <v>ALMACEN TICAPAMPA</v>
      </c>
      <c r="G621" s="26" t="str">
        <f>IFERROR(VLOOKUP(Tabla2[[#This Row],[CODIGO]],Tabla1[],6,0),"")</f>
        <v>UNI</v>
      </c>
      <c r="H621" s="26">
        <f>IFERROR(VLOOKUP(Tabla2[[#This Row],[CODIGO]],Tabla1[],10,0),"")</f>
        <v>9</v>
      </c>
      <c r="I621" s="7">
        <v>-1</v>
      </c>
      <c r="J621" s="29" t="s">
        <v>386</v>
      </c>
      <c r="K621" s="26" t="str">
        <f>IFERROR(VLOOKUP(Tabla2[[#This Row],[CODIGO]],Tabla1[],11,0),"")</f>
        <v>COMPRA</v>
      </c>
      <c r="L621" s="67" t="s">
        <v>236</v>
      </c>
      <c r="M621" s="67" t="s">
        <v>265</v>
      </c>
      <c r="N621" s="70">
        <v>8</v>
      </c>
      <c r="O621" s="70">
        <f>Tabla2[[#This Row],[CANTIDAD]]*Tabla2[[#This Row],[PREC. UNITARIO]]</f>
        <v>-8</v>
      </c>
      <c r="R621" t="str">
        <f>Tabla2[[#This Row],[QUIEN RECIBE]]&amp;"-"&amp;TEXT(Tabla2[[#This Row],[FECHA]],"dd/mm/yyyy")</f>
        <v>ORDOÑEZ CONDORI, GILBERTO -09/10/2025</v>
      </c>
    </row>
    <row r="622" spans="2:18" ht="20.45" hidden="1" customHeight="1" x14ac:dyDescent="0.25">
      <c r="B622" s="5">
        <v>45938</v>
      </c>
      <c r="C622" s="2" t="str">
        <f>IFERROR(_xlfn.XLOOKUP(Tabla2[[#This Row],[PRODUCTO]],Tabla1[PRODUCTO],Tabla1[CODIGO]),"")</f>
        <v>AGU-1</v>
      </c>
      <c r="D622" s="31" t="s">
        <v>357</v>
      </c>
      <c r="E622" s="31" t="str">
        <f>IFERROR(VLOOKUP(Tabla2[[#This Row],[CODIGO]],Tabla1[],3,0),"")</f>
        <v>AGUA</v>
      </c>
      <c r="F622" s="28" t="str">
        <f>IFERROR(VLOOKUP(Tabla2[[#This Row],[CODIGO]],Tabla1[],5,0),"")</f>
        <v>ALMACEN TICAPAMPA</v>
      </c>
      <c r="G622" s="26" t="str">
        <f>IFERROR(VLOOKUP(Tabla2[[#This Row],[CODIGO]],Tabla1[],6,0),"")</f>
        <v>UNI</v>
      </c>
      <c r="H622" s="26">
        <f>IFERROR(VLOOKUP(Tabla2[[#This Row],[CODIGO]],Tabla1[],10,0),"")</f>
        <v>9</v>
      </c>
      <c r="I622" s="7">
        <v>-1</v>
      </c>
      <c r="J622" s="29" t="s">
        <v>350</v>
      </c>
      <c r="K622" s="26" t="str">
        <f>IFERROR(VLOOKUP(Tabla2[[#This Row],[CODIGO]],Tabla1[],11,0),"")</f>
        <v>COMPRA</v>
      </c>
      <c r="L622" s="67" t="s">
        <v>236</v>
      </c>
      <c r="M622" s="67" t="s">
        <v>244</v>
      </c>
      <c r="N622" s="70">
        <v>8</v>
      </c>
      <c r="O622" s="70">
        <f>Tabla2[[#This Row],[CANTIDAD]]*Tabla2[[#This Row],[PREC. UNITARIO]]</f>
        <v>-8</v>
      </c>
      <c r="R622" t="str">
        <f>Tabla2[[#This Row],[QUIEN RECIBE]]&amp;"-"&amp;TEXT(Tabla2[[#This Row],[FECHA]],"dd/mm/yyyy")</f>
        <v>CORDOVA ANGULO, JUAN-08/10/2025</v>
      </c>
    </row>
    <row r="623" spans="2:18" ht="20.45" hidden="1" customHeight="1" x14ac:dyDescent="0.25">
      <c r="B623" s="5">
        <v>45938</v>
      </c>
      <c r="C623" s="2" t="str">
        <f>IFERROR(_xlfn.XLOOKUP(Tabla2[[#This Row],[PRODUCTO]],Tabla1[PRODUCTO],Tabla1[CODIGO]),"")</f>
        <v>AF-1</v>
      </c>
      <c r="D623" s="31" t="s">
        <v>92</v>
      </c>
      <c r="E623" s="31" t="str">
        <f>IFERROR(VLOOKUP(Tabla2[[#This Row],[CODIGO]],Tabla1[],3,0),"")</f>
        <v>ALAMBRES Y FIERROS</v>
      </c>
      <c r="F623" s="28" t="str">
        <f>IFERROR(VLOOKUP(Tabla2[[#This Row],[CODIGO]],Tabla1[],5,0),"")</f>
        <v>ALMACEN TICAPAMPA</v>
      </c>
      <c r="G623" s="26" t="str">
        <f>IFERROR(VLOOKUP(Tabla2[[#This Row],[CODIGO]],Tabla1[],6,0),"")</f>
        <v>ROL</v>
      </c>
      <c r="H623" s="26">
        <f>IFERROR(VLOOKUP(Tabla2[[#This Row],[CODIGO]],Tabla1[],10,0),"")</f>
        <v>4</v>
      </c>
      <c r="I623" s="7">
        <v>-1</v>
      </c>
      <c r="J623" s="29" t="s">
        <v>350</v>
      </c>
      <c r="K623" s="26" t="str">
        <f>IFERROR(VLOOKUP(Tabla2[[#This Row],[CODIGO]],Tabla1[],11,0),"")</f>
        <v>COMPRA</v>
      </c>
      <c r="L623" s="67" t="s">
        <v>236</v>
      </c>
      <c r="M623" s="67" t="s">
        <v>244</v>
      </c>
      <c r="N623" s="70"/>
      <c r="O623" s="70">
        <f>Tabla2[[#This Row],[CANTIDAD]]*Tabla2[[#This Row],[PREC. UNITARIO]]</f>
        <v>0</v>
      </c>
      <c r="R623" t="str">
        <f>Tabla2[[#This Row],[QUIEN RECIBE]]&amp;"-"&amp;TEXT(Tabla2[[#This Row],[FECHA]],"dd/mm/yyyy")</f>
        <v>CORDOVA ANGULO, JUAN-08/10/2025</v>
      </c>
    </row>
    <row r="624" spans="2:18" ht="20.45" hidden="1" customHeight="1" x14ac:dyDescent="0.25">
      <c r="B624" s="5">
        <v>45938</v>
      </c>
      <c r="C624" s="2" t="str">
        <f>IFERROR(_xlfn.XLOOKUP(Tabla2[[#This Row],[PRODUCTO]],Tabla1[PRODUCTO],Tabla1[CODIGO]),"")</f>
        <v>UE-27</v>
      </c>
      <c r="D624" s="31" t="s">
        <v>181</v>
      </c>
      <c r="E624" s="31" t="str">
        <f>IFERROR(VLOOKUP(Tabla2[[#This Row],[CODIGO]],Tabla1[],3,0),"")</f>
        <v>UTILES DE ESCRITORIO</v>
      </c>
      <c r="F624" s="28" t="str">
        <f>IFERROR(VLOOKUP(Tabla2[[#This Row],[CODIGO]],Tabla1[],5,0),"")</f>
        <v>ALMACEN TICAPAMPA</v>
      </c>
      <c r="G624" s="26" t="str">
        <f>IFERROR(VLOOKUP(Tabla2[[#This Row],[CODIGO]],Tabla1[],6,0),"")</f>
        <v>UNI</v>
      </c>
      <c r="H624" s="26">
        <f>IFERROR(VLOOKUP(Tabla2[[#This Row],[CODIGO]],Tabla1[],10,0),"")</f>
        <v>3</v>
      </c>
      <c r="I624" s="7">
        <v>-1</v>
      </c>
      <c r="J624" s="29" t="s">
        <v>420</v>
      </c>
      <c r="K624" s="26" t="str">
        <f>IFERROR(VLOOKUP(Tabla2[[#This Row],[CODIGO]],Tabla1[],11,0),"")</f>
        <v>COMPRA</v>
      </c>
      <c r="L624" s="67" t="s">
        <v>236</v>
      </c>
      <c r="M624" s="67" t="s">
        <v>253</v>
      </c>
      <c r="N624" s="70"/>
      <c r="O624" s="70">
        <f>Tabla2[[#This Row],[CANTIDAD]]*Tabla2[[#This Row],[PREC. UNITARIO]]</f>
        <v>0</v>
      </c>
      <c r="R624" t="str">
        <f>Tabla2[[#This Row],[QUIEN RECIBE]]&amp;"-"&amp;TEXT(Tabla2[[#This Row],[FECHA]],"dd/mm/yyyy")</f>
        <v>ALEJO CHARCA, DENNYS MIRIAM-08/10/2025</v>
      </c>
    </row>
    <row r="625" spans="2:18" ht="20.45" hidden="1" customHeight="1" x14ac:dyDescent="0.25">
      <c r="B625" s="5">
        <v>45938</v>
      </c>
      <c r="C625" s="2" t="str">
        <f>IFERROR(_xlfn.XLOOKUP(Tabla2[[#This Row],[PRODUCTO]],Tabla1[PRODUCTO],Tabla1[CODIGO]),"")</f>
        <v>UE-56</v>
      </c>
      <c r="D625" s="31" t="s">
        <v>325</v>
      </c>
      <c r="E625" s="31" t="str">
        <f>IFERROR(VLOOKUP(Tabla2[[#This Row],[CODIGO]],Tabla1[],3,0),"")</f>
        <v>UTILES DE ESCRITORIO</v>
      </c>
      <c r="F625" s="28" t="str">
        <f>IFERROR(VLOOKUP(Tabla2[[#This Row],[CODIGO]],Tabla1[],5,0),"")</f>
        <v>ALMACEN TICAPAMPA</v>
      </c>
      <c r="G625" s="26" t="str">
        <f>IFERROR(VLOOKUP(Tabla2[[#This Row],[CODIGO]],Tabla1[],6,0),"")</f>
        <v>PQTE</v>
      </c>
      <c r="H625" s="26">
        <f>IFERROR(VLOOKUP(Tabla2[[#This Row],[CODIGO]],Tabla1[],10,0),"")</f>
        <v>22</v>
      </c>
      <c r="I625" s="7">
        <v>-3</v>
      </c>
      <c r="J625" s="29" t="s">
        <v>497</v>
      </c>
      <c r="K625" s="26" t="str">
        <f>IFERROR(VLOOKUP(Tabla2[[#This Row],[CODIGO]],Tabla1[],11,0),"")</f>
        <v>COMPRA</v>
      </c>
      <c r="L625" s="67" t="s">
        <v>236</v>
      </c>
      <c r="M625" s="67" t="s">
        <v>472</v>
      </c>
      <c r="N625" s="70"/>
      <c r="O625" s="70">
        <f>Tabla2[[#This Row],[CANTIDAD]]*Tabla2[[#This Row],[PREC. UNITARIO]]</f>
        <v>0</v>
      </c>
      <c r="R625" t="str">
        <f>Tabla2[[#This Row],[QUIEN RECIBE]]&amp;"-"&amp;TEXT(Tabla2[[#This Row],[FECHA]],"dd/mm/yyyy")</f>
        <v>ACUACHI LANCHIPA ERNESTO ALONSO-08/10/2025</v>
      </c>
    </row>
    <row r="626" spans="2:18" ht="20.45" hidden="1" customHeight="1" x14ac:dyDescent="0.25">
      <c r="B626" s="5">
        <v>45938</v>
      </c>
      <c r="C626" s="2" t="str">
        <f>IFERROR(_xlfn.XLOOKUP(Tabla2[[#This Row],[PRODUCTO]],Tabla1[PRODUCTO],Tabla1[CODIGO]),"")</f>
        <v>UE-58</v>
      </c>
      <c r="D626" s="31" t="s">
        <v>421</v>
      </c>
      <c r="E626" s="31" t="str">
        <f>IFERROR(VLOOKUP(Tabla2[[#This Row],[CODIGO]],Tabla1[],3,0),"")</f>
        <v>UTILES DE ESCRITORIO</v>
      </c>
      <c r="F626" s="28" t="str">
        <f>IFERROR(VLOOKUP(Tabla2[[#This Row],[CODIGO]],Tabla1[],5,0),"")</f>
        <v>ALMACEN TICAPAMPA</v>
      </c>
      <c r="G626" s="26" t="str">
        <f>IFERROR(VLOOKUP(Tabla2[[#This Row],[CODIGO]],Tabla1[],6,0),"")</f>
        <v>UNI</v>
      </c>
      <c r="H626" s="26">
        <f>IFERROR(VLOOKUP(Tabla2[[#This Row],[CODIGO]],Tabla1[],10,0),"")</f>
        <v>28</v>
      </c>
      <c r="I626" s="7">
        <v>-2</v>
      </c>
      <c r="J626" s="29" t="s">
        <v>350</v>
      </c>
      <c r="K626" s="26" t="str">
        <f>IFERROR(VLOOKUP(Tabla2[[#This Row],[CODIGO]],Tabla1[],11,0),"")</f>
        <v>COMPRA</v>
      </c>
      <c r="L626" s="67" t="s">
        <v>236</v>
      </c>
      <c r="M626" s="67" t="s">
        <v>244</v>
      </c>
      <c r="N626" s="70"/>
      <c r="O626" s="70">
        <f>Tabla2[[#This Row],[CANTIDAD]]*Tabla2[[#This Row],[PREC. UNITARIO]]</f>
        <v>0</v>
      </c>
      <c r="R626" t="str">
        <f>Tabla2[[#This Row],[QUIEN RECIBE]]&amp;"-"&amp;TEXT(Tabla2[[#This Row],[FECHA]],"dd/mm/yyyy")</f>
        <v>CORDOVA ANGULO, JUAN-08/10/2025</v>
      </c>
    </row>
    <row r="627" spans="2:18" ht="20.45" hidden="1" customHeight="1" x14ac:dyDescent="0.25">
      <c r="B627" s="5">
        <v>45938</v>
      </c>
      <c r="C627" s="2" t="str">
        <f>IFERROR(_xlfn.XLOOKUP(Tabla2[[#This Row],[PRODUCTO]],Tabla1[PRODUCTO],Tabla1[CODIGO]),"")</f>
        <v>UE-58</v>
      </c>
      <c r="D627" s="31" t="s">
        <v>421</v>
      </c>
      <c r="E627" s="31" t="str">
        <f>IFERROR(VLOOKUP(Tabla2[[#This Row],[CODIGO]],Tabla1[],3,0),"")</f>
        <v>UTILES DE ESCRITORIO</v>
      </c>
      <c r="F627" s="28" t="str">
        <f>IFERROR(VLOOKUP(Tabla2[[#This Row],[CODIGO]],Tabla1[],5,0),"")</f>
        <v>ALMACEN TICAPAMPA</v>
      </c>
      <c r="G627" s="26" t="str">
        <f>IFERROR(VLOOKUP(Tabla2[[#This Row],[CODIGO]],Tabla1[],6,0),"")</f>
        <v>UNI</v>
      </c>
      <c r="H627" s="26">
        <f>IFERROR(VLOOKUP(Tabla2[[#This Row],[CODIGO]],Tabla1[],10,0),"")</f>
        <v>28</v>
      </c>
      <c r="I627" s="7">
        <v>-2</v>
      </c>
      <c r="J627" s="29" t="s">
        <v>350</v>
      </c>
      <c r="K627" s="26" t="str">
        <f>IFERROR(VLOOKUP(Tabla2[[#This Row],[CODIGO]],Tabla1[],11,0),"")</f>
        <v>COMPRA</v>
      </c>
      <c r="L627" s="67" t="s">
        <v>236</v>
      </c>
      <c r="M627" s="67" t="s">
        <v>493</v>
      </c>
      <c r="N627" s="70"/>
      <c r="O627" s="70">
        <f>Tabla2[[#This Row],[CANTIDAD]]*Tabla2[[#This Row],[PREC. UNITARIO]]</f>
        <v>0</v>
      </c>
      <c r="R627" t="str">
        <f>Tabla2[[#This Row],[QUIEN RECIBE]]&amp;"-"&amp;TEXT(Tabla2[[#This Row],[FECHA]],"dd/mm/yyyy")</f>
        <v>TACANAHUI CALISAYA, NESTOR-08/10/2025</v>
      </c>
    </row>
    <row r="628" spans="2:18" ht="20.45" hidden="1" customHeight="1" x14ac:dyDescent="0.25">
      <c r="B628" s="5">
        <v>45938</v>
      </c>
      <c r="C628" s="2" t="str">
        <f>IFERROR(_xlfn.XLOOKUP(Tabla2[[#This Row],[PRODUCTO]],Tabla1[PRODUCTO],Tabla1[CODIGO]),"")</f>
        <v>IS-1</v>
      </c>
      <c r="D628" s="31" t="s">
        <v>50</v>
      </c>
      <c r="E628" s="31" t="str">
        <f>IFERROR(VLOOKUP(Tabla2[[#This Row],[CODIGO]],Tabla1[],3,0),"")</f>
        <v>IMPLEMENTOS DE SEGURIDAD</v>
      </c>
      <c r="F628" s="28" t="str">
        <f>IFERROR(VLOOKUP(Tabla2[[#This Row],[CODIGO]],Tabla1[],5,0),"")</f>
        <v>ALMACEN TICAPAMPA</v>
      </c>
      <c r="G628" s="26" t="str">
        <f>IFERROR(VLOOKUP(Tabla2[[#This Row],[CODIGO]],Tabla1[],6,0),"")</f>
        <v>UNI</v>
      </c>
      <c r="H628" s="26">
        <f>IFERROR(VLOOKUP(Tabla2[[#This Row],[CODIGO]],Tabla1[],10,0),"")</f>
        <v>4</v>
      </c>
      <c r="I628" s="7">
        <v>-1</v>
      </c>
      <c r="J628" s="29" t="s">
        <v>321</v>
      </c>
      <c r="K628" s="26" t="str">
        <f>IFERROR(VLOOKUP(Tabla2[[#This Row],[CODIGO]],Tabla1[],11,0),"")</f>
        <v>COMPRA</v>
      </c>
      <c r="L628" s="67" t="s">
        <v>236</v>
      </c>
      <c r="M628" s="67" t="s">
        <v>302</v>
      </c>
      <c r="N628" s="70">
        <v>45</v>
      </c>
      <c r="O628" s="70">
        <f>Tabla2[[#This Row],[CANTIDAD]]*Tabla2[[#This Row],[PREC. UNITARIO]]</f>
        <v>-45</v>
      </c>
      <c r="R628" t="str">
        <f>Tabla2[[#This Row],[QUIEN RECIBE]]&amp;"-"&amp;TEXT(Tabla2[[#This Row],[FECHA]],"dd/mm/yyyy")</f>
        <v>QUISPE LIMACHE, ROGELIO -08/10/2025</v>
      </c>
    </row>
    <row r="629" spans="2:18" ht="20.45" hidden="1" customHeight="1" x14ac:dyDescent="0.25">
      <c r="B629" s="5">
        <v>45938</v>
      </c>
      <c r="C629" s="2" t="str">
        <f>IFERROR(_xlfn.XLOOKUP(Tabla2[[#This Row],[PRODUCTO]],Tabla1[PRODUCTO],Tabla1[CODIGO]),"")</f>
        <v>IS-17</v>
      </c>
      <c r="D629" s="31" t="s">
        <v>66</v>
      </c>
      <c r="E629" s="31" t="str">
        <f>IFERROR(VLOOKUP(Tabla2[[#This Row],[CODIGO]],Tabla1[],3,0),"")</f>
        <v>IMPLEMENTOS DE SEGURIDAD</v>
      </c>
      <c r="F629" s="28" t="str">
        <f>IFERROR(VLOOKUP(Tabla2[[#This Row],[CODIGO]],Tabla1[],5,0),"")</f>
        <v>ALMACEN TICAPAMPA</v>
      </c>
      <c r="G629" s="26" t="str">
        <f>IFERROR(VLOOKUP(Tabla2[[#This Row],[CODIGO]],Tabla1[],6,0),"")</f>
        <v>PAR</v>
      </c>
      <c r="H629" s="26">
        <f>IFERROR(VLOOKUP(Tabla2[[#This Row],[CODIGO]],Tabla1[],10,0),"")</f>
        <v>0</v>
      </c>
      <c r="I629" s="7">
        <v>-1</v>
      </c>
      <c r="J629" s="29" t="s">
        <v>321</v>
      </c>
      <c r="K629" s="26" t="str">
        <f>IFERROR(VLOOKUP(Tabla2[[#This Row],[CODIGO]],Tabla1[],11,0),"")</f>
        <v>COMPRA</v>
      </c>
      <c r="L629" s="67" t="s">
        <v>236</v>
      </c>
      <c r="M629" s="67" t="s">
        <v>302</v>
      </c>
      <c r="N629" s="70">
        <v>63</v>
      </c>
      <c r="O629" s="70">
        <f>Tabla2[[#This Row],[CANTIDAD]]*Tabla2[[#This Row],[PREC. UNITARIO]]</f>
        <v>-63</v>
      </c>
      <c r="R629" t="str">
        <f>Tabla2[[#This Row],[QUIEN RECIBE]]&amp;"-"&amp;TEXT(Tabla2[[#This Row],[FECHA]],"dd/mm/yyyy")</f>
        <v>QUISPE LIMACHE, ROGELIO -08/10/2025</v>
      </c>
    </row>
    <row r="630" spans="2:18" ht="20.45" hidden="1" customHeight="1" x14ac:dyDescent="0.25">
      <c r="B630" s="5">
        <v>45939</v>
      </c>
      <c r="C630" s="2" t="str">
        <f>IFERROR(_xlfn.XLOOKUP(Tabla2[[#This Row],[PRODUCTO]],Tabla1[PRODUCTO],Tabla1[CODIGO]),"")</f>
        <v>IS-15</v>
      </c>
      <c r="D630" s="31" t="s">
        <v>64</v>
      </c>
      <c r="E630" s="31" t="str">
        <f>IFERROR(VLOOKUP(Tabla2[[#This Row],[CODIGO]],Tabla1[],3,0),"")</f>
        <v>IMPLEMENTOS DE SEGURIDAD</v>
      </c>
      <c r="F630" s="28" t="str">
        <f>IFERROR(VLOOKUP(Tabla2[[#This Row],[CODIGO]],Tabla1[],5,0),"")</f>
        <v>ALMACEN TICAPAMPA</v>
      </c>
      <c r="G630" s="26" t="str">
        <f>IFERROR(VLOOKUP(Tabla2[[#This Row],[CODIGO]],Tabla1[],6,0),"")</f>
        <v>PAR</v>
      </c>
      <c r="H630" s="26">
        <f>IFERROR(VLOOKUP(Tabla2[[#This Row],[CODIGO]],Tabla1[],10,0),"")</f>
        <v>0</v>
      </c>
      <c r="I630" s="7">
        <v>-1</v>
      </c>
      <c r="J630" s="29" t="s">
        <v>321</v>
      </c>
      <c r="K630" s="26" t="str">
        <f>IFERROR(VLOOKUP(Tabla2[[#This Row],[CODIGO]],Tabla1[],11,0),"")</f>
        <v>COMPRA</v>
      </c>
      <c r="L630" s="67" t="s">
        <v>236</v>
      </c>
      <c r="M630" s="67" t="s">
        <v>265</v>
      </c>
      <c r="N630" s="70">
        <v>63</v>
      </c>
      <c r="O630" s="70">
        <f>Tabla2[[#This Row],[CANTIDAD]]*Tabla2[[#This Row],[PREC. UNITARIO]]</f>
        <v>-63</v>
      </c>
      <c r="R630" t="str">
        <f>Tabla2[[#This Row],[QUIEN RECIBE]]&amp;"-"&amp;TEXT(Tabla2[[#This Row],[FECHA]],"dd/mm/yyyy")</f>
        <v>ORDOÑEZ CONDORI, GILBERTO -09/10/2025</v>
      </c>
    </row>
    <row r="631" spans="2:18" ht="20.45" hidden="1" customHeight="1" x14ac:dyDescent="0.25">
      <c r="B631" s="5">
        <v>45936</v>
      </c>
      <c r="C631" s="2" t="str">
        <f>IFERROR(_xlfn.XLOOKUP(Tabla2[[#This Row],[PRODUCTO]],Tabla1[PRODUCTO],Tabla1[CODIGO]),"")</f>
        <v>AGU-1</v>
      </c>
      <c r="D631" s="31" t="s">
        <v>357</v>
      </c>
      <c r="E631" s="31" t="str">
        <f>IFERROR(VLOOKUP(Tabla2[[#This Row],[CODIGO]],Tabla1[],3,0),"")</f>
        <v>AGUA</v>
      </c>
      <c r="F631" s="28" t="str">
        <f>IFERROR(VLOOKUP(Tabla2[[#This Row],[CODIGO]],Tabla1[],5,0),"")</f>
        <v>ALMACEN TICAPAMPA</v>
      </c>
      <c r="G631" s="26" t="str">
        <f>IFERROR(VLOOKUP(Tabla2[[#This Row],[CODIGO]],Tabla1[],6,0),"")</f>
        <v>UNI</v>
      </c>
      <c r="H631" s="26">
        <f>IFERROR(VLOOKUP(Tabla2[[#This Row],[CODIGO]],Tabla1[],10,0),"")</f>
        <v>9</v>
      </c>
      <c r="I631" s="7">
        <v>-1</v>
      </c>
      <c r="J631" s="29" t="s">
        <v>386</v>
      </c>
      <c r="K631" s="26" t="str">
        <f>IFERROR(VLOOKUP(Tabla2[[#This Row],[CODIGO]],Tabla1[],11,0),"")</f>
        <v>COMPRA</v>
      </c>
      <c r="L631" s="67" t="s">
        <v>236</v>
      </c>
      <c r="M631" s="67" t="s">
        <v>262</v>
      </c>
      <c r="N631" s="70">
        <v>8</v>
      </c>
      <c r="O631" s="70">
        <f>Tabla2[[#This Row],[CANTIDAD]]*Tabla2[[#This Row],[PREC. UNITARIO]]</f>
        <v>-8</v>
      </c>
      <c r="R631" t="str">
        <f>Tabla2[[#This Row],[QUIEN RECIBE]]&amp;"-"&amp;TEXT(Tabla2[[#This Row],[FECHA]],"dd/mm/yyyy")</f>
        <v>CHACON ORTIZ, JOSE ANTONIO-06/10/2025</v>
      </c>
    </row>
    <row r="632" spans="2:18" ht="20.45" hidden="1" customHeight="1" x14ac:dyDescent="0.25">
      <c r="B632" s="5">
        <v>45939</v>
      </c>
      <c r="C632" s="2" t="str">
        <f>IFERROR(_xlfn.XLOOKUP(Tabla2[[#This Row],[PRODUCTO]],Tabla1[PRODUCTO],Tabla1[CODIGO]),"")</f>
        <v>IS-30</v>
      </c>
      <c r="D632" s="31" t="s">
        <v>81</v>
      </c>
      <c r="E632" s="31" t="str">
        <f>IFERROR(VLOOKUP(Tabla2[[#This Row],[CODIGO]],Tabla1[],3,0),"")</f>
        <v>IMPLEMENTOS DE SEGURIDAD</v>
      </c>
      <c r="F632" s="28" t="str">
        <f>IFERROR(VLOOKUP(Tabla2[[#This Row],[CODIGO]],Tabla1[],5,0),"")</f>
        <v>ALMACEN TICAPAMPA</v>
      </c>
      <c r="G632" s="26" t="str">
        <f>IFERROR(VLOOKUP(Tabla2[[#This Row],[CODIGO]],Tabla1[],6,0),"")</f>
        <v>UNI</v>
      </c>
      <c r="H632" s="26">
        <f>IFERROR(VLOOKUP(Tabla2[[#This Row],[CODIGO]],Tabla1[],10,0),"")</f>
        <v>99</v>
      </c>
      <c r="I632" s="7">
        <v>-1</v>
      </c>
      <c r="J632" s="29" t="s">
        <v>350</v>
      </c>
      <c r="K632" s="26" t="str">
        <f>IFERROR(VLOOKUP(Tabla2[[#This Row],[CODIGO]],Tabla1[],11,0),"")</f>
        <v>COMPRA</v>
      </c>
      <c r="L632" s="67" t="s">
        <v>236</v>
      </c>
      <c r="M632" s="67" t="s">
        <v>301</v>
      </c>
      <c r="N632" s="70">
        <v>8</v>
      </c>
      <c r="O632" s="70">
        <f>Tabla2[[#This Row],[CANTIDAD]]*Tabla2[[#This Row],[PREC. UNITARIO]]</f>
        <v>-8</v>
      </c>
      <c r="R632" t="str">
        <f>Tabla2[[#This Row],[QUIEN RECIBE]]&amp;"-"&amp;TEXT(Tabla2[[#This Row],[FECHA]],"dd/mm/yyyy")</f>
        <v>GUTARATE SABINO, ADRIEL ANTONY-09/10/2025</v>
      </c>
    </row>
    <row r="633" spans="2:18" ht="20.45" hidden="1" customHeight="1" x14ac:dyDescent="0.25">
      <c r="B633" s="5">
        <v>45939</v>
      </c>
      <c r="C633" s="2" t="str">
        <f>IFERROR(_xlfn.XLOOKUP(Tabla2[[#This Row],[PRODUCTO]],Tabla1[PRODUCTO],Tabla1[CODIGO]),"")</f>
        <v>CAR-2</v>
      </c>
      <c r="D633" s="31" t="s">
        <v>367</v>
      </c>
      <c r="E633" s="31" t="str">
        <f>IFERROR(VLOOKUP(Tabla2[[#This Row],[CODIGO]],Tabla1[],3,0),"")</f>
        <v>CARPINTERIA</v>
      </c>
      <c r="F633" s="28" t="str">
        <f>IFERROR(VLOOKUP(Tabla2[[#This Row],[CODIGO]],Tabla1[],5,0),"")</f>
        <v>ALMACEN TICAPAMPA</v>
      </c>
      <c r="G633" s="26" t="str">
        <f>IFERROR(VLOOKUP(Tabla2[[#This Row],[CODIGO]],Tabla1[],6,0),"")</f>
        <v>UNI</v>
      </c>
      <c r="H633" s="26">
        <f>IFERROR(VLOOKUP(Tabla2[[#This Row],[CODIGO]],Tabla1[],10,0),"")</f>
        <v>50</v>
      </c>
      <c r="I633" s="7">
        <v>-50</v>
      </c>
      <c r="J633" s="29" t="s">
        <v>386</v>
      </c>
      <c r="K633" s="26" t="str">
        <f>IFERROR(VLOOKUP(Tabla2[[#This Row],[CODIGO]],Tabla1[],11,0),"")</f>
        <v>COMPRA</v>
      </c>
      <c r="L633" s="67" t="s">
        <v>236</v>
      </c>
      <c r="M633" s="67" t="s">
        <v>262</v>
      </c>
      <c r="N633" s="70"/>
      <c r="O633" s="70">
        <f>Tabla2[[#This Row],[CANTIDAD]]*Tabla2[[#This Row],[PREC. UNITARIO]]</f>
        <v>0</v>
      </c>
      <c r="R633" t="str">
        <f>Tabla2[[#This Row],[QUIEN RECIBE]]&amp;"-"&amp;TEXT(Tabla2[[#This Row],[FECHA]],"dd/mm/yyyy")</f>
        <v>CHACON ORTIZ, JOSE ANTONIO-09/10/2025</v>
      </c>
    </row>
    <row r="634" spans="2:18" ht="20.45" hidden="1" customHeight="1" x14ac:dyDescent="0.25">
      <c r="B634" s="5">
        <v>45939</v>
      </c>
      <c r="C634" s="2" t="str">
        <f>IFERROR(_xlfn.XLOOKUP(Tabla2[[#This Row],[PRODUCTO]],Tabla1[PRODUCTO],Tabla1[CODIGO]),"")</f>
        <v>HM-19</v>
      </c>
      <c r="D634" s="31" t="s">
        <v>385</v>
      </c>
      <c r="E634" s="31" t="str">
        <f>IFERROR(VLOOKUP(Tabla2[[#This Row],[CODIGO]],Tabla1[],3,0),"")</f>
        <v>HERRAMIENTAS</v>
      </c>
      <c r="F634" s="28" t="str">
        <f>IFERROR(VLOOKUP(Tabla2[[#This Row],[CODIGO]],Tabla1[],5,0),"")</f>
        <v>ALMACEN TICAPAMPA</v>
      </c>
      <c r="G634" s="26" t="str">
        <f>IFERROR(VLOOKUP(Tabla2[[#This Row],[CODIGO]],Tabla1[],6,0),"")</f>
        <v>UNI</v>
      </c>
      <c r="H634" s="26">
        <f>IFERROR(VLOOKUP(Tabla2[[#This Row],[CODIGO]],Tabla1[],10,0),"")</f>
        <v>1</v>
      </c>
      <c r="I634" s="7">
        <v>-2</v>
      </c>
      <c r="J634" s="29" t="s">
        <v>386</v>
      </c>
      <c r="K634" s="26" t="str">
        <f>IFERROR(VLOOKUP(Tabla2[[#This Row],[CODIGO]],Tabla1[],11,0),"")</f>
        <v>COMPRA</v>
      </c>
      <c r="L634" s="67" t="s">
        <v>236</v>
      </c>
      <c r="M634" s="67" t="s">
        <v>262</v>
      </c>
      <c r="N634" s="70"/>
      <c r="O634" s="70">
        <f>Tabla2[[#This Row],[CANTIDAD]]*Tabla2[[#This Row],[PREC. UNITARIO]]</f>
        <v>0</v>
      </c>
      <c r="R634" t="str">
        <f>Tabla2[[#This Row],[QUIEN RECIBE]]&amp;"-"&amp;TEXT(Tabla2[[#This Row],[FECHA]],"dd/mm/yyyy")</f>
        <v>CHACON ORTIZ, JOSE ANTONIO-09/10/2025</v>
      </c>
    </row>
    <row r="635" spans="2:18" ht="20.45" hidden="1" customHeight="1" x14ac:dyDescent="0.25">
      <c r="B635" s="5">
        <v>45939</v>
      </c>
      <c r="C635" s="2" t="str">
        <f>IFERROR(_xlfn.XLOOKUP(Tabla2[[#This Row],[PRODUCTO]],Tabla1[PRODUCTO],Tabla1[CODIGO]),"")</f>
        <v>HM-18</v>
      </c>
      <c r="D635" s="31" t="s">
        <v>384</v>
      </c>
      <c r="E635" s="31" t="str">
        <f>IFERROR(VLOOKUP(Tabla2[[#This Row],[CODIGO]],Tabla1[],3,0),"")</f>
        <v>HERRAMIENTAS</v>
      </c>
      <c r="F635" s="28" t="str">
        <f>IFERROR(VLOOKUP(Tabla2[[#This Row],[CODIGO]],Tabla1[],5,0),"")</f>
        <v>ALMACEN TICAPAMPA</v>
      </c>
      <c r="G635" s="26" t="str">
        <f>IFERROR(VLOOKUP(Tabla2[[#This Row],[CODIGO]],Tabla1[],6,0),"")</f>
        <v>UNI</v>
      </c>
      <c r="H635" s="26">
        <f>IFERROR(VLOOKUP(Tabla2[[#This Row],[CODIGO]],Tabla1[],10,0),"")</f>
        <v>22</v>
      </c>
      <c r="I635" s="7">
        <v>-1</v>
      </c>
      <c r="J635" s="29" t="s">
        <v>350</v>
      </c>
      <c r="K635" s="26" t="str">
        <f>IFERROR(VLOOKUP(Tabla2[[#This Row],[CODIGO]],Tabla1[],11,0),"")</f>
        <v>COMPRA</v>
      </c>
      <c r="L635" s="67" t="s">
        <v>236</v>
      </c>
      <c r="M635" s="67" t="s">
        <v>240</v>
      </c>
      <c r="N635" s="70"/>
      <c r="O635" s="70">
        <f>Tabla2[[#This Row],[CANTIDAD]]*Tabla2[[#This Row],[PREC. UNITARIO]]</f>
        <v>0</v>
      </c>
      <c r="R635" t="str">
        <f>Tabla2[[#This Row],[QUIEN RECIBE]]&amp;"-"&amp;TEXT(Tabla2[[#This Row],[FECHA]],"dd/mm/yyyy")</f>
        <v>LOZANO MALDONADO, HERNAN-09/10/2025</v>
      </c>
    </row>
    <row r="636" spans="2:18" ht="20.45" hidden="1" customHeight="1" x14ac:dyDescent="0.25">
      <c r="B636" s="5">
        <v>45939</v>
      </c>
      <c r="C636" s="2" t="str">
        <f>IFERROR(_xlfn.XLOOKUP(Tabla2[[#This Row],[PRODUCTO]],Tabla1[PRODUCTO],Tabla1[CODIGO]),"")</f>
        <v>IS-40</v>
      </c>
      <c r="D636" s="31" t="s">
        <v>409</v>
      </c>
      <c r="E636" s="31" t="str">
        <f>IFERROR(VLOOKUP(Tabla2[[#This Row],[CODIGO]],Tabla1[],3,0),"")</f>
        <v>IMPLEMENTOS DE SEGURIDAD</v>
      </c>
      <c r="F636" s="28" t="str">
        <f>IFERROR(VLOOKUP(Tabla2[[#This Row],[CODIGO]],Tabla1[],5,0),"")</f>
        <v>ALMACEN TICAPAMPA</v>
      </c>
      <c r="G636" s="26" t="str">
        <f>IFERROR(VLOOKUP(Tabla2[[#This Row],[CODIGO]],Tabla1[],6,0),"")</f>
        <v>UNI</v>
      </c>
      <c r="H636" s="26">
        <f>IFERROR(VLOOKUP(Tabla2[[#This Row],[CODIGO]],Tabla1[],10,0),"")</f>
        <v>22</v>
      </c>
      <c r="I636" s="7">
        <v>-1</v>
      </c>
      <c r="J636" s="29" t="s">
        <v>350</v>
      </c>
      <c r="K636" s="26" t="str">
        <f>IFERROR(VLOOKUP(Tabla2[[#This Row],[CODIGO]],Tabla1[],11,0),"")</f>
        <v>COMPRA</v>
      </c>
      <c r="L636" s="67" t="s">
        <v>236</v>
      </c>
      <c r="M636" s="67" t="s">
        <v>307</v>
      </c>
      <c r="N636" s="70"/>
      <c r="O636" s="70">
        <f>Tabla2[[#This Row],[CANTIDAD]]*Tabla2[[#This Row],[PREC. UNITARIO]]</f>
        <v>0</v>
      </c>
      <c r="R636" t="str">
        <f>Tabla2[[#This Row],[QUIEN RECIBE]]&amp;"-"&amp;TEXT(Tabla2[[#This Row],[FECHA]],"dd/mm/yyyy")</f>
        <v>CACERES CALACHUA, YEYSON JORGE-09/10/2025</v>
      </c>
    </row>
    <row r="637" spans="2:18" ht="20.45" hidden="1" customHeight="1" x14ac:dyDescent="0.25">
      <c r="B637" s="5">
        <v>45938</v>
      </c>
      <c r="C637" s="2" t="str">
        <f>IFERROR(_xlfn.XLOOKUP(Tabla2[[#This Row],[PRODUCTO]],Tabla1[PRODUCTO],Tabla1[CODIGO]),"")</f>
        <v>IS-31</v>
      </c>
      <c r="D637" s="31" t="s">
        <v>82</v>
      </c>
      <c r="E637" s="31" t="str">
        <f>IFERROR(VLOOKUP(Tabla2[[#This Row],[CODIGO]],Tabla1[],3,0),"")</f>
        <v>IMPLEMENTOS DE SEGURIDAD</v>
      </c>
      <c r="F637" s="28" t="str">
        <f>IFERROR(VLOOKUP(Tabla2[[#This Row],[CODIGO]],Tabla1[],5,0),"")</f>
        <v>ALMACEN TICAPAMPA</v>
      </c>
      <c r="G637" s="26" t="str">
        <f>IFERROR(VLOOKUP(Tabla2[[#This Row],[CODIGO]],Tabla1[],6,0),"")</f>
        <v>UNI</v>
      </c>
      <c r="H637" s="26">
        <f>IFERROR(VLOOKUP(Tabla2[[#This Row],[CODIGO]],Tabla1[],10,0),"")</f>
        <v>0</v>
      </c>
      <c r="I637" s="7">
        <v>-1</v>
      </c>
      <c r="J637" s="29" t="s">
        <v>321</v>
      </c>
      <c r="K637" s="26" t="str">
        <f>IFERROR(VLOOKUP(Tabla2[[#This Row],[CODIGO]],Tabla1[],11,0),"")</f>
        <v>COMPRA</v>
      </c>
      <c r="L637" s="67" t="s">
        <v>236</v>
      </c>
      <c r="M637" s="67" t="s">
        <v>239</v>
      </c>
      <c r="N637" s="70">
        <v>22</v>
      </c>
      <c r="O637" s="70">
        <f>Tabla2[[#This Row],[CANTIDAD]]*Tabla2[[#This Row],[PREC. UNITARIO]]</f>
        <v>-22</v>
      </c>
      <c r="R637" t="str">
        <f>Tabla2[[#This Row],[QUIEN RECIBE]]&amp;"-"&amp;TEXT(Tabla2[[#This Row],[FECHA]],"dd/mm/yyyy")</f>
        <v>JEREMIAS PALOMINO, NORBERTO LEONCIO-08/10/2025</v>
      </c>
    </row>
    <row r="638" spans="2:18" ht="20.45" hidden="1" customHeight="1" x14ac:dyDescent="0.25">
      <c r="B638" s="5">
        <v>45936</v>
      </c>
      <c r="C638" s="2" t="str">
        <f>IFERROR(_xlfn.XLOOKUP(Tabla2[[#This Row],[PRODUCTO]],Tabla1[PRODUCTO],Tabla1[CODIGO]),"")</f>
        <v>IS-32</v>
      </c>
      <c r="D638" s="31" t="s">
        <v>83</v>
      </c>
      <c r="E638" s="31" t="str">
        <f>IFERROR(VLOOKUP(Tabla2[[#This Row],[CODIGO]],Tabla1[],3,0),"")</f>
        <v>IMPLEMENTOS DE SEGURIDAD</v>
      </c>
      <c r="F638" s="28" t="str">
        <f>IFERROR(VLOOKUP(Tabla2[[#This Row],[CODIGO]],Tabla1[],5,0),"")</f>
        <v>ALMACEN TICAPAMPA</v>
      </c>
      <c r="G638" s="26" t="str">
        <f>IFERROR(VLOOKUP(Tabla2[[#This Row],[CODIGO]],Tabla1[],6,0),"")</f>
        <v>UNI</v>
      </c>
      <c r="H638" s="26">
        <f>IFERROR(VLOOKUP(Tabla2[[#This Row],[CODIGO]],Tabla1[],10,0),"")</f>
        <v>5</v>
      </c>
      <c r="I638" s="7">
        <v>-1</v>
      </c>
      <c r="J638" s="29" t="s">
        <v>321</v>
      </c>
      <c r="K638" s="26" t="str">
        <f>IFERROR(VLOOKUP(Tabla2[[#This Row],[CODIGO]],Tabla1[],11,0),"")</f>
        <v>COMPRA</v>
      </c>
      <c r="L638" s="67" t="s">
        <v>236</v>
      </c>
      <c r="M638" s="67" t="s">
        <v>545</v>
      </c>
      <c r="N638" s="70">
        <v>22</v>
      </c>
      <c r="O638" s="70">
        <f>Tabla2[[#This Row],[CANTIDAD]]*Tabla2[[#This Row],[PREC. UNITARIO]]</f>
        <v>-22</v>
      </c>
      <c r="R638" t="str">
        <f>Tabla2[[#This Row],[QUIEN RECIBE]]&amp;"-"&amp;TEXT(Tabla2[[#This Row],[FECHA]],"dd/mm/yyyy")</f>
        <v>ROSAS CHACHAQUE, WILSON JHONY-06/10/2025</v>
      </c>
    </row>
    <row r="639" spans="2:18" ht="20.45" hidden="1" customHeight="1" x14ac:dyDescent="0.25">
      <c r="B639" s="5">
        <v>45936</v>
      </c>
      <c r="C639" s="2" t="str">
        <f>IFERROR(_xlfn.XLOOKUP(Tabla2[[#This Row],[PRODUCTO]],Tabla1[PRODUCTO],Tabla1[CODIGO]),"")</f>
        <v>IS-14</v>
      </c>
      <c r="D639" s="31" t="s">
        <v>271</v>
      </c>
      <c r="E639" s="31" t="str">
        <f>IFERROR(VLOOKUP(Tabla2[[#This Row],[CODIGO]],Tabla1[],3,0),"")</f>
        <v>IMPLEMENTOS DE SEGURIDAD</v>
      </c>
      <c r="F639" s="28" t="str">
        <f>IFERROR(VLOOKUP(Tabla2[[#This Row],[CODIGO]],Tabla1[],5,0),"")</f>
        <v>ALMACEN TICAPAMPA</v>
      </c>
      <c r="G639" s="26" t="str">
        <f>IFERROR(VLOOKUP(Tabla2[[#This Row],[CODIGO]],Tabla1[],6,0),"")</f>
        <v>UNI</v>
      </c>
      <c r="H639" s="26">
        <f>IFERROR(VLOOKUP(Tabla2[[#This Row],[CODIGO]],Tabla1[],10,0),"")</f>
        <v>1</v>
      </c>
      <c r="I639" s="7">
        <v>-1</v>
      </c>
      <c r="J639" s="29" t="s">
        <v>321</v>
      </c>
      <c r="K639" s="26" t="str">
        <f>IFERROR(VLOOKUP(Tabla2[[#This Row],[CODIGO]],Tabla1[],11,0),"")</f>
        <v>COMPRA</v>
      </c>
      <c r="L639" s="67" t="s">
        <v>236</v>
      </c>
      <c r="M639" s="67" t="s">
        <v>545</v>
      </c>
      <c r="N639" s="70">
        <v>4</v>
      </c>
      <c r="O639" s="70">
        <f>Tabla2[[#This Row],[CANTIDAD]]*Tabla2[[#This Row],[PREC. UNITARIO]]</f>
        <v>-4</v>
      </c>
      <c r="R639" t="str">
        <f>Tabla2[[#This Row],[QUIEN RECIBE]]&amp;"-"&amp;TEXT(Tabla2[[#This Row],[FECHA]],"dd/mm/yyyy")</f>
        <v>ROSAS CHACHAQUE, WILSON JHONY-06/10/2025</v>
      </c>
    </row>
    <row r="640" spans="2:18" ht="20.45" hidden="1" customHeight="1" x14ac:dyDescent="0.25">
      <c r="B640" s="5">
        <v>45939</v>
      </c>
      <c r="C640" s="2" t="str">
        <f>IFERROR(_xlfn.XLOOKUP(Tabla2[[#This Row],[PRODUCTO]],Tabla1[PRODUCTO],Tabla1[CODIGO]),"")</f>
        <v>IS-31</v>
      </c>
      <c r="D640" s="31" t="s">
        <v>82</v>
      </c>
      <c r="E640" s="31" t="str">
        <f>IFERROR(VLOOKUP(Tabla2[[#This Row],[CODIGO]],Tabla1[],3,0),"")</f>
        <v>IMPLEMENTOS DE SEGURIDAD</v>
      </c>
      <c r="F640" s="28" t="str">
        <f>IFERROR(VLOOKUP(Tabla2[[#This Row],[CODIGO]],Tabla1[],5,0),"")</f>
        <v>ALMACEN TICAPAMPA</v>
      </c>
      <c r="G640" s="26" t="str">
        <f>IFERROR(VLOOKUP(Tabla2[[#This Row],[CODIGO]],Tabla1[],6,0),"")</f>
        <v>UNI</v>
      </c>
      <c r="H640" s="26">
        <f>IFERROR(VLOOKUP(Tabla2[[#This Row],[CODIGO]],Tabla1[],10,0),"")</f>
        <v>0</v>
      </c>
      <c r="I640" s="7">
        <v>-1</v>
      </c>
      <c r="J640" s="29" t="s">
        <v>321</v>
      </c>
      <c r="K640" s="26" t="str">
        <f>IFERROR(VLOOKUP(Tabla2[[#This Row],[CODIGO]],Tabla1[],11,0),"")</f>
        <v>COMPRA</v>
      </c>
      <c r="L640" s="67" t="s">
        <v>236</v>
      </c>
      <c r="M640" s="67" t="s">
        <v>240</v>
      </c>
      <c r="N640" s="70">
        <v>22</v>
      </c>
      <c r="O640" s="70">
        <f>Tabla2[[#This Row],[CANTIDAD]]*Tabla2[[#This Row],[PREC. UNITARIO]]</f>
        <v>-22</v>
      </c>
      <c r="R640" t="str">
        <f>Tabla2[[#This Row],[QUIEN RECIBE]]&amp;"-"&amp;TEXT(Tabla2[[#This Row],[FECHA]],"dd/mm/yyyy")</f>
        <v>LOZANO MALDONADO, HERNAN-09/10/2025</v>
      </c>
    </row>
    <row r="641" spans="2:18" ht="20.45" hidden="1" customHeight="1" x14ac:dyDescent="0.25">
      <c r="B641" s="5">
        <v>45939</v>
      </c>
      <c r="C641" s="2" t="str">
        <f>IFERROR(_xlfn.XLOOKUP(Tabla2[[#This Row],[PRODUCTO]],Tabla1[PRODUCTO],Tabla1[CODIGO]),"")</f>
        <v>IS-32</v>
      </c>
      <c r="D641" s="31" t="s">
        <v>83</v>
      </c>
      <c r="E641" s="31" t="str">
        <f>IFERROR(VLOOKUP(Tabla2[[#This Row],[CODIGO]],Tabla1[],3,0),"")</f>
        <v>IMPLEMENTOS DE SEGURIDAD</v>
      </c>
      <c r="F641" s="28" t="str">
        <f>IFERROR(VLOOKUP(Tabla2[[#This Row],[CODIGO]],Tabla1[],5,0),"")</f>
        <v>ALMACEN TICAPAMPA</v>
      </c>
      <c r="G641" s="26" t="str">
        <f>IFERROR(VLOOKUP(Tabla2[[#This Row],[CODIGO]],Tabla1[],6,0),"")</f>
        <v>UNI</v>
      </c>
      <c r="H641" s="26">
        <f>IFERROR(VLOOKUP(Tabla2[[#This Row],[CODIGO]],Tabla1[],10,0),"")</f>
        <v>5</v>
      </c>
      <c r="I641" s="7">
        <v>-1</v>
      </c>
      <c r="J641" s="29" t="s">
        <v>321</v>
      </c>
      <c r="K641" s="26" t="str">
        <f>IFERROR(VLOOKUP(Tabla2[[#This Row],[CODIGO]],Tabla1[],11,0),"")</f>
        <v>COMPRA</v>
      </c>
      <c r="L641" s="67" t="s">
        <v>236</v>
      </c>
      <c r="M641" s="67" t="s">
        <v>303</v>
      </c>
      <c r="N641" s="70">
        <v>22</v>
      </c>
      <c r="O641" s="70">
        <f>Tabla2[[#This Row],[CANTIDAD]]*Tabla2[[#This Row],[PREC. UNITARIO]]</f>
        <v>-22</v>
      </c>
      <c r="R641" t="str">
        <f>Tabla2[[#This Row],[QUIEN RECIBE]]&amp;"-"&amp;TEXT(Tabla2[[#This Row],[FECHA]],"dd/mm/yyyy")</f>
        <v>APASTEGUI GRANDEZ, LUIS ALFREDO -09/10/2025</v>
      </c>
    </row>
    <row r="642" spans="2:18" ht="20.45" hidden="1" customHeight="1" x14ac:dyDescent="0.25">
      <c r="B642" s="5">
        <v>45939</v>
      </c>
      <c r="C642" s="2" t="str">
        <f>IFERROR(_xlfn.XLOOKUP(Tabla2[[#This Row],[PRODUCTO]],Tabla1[PRODUCTO],Tabla1[CODIGO]),"")</f>
        <v>IS-32</v>
      </c>
      <c r="D642" s="31" t="s">
        <v>83</v>
      </c>
      <c r="E642" s="31" t="str">
        <f>IFERROR(VLOOKUP(Tabla2[[#This Row],[CODIGO]],Tabla1[],3,0),"")</f>
        <v>IMPLEMENTOS DE SEGURIDAD</v>
      </c>
      <c r="F642" s="28" t="str">
        <f>IFERROR(VLOOKUP(Tabla2[[#This Row],[CODIGO]],Tabla1[],5,0),"")</f>
        <v>ALMACEN TICAPAMPA</v>
      </c>
      <c r="G642" s="26" t="str">
        <f>IFERROR(VLOOKUP(Tabla2[[#This Row],[CODIGO]],Tabla1[],6,0),"")</f>
        <v>UNI</v>
      </c>
      <c r="H642" s="26">
        <f>IFERROR(VLOOKUP(Tabla2[[#This Row],[CODIGO]],Tabla1[],10,0),"")</f>
        <v>5</v>
      </c>
      <c r="I642" s="7">
        <v>-1</v>
      </c>
      <c r="J642" s="29" t="s">
        <v>321</v>
      </c>
      <c r="K642" s="26" t="str">
        <f>IFERROR(VLOOKUP(Tabla2[[#This Row],[CODIGO]],Tabla1[],11,0),"")</f>
        <v>COMPRA</v>
      </c>
      <c r="L642" s="67" t="s">
        <v>236</v>
      </c>
      <c r="M642" s="67" t="s">
        <v>323</v>
      </c>
      <c r="N642" s="70">
        <v>22</v>
      </c>
      <c r="O642" s="70">
        <f>Tabla2[[#This Row],[CANTIDAD]]*Tabla2[[#This Row],[PREC. UNITARIO]]</f>
        <v>-22</v>
      </c>
      <c r="R642" t="str">
        <f>Tabla2[[#This Row],[QUIEN RECIBE]]&amp;"-"&amp;TEXT(Tabla2[[#This Row],[FECHA]],"dd/mm/yyyy")</f>
        <v>TUANAMA PILCO, CRHIS-09/10/2025</v>
      </c>
    </row>
    <row r="643" spans="2:18" ht="20.45" hidden="1" customHeight="1" x14ac:dyDescent="0.25">
      <c r="B643" s="5">
        <v>45939</v>
      </c>
      <c r="C643" s="2" t="str">
        <f>IFERROR(_xlfn.XLOOKUP(Tabla2[[#This Row],[PRODUCTO]],Tabla1[PRODUCTO],Tabla1[CODIGO]),"")</f>
        <v>IS-32</v>
      </c>
      <c r="D643" s="31" t="s">
        <v>83</v>
      </c>
      <c r="E643" s="31" t="str">
        <f>IFERROR(VLOOKUP(Tabla2[[#This Row],[CODIGO]],Tabla1[],3,0),"")</f>
        <v>IMPLEMENTOS DE SEGURIDAD</v>
      </c>
      <c r="F643" s="28" t="str">
        <f>IFERROR(VLOOKUP(Tabla2[[#This Row],[CODIGO]],Tabla1[],5,0),"")</f>
        <v>ALMACEN TICAPAMPA</v>
      </c>
      <c r="G643" s="26" t="str">
        <f>IFERROR(VLOOKUP(Tabla2[[#This Row],[CODIGO]],Tabla1[],6,0),"")</f>
        <v>UNI</v>
      </c>
      <c r="H643" s="26">
        <f>IFERROR(VLOOKUP(Tabla2[[#This Row],[CODIGO]],Tabla1[],10,0),"")</f>
        <v>5</v>
      </c>
      <c r="I643" s="7">
        <v>-1</v>
      </c>
      <c r="J643" s="29" t="s">
        <v>321</v>
      </c>
      <c r="K643" s="26" t="str">
        <f>IFERROR(VLOOKUP(Tabla2[[#This Row],[CODIGO]],Tabla1[],11,0),"")</f>
        <v>COMPRA</v>
      </c>
      <c r="L643" s="67" t="s">
        <v>236</v>
      </c>
      <c r="M643" s="67" t="s">
        <v>301</v>
      </c>
      <c r="N643" s="70">
        <v>22</v>
      </c>
      <c r="O643" s="70">
        <f>Tabla2[[#This Row],[CANTIDAD]]*Tabla2[[#This Row],[PREC. UNITARIO]]</f>
        <v>-22</v>
      </c>
      <c r="R643" t="str">
        <f>Tabla2[[#This Row],[QUIEN RECIBE]]&amp;"-"&amp;TEXT(Tabla2[[#This Row],[FECHA]],"dd/mm/yyyy")</f>
        <v>GUTARATE SABINO, ADRIEL ANTONY-09/10/2025</v>
      </c>
    </row>
    <row r="644" spans="2:18" ht="20.45" hidden="1" customHeight="1" x14ac:dyDescent="0.25">
      <c r="B644" s="5">
        <v>45939</v>
      </c>
      <c r="C644" s="2" t="str">
        <f>IFERROR(_xlfn.XLOOKUP(Tabla2[[#This Row],[PRODUCTO]],Tabla1[PRODUCTO],Tabla1[CODIGO]),"")</f>
        <v>IS-32</v>
      </c>
      <c r="D644" s="31" t="s">
        <v>83</v>
      </c>
      <c r="E644" s="31" t="str">
        <f>IFERROR(VLOOKUP(Tabla2[[#This Row],[CODIGO]],Tabla1[],3,0),"")</f>
        <v>IMPLEMENTOS DE SEGURIDAD</v>
      </c>
      <c r="F644" s="28" t="str">
        <f>IFERROR(VLOOKUP(Tabla2[[#This Row],[CODIGO]],Tabla1[],5,0),"")</f>
        <v>ALMACEN TICAPAMPA</v>
      </c>
      <c r="G644" s="26" t="str">
        <f>IFERROR(VLOOKUP(Tabla2[[#This Row],[CODIGO]],Tabla1[],6,0),"")</f>
        <v>UNI</v>
      </c>
      <c r="H644" s="26">
        <f>IFERROR(VLOOKUP(Tabla2[[#This Row],[CODIGO]],Tabla1[],10,0),"")</f>
        <v>5</v>
      </c>
      <c r="I644" s="7">
        <v>-1</v>
      </c>
      <c r="J644" s="29" t="s">
        <v>321</v>
      </c>
      <c r="K644" s="26" t="str">
        <f>IFERROR(VLOOKUP(Tabla2[[#This Row],[CODIGO]],Tabla1[],11,0),"")</f>
        <v>COMPRA</v>
      </c>
      <c r="L644" s="67" t="s">
        <v>236</v>
      </c>
      <c r="M644" s="67" t="s">
        <v>302</v>
      </c>
      <c r="N644" s="70">
        <v>22</v>
      </c>
      <c r="O644" s="70">
        <f>Tabla2[[#This Row],[CANTIDAD]]*Tabla2[[#This Row],[PREC. UNITARIO]]</f>
        <v>-22</v>
      </c>
      <c r="R644" t="str">
        <f>Tabla2[[#This Row],[QUIEN RECIBE]]&amp;"-"&amp;TEXT(Tabla2[[#This Row],[FECHA]],"dd/mm/yyyy")</f>
        <v>QUISPE LIMACHE, ROGELIO -09/10/2025</v>
      </c>
    </row>
    <row r="645" spans="2:18" ht="20.45" hidden="1" customHeight="1" x14ac:dyDescent="0.25">
      <c r="B645" s="5">
        <v>45939</v>
      </c>
      <c r="C645" s="2" t="str">
        <f>IFERROR(_xlfn.XLOOKUP(Tabla2[[#This Row],[PRODUCTO]],Tabla1[PRODUCTO],Tabla1[CODIGO]),"")</f>
        <v>IS-32</v>
      </c>
      <c r="D645" s="31" t="s">
        <v>83</v>
      </c>
      <c r="E645" s="31" t="str">
        <f>IFERROR(VLOOKUP(Tabla2[[#This Row],[CODIGO]],Tabla1[],3,0),"")</f>
        <v>IMPLEMENTOS DE SEGURIDAD</v>
      </c>
      <c r="F645" s="28" t="str">
        <f>IFERROR(VLOOKUP(Tabla2[[#This Row],[CODIGO]],Tabla1[],5,0),"")</f>
        <v>ALMACEN TICAPAMPA</v>
      </c>
      <c r="G645" s="26" t="str">
        <f>IFERROR(VLOOKUP(Tabla2[[#This Row],[CODIGO]],Tabla1[],6,0),"")</f>
        <v>UNI</v>
      </c>
      <c r="H645" s="26">
        <f>IFERROR(VLOOKUP(Tabla2[[#This Row],[CODIGO]],Tabla1[],10,0),"")</f>
        <v>5</v>
      </c>
      <c r="I645" s="7">
        <v>-1</v>
      </c>
      <c r="J645" s="29" t="s">
        <v>321</v>
      </c>
      <c r="K645" s="26" t="str">
        <f>IFERROR(VLOOKUP(Tabla2[[#This Row],[CODIGO]],Tabla1[],11,0),"")</f>
        <v>COMPRA</v>
      </c>
      <c r="L645" s="67" t="s">
        <v>236</v>
      </c>
      <c r="M645" s="67" t="s">
        <v>545</v>
      </c>
      <c r="N645" s="70">
        <v>22</v>
      </c>
      <c r="O645" s="70">
        <f>Tabla2[[#This Row],[CANTIDAD]]*Tabla2[[#This Row],[PREC. UNITARIO]]</f>
        <v>-22</v>
      </c>
      <c r="R645" t="str">
        <f>Tabla2[[#This Row],[QUIEN RECIBE]]&amp;"-"&amp;TEXT(Tabla2[[#This Row],[FECHA]],"dd/mm/yyyy")</f>
        <v>ROSAS CHACHAQUE, WILSON JHONY-09/10/2025</v>
      </c>
    </row>
    <row r="646" spans="2:18" ht="20.45" hidden="1" customHeight="1" x14ac:dyDescent="0.25">
      <c r="B646" s="5">
        <v>45939</v>
      </c>
      <c r="C646" s="2" t="str">
        <f>IFERROR(_xlfn.XLOOKUP(Tabla2[[#This Row],[PRODUCTO]],Tabla1[PRODUCTO],Tabla1[CODIGO]),"")</f>
        <v>IS-32</v>
      </c>
      <c r="D646" s="31" t="s">
        <v>83</v>
      </c>
      <c r="E646" s="31" t="str">
        <f>IFERROR(VLOOKUP(Tabla2[[#This Row],[CODIGO]],Tabla1[],3,0),"")</f>
        <v>IMPLEMENTOS DE SEGURIDAD</v>
      </c>
      <c r="F646" s="28" t="str">
        <f>IFERROR(VLOOKUP(Tabla2[[#This Row],[CODIGO]],Tabla1[],5,0),"")</f>
        <v>ALMACEN TICAPAMPA</v>
      </c>
      <c r="G646" s="26" t="str">
        <f>IFERROR(VLOOKUP(Tabla2[[#This Row],[CODIGO]],Tabla1[],6,0),"")</f>
        <v>UNI</v>
      </c>
      <c r="H646" s="26">
        <f>IFERROR(VLOOKUP(Tabla2[[#This Row],[CODIGO]],Tabla1[],10,0),"")</f>
        <v>5</v>
      </c>
      <c r="I646" s="7">
        <v>-1</v>
      </c>
      <c r="J646" s="29" t="s">
        <v>321</v>
      </c>
      <c r="K646" s="26" t="str">
        <f>IFERROR(VLOOKUP(Tabla2[[#This Row],[CODIGO]],Tabla1[],11,0),"")</f>
        <v>COMPRA</v>
      </c>
      <c r="L646" s="67" t="s">
        <v>236</v>
      </c>
      <c r="M646" s="67" t="s">
        <v>245</v>
      </c>
      <c r="N646" s="70">
        <v>22</v>
      </c>
      <c r="O646" s="70">
        <f>Tabla2[[#This Row],[CANTIDAD]]*Tabla2[[#This Row],[PREC. UNITARIO]]</f>
        <v>-22</v>
      </c>
      <c r="R646" t="str">
        <f>Tabla2[[#This Row],[QUIEN RECIBE]]&amp;"-"&amp;TEXT(Tabla2[[#This Row],[FECHA]],"dd/mm/yyyy")</f>
        <v>ROJAS SANDOVAL, JAVIER ELOY-09/10/2025</v>
      </c>
    </row>
    <row r="647" spans="2:18" ht="20.45" hidden="1" customHeight="1" x14ac:dyDescent="0.25">
      <c r="B647" s="5">
        <v>45939</v>
      </c>
      <c r="C647" s="2" t="str">
        <f>IFERROR(_xlfn.XLOOKUP(Tabla2[[#This Row],[PRODUCTO]],Tabla1[PRODUCTO],Tabla1[CODIGO]),"")</f>
        <v>IS-33</v>
      </c>
      <c r="D647" s="31" t="s">
        <v>84</v>
      </c>
      <c r="E647" s="31" t="str">
        <f>IFERROR(VLOOKUP(Tabla2[[#This Row],[CODIGO]],Tabla1[],3,0),"")</f>
        <v>IMPLEMENTOS DE SEGURIDAD</v>
      </c>
      <c r="F647" s="28" t="str">
        <f>IFERROR(VLOOKUP(Tabla2[[#This Row],[CODIGO]],Tabla1[],5,0),"")</f>
        <v>ALMACEN TICAPAMPA</v>
      </c>
      <c r="G647" s="26" t="str">
        <f>IFERROR(VLOOKUP(Tabla2[[#This Row],[CODIGO]],Tabla1[],6,0),"")</f>
        <v>UNI</v>
      </c>
      <c r="H647" s="26">
        <f>IFERROR(VLOOKUP(Tabla2[[#This Row],[CODIGO]],Tabla1[],10,0),"")</f>
        <v>1</v>
      </c>
      <c r="I647" s="7">
        <v>-1</v>
      </c>
      <c r="J647" s="29" t="s">
        <v>321</v>
      </c>
      <c r="K647" s="26" t="str">
        <f>IFERROR(VLOOKUP(Tabla2[[#This Row],[CODIGO]],Tabla1[],11,0),"")</f>
        <v>COMPRA</v>
      </c>
      <c r="L647" s="67" t="s">
        <v>236</v>
      </c>
      <c r="M647" s="67" t="s">
        <v>493</v>
      </c>
      <c r="N647" s="70">
        <v>22</v>
      </c>
      <c r="O647" s="70">
        <f>Tabla2[[#This Row],[CANTIDAD]]*Tabla2[[#This Row],[PREC. UNITARIO]]</f>
        <v>-22</v>
      </c>
      <c r="R647" t="str">
        <f>Tabla2[[#This Row],[QUIEN RECIBE]]&amp;"-"&amp;TEXT(Tabla2[[#This Row],[FECHA]],"dd/mm/yyyy")</f>
        <v>TACANAHUI CALISAYA, NESTOR-09/10/2025</v>
      </c>
    </row>
    <row r="648" spans="2:18" ht="20.45" hidden="1" customHeight="1" x14ac:dyDescent="0.25">
      <c r="B648" s="5">
        <v>45939</v>
      </c>
      <c r="C648" s="2" t="str">
        <f>IFERROR(_xlfn.XLOOKUP(Tabla2[[#This Row],[PRODUCTO]],Tabla1[PRODUCTO],Tabla1[CODIGO]),"")</f>
        <v>IS-32</v>
      </c>
      <c r="D648" s="31" t="s">
        <v>83</v>
      </c>
      <c r="E648" s="31" t="str">
        <f>IFERROR(VLOOKUP(Tabla2[[#This Row],[CODIGO]],Tabla1[],3,0),"")</f>
        <v>IMPLEMENTOS DE SEGURIDAD</v>
      </c>
      <c r="F648" s="28" t="str">
        <f>IFERROR(VLOOKUP(Tabla2[[#This Row],[CODIGO]],Tabla1[],5,0),"")</f>
        <v>ALMACEN TICAPAMPA</v>
      </c>
      <c r="G648" s="26" t="str">
        <f>IFERROR(VLOOKUP(Tabla2[[#This Row],[CODIGO]],Tabla1[],6,0),"")</f>
        <v>UNI</v>
      </c>
      <c r="H648" s="26">
        <f>IFERROR(VLOOKUP(Tabla2[[#This Row],[CODIGO]],Tabla1[],10,0),"")</f>
        <v>5</v>
      </c>
      <c r="I648" s="7">
        <v>-1</v>
      </c>
      <c r="J648" s="29" t="s">
        <v>321</v>
      </c>
      <c r="K648" s="26" t="str">
        <f>IFERROR(VLOOKUP(Tabla2[[#This Row],[CODIGO]],Tabla1[],11,0),"")</f>
        <v>COMPRA</v>
      </c>
      <c r="L648" s="67" t="s">
        <v>236</v>
      </c>
      <c r="M648" s="67" t="s">
        <v>244</v>
      </c>
      <c r="N648" s="70">
        <v>22</v>
      </c>
      <c r="O648" s="70">
        <f>Tabla2[[#This Row],[CANTIDAD]]*Tabla2[[#This Row],[PREC. UNITARIO]]</f>
        <v>-22</v>
      </c>
      <c r="R648" t="str">
        <f>Tabla2[[#This Row],[QUIEN RECIBE]]&amp;"-"&amp;TEXT(Tabla2[[#This Row],[FECHA]],"dd/mm/yyyy")</f>
        <v>CORDOVA ANGULO, JUAN-09/10/2025</v>
      </c>
    </row>
    <row r="649" spans="2:18" ht="20.45" hidden="1" customHeight="1" x14ac:dyDescent="0.25">
      <c r="B649" s="5">
        <v>45939</v>
      </c>
      <c r="C649" s="2" t="str">
        <f>IFERROR(_xlfn.XLOOKUP(Tabla2[[#This Row],[PRODUCTO]],Tabla1[PRODUCTO],Tabla1[CODIGO]),"")</f>
        <v>IS-32</v>
      </c>
      <c r="D649" s="31" t="s">
        <v>83</v>
      </c>
      <c r="E649" s="31" t="str">
        <f>IFERROR(VLOOKUP(Tabla2[[#This Row],[CODIGO]],Tabla1[],3,0),"")</f>
        <v>IMPLEMENTOS DE SEGURIDAD</v>
      </c>
      <c r="F649" s="28" t="str">
        <f>IFERROR(VLOOKUP(Tabla2[[#This Row],[CODIGO]],Tabla1[],5,0),"")</f>
        <v>ALMACEN TICAPAMPA</v>
      </c>
      <c r="G649" s="26" t="str">
        <f>IFERROR(VLOOKUP(Tabla2[[#This Row],[CODIGO]],Tabla1[],6,0),"")</f>
        <v>UNI</v>
      </c>
      <c r="H649" s="26">
        <f>IFERROR(VLOOKUP(Tabla2[[#This Row],[CODIGO]],Tabla1[],10,0),"")</f>
        <v>5</v>
      </c>
      <c r="I649" s="7">
        <v>-1</v>
      </c>
      <c r="J649" s="29" t="s">
        <v>321</v>
      </c>
      <c r="K649" s="26" t="str">
        <f>IFERROR(VLOOKUP(Tabla2[[#This Row],[CODIGO]],Tabla1[],11,0),"")</f>
        <v>COMPRA</v>
      </c>
      <c r="L649" s="67" t="s">
        <v>236</v>
      </c>
      <c r="M649" s="67" t="s">
        <v>299</v>
      </c>
      <c r="N649" s="70">
        <v>22</v>
      </c>
      <c r="O649" s="70">
        <f>Tabla2[[#This Row],[CANTIDAD]]*Tabla2[[#This Row],[PREC. UNITARIO]]</f>
        <v>-22</v>
      </c>
      <c r="R649" t="str">
        <f>Tabla2[[#This Row],[QUIEN RECIBE]]&amp;"-"&amp;TEXT(Tabla2[[#This Row],[FECHA]],"dd/mm/yyyy")</f>
        <v>VILLEGAS ROGER-09/10/2025</v>
      </c>
    </row>
    <row r="650" spans="2:18" ht="20.45" hidden="1" customHeight="1" x14ac:dyDescent="0.25">
      <c r="B650" s="5">
        <v>45939</v>
      </c>
      <c r="C650" s="2" t="str">
        <f>IFERROR(_xlfn.XLOOKUP(Tabla2[[#This Row],[PRODUCTO]],Tabla1[PRODUCTO],Tabla1[CODIGO]),"")</f>
        <v>IS-33</v>
      </c>
      <c r="D650" s="31" t="s">
        <v>84</v>
      </c>
      <c r="E650" s="31" t="str">
        <f>IFERROR(VLOOKUP(Tabla2[[#This Row],[CODIGO]],Tabla1[],3,0),"")</f>
        <v>IMPLEMENTOS DE SEGURIDAD</v>
      </c>
      <c r="F650" s="28" t="str">
        <f>IFERROR(VLOOKUP(Tabla2[[#This Row],[CODIGO]],Tabla1[],5,0),"")</f>
        <v>ALMACEN TICAPAMPA</v>
      </c>
      <c r="G650" s="26" t="str">
        <f>IFERROR(VLOOKUP(Tabla2[[#This Row],[CODIGO]],Tabla1[],6,0),"")</f>
        <v>UNI</v>
      </c>
      <c r="H650" s="26">
        <f>IFERROR(VLOOKUP(Tabla2[[#This Row],[CODIGO]],Tabla1[],10,0),"")</f>
        <v>1</v>
      </c>
      <c r="I650" s="7">
        <v>-1</v>
      </c>
      <c r="J650" s="29" t="s">
        <v>321</v>
      </c>
      <c r="K650" s="26" t="str">
        <f>IFERROR(VLOOKUP(Tabla2[[#This Row],[CODIGO]],Tabla1[],11,0),"")</f>
        <v>COMPRA</v>
      </c>
      <c r="L650" s="67" t="s">
        <v>236</v>
      </c>
      <c r="M650" s="67" t="s">
        <v>265</v>
      </c>
      <c r="N650" s="70">
        <v>22</v>
      </c>
      <c r="O650" s="70">
        <f>Tabla2[[#This Row],[CANTIDAD]]*Tabla2[[#This Row],[PREC. UNITARIO]]</f>
        <v>-22</v>
      </c>
      <c r="R650" t="str">
        <f>Tabla2[[#This Row],[QUIEN RECIBE]]&amp;"-"&amp;TEXT(Tabla2[[#This Row],[FECHA]],"dd/mm/yyyy")</f>
        <v>ORDOÑEZ CONDORI, GILBERTO -09/10/2025</v>
      </c>
    </row>
    <row r="651" spans="2:18" ht="20.45" hidden="1" customHeight="1" x14ac:dyDescent="0.25">
      <c r="B651" s="5">
        <v>45939</v>
      </c>
      <c r="C651" s="2" t="str">
        <f>IFERROR(_xlfn.XLOOKUP(Tabla2[[#This Row],[PRODUCTO]],Tabla1[PRODUCTO],Tabla1[CODIGO]),"")</f>
        <v>IS-32</v>
      </c>
      <c r="D651" s="31" t="s">
        <v>83</v>
      </c>
      <c r="E651" s="31" t="str">
        <f>IFERROR(VLOOKUP(Tabla2[[#This Row],[CODIGO]],Tabla1[],3,0),"")</f>
        <v>IMPLEMENTOS DE SEGURIDAD</v>
      </c>
      <c r="F651" s="28" t="str">
        <f>IFERROR(VLOOKUP(Tabla2[[#This Row],[CODIGO]],Tabla1[],5,0),"")</f>
        <v>ALMACEN TICAPAMPA</v>
      </c>
      <c r="G651" s="26" t="str">
        <f>IFERROR(VLOOKUP(Tabla2[[#This Row],[CODIGO]],Tabla1[],6,0),"")</f>
        <v>UNI</v>
      </c>
      <c r="H651" s="26">
        <f>IFERROR(VLOOKUP(Tabla2[[#This Row],[CODIGO]],Tabla1[],10,0),"")</f>
        <v>5</v>
      </c>
      <c r="I651" s="7">
        <v>-1</v>
      </c>
      <c r="J651" s="29" t="s">
        <v>321</v>
      </c>
      <c r="K651" s="26" t="str">
        <f>IFERROR(VLOOKUP(Tabla2[[#This Row],[CODIGO]],Tabla1[],11,0),"")</f>
        <v>COMPRA</v>
      </c>
      <c r="L651" s="67" t="s">
        <v>236</v>
      </c>
      <c r="M651" s="67" t="s">
        <v>262</v>
      </c>
      <c r="N651" s="70">
        <v>22</v>
      </c>
      <c r="O651" s="70">
        <f>Tabla2[[#This Row],[CANTIDAD]]*Tabla2[[#This Row],[PREC. UNITARIO]]</f>
        <v>-22</v>
      </c>
      <c r="R651" t="str">
        <f>Tabla2[[#This Row],[QUIEN RECIBE]]&amp;"-"&amp;TEXT(Tabla2[[#This Row],[FECHA]],"dd/mm/yyyy")</f>
        <v>CHACON ORTIZ, JOSE ANTONIO-09/10/2025</v>
      </c>
    </row>
    <row r="652" spans="2:18" ht="20.45" hidden="1" customHeight="1" x14ac:dyDescent="0.25">
      <c r="B652" s="5">
        <v>45939</v>
      </c>
      <c r="C652" s="2" t="str">
        <f>IFERROR(_xlfn.XLOOKUP(Tabla2[[#This Row],[PRODUCTO]],Tabla1[PRODUCTO],Tabla1[CODIGO]),"")</f>
        <v>IS-32</v>
      </c>
      <c r="D652" s="31" t="s">
        <v>83</v>
      </c>
      <c r="E652" s="31" t="str">
        <f>IFERROR(VLOOKUP(Tabla2[[#This Row],[CODIGO]],Tabla1[],3,0),"")</f>
        <v>IMPLEMENTOS DE SEGURIDAD</v>
      </c>
      <c r="F652" s="28" t="str">
        <f>IFERROR(VLOOKUP(Tabla2[[#This Row],[CODIGO]],Tabla1[],5,0),"")</f>
        <v>ALMACEN TICAPAMPA</v>
      </c>
      <c r="G652" s="26" t="str">
        <f>IFERROR(VLOOKUP(Tabla2[[#This Row],[CODIGO]],Tabla1[],6,0),"")</f>
        <v>UNI</v>
      </c>
      <c r="H652" s="26">
        <f>IFERROR(VLOOKUP(Tabla2[[#This Row],[CODIGO]],Tabla1[],10,0),"")</f>
        <v>5</v>
      </c>
      <c r="I652" s="7">
        <v>-1</v>
      </c>
      <c r="J652" s="29" t="s">
        <v>321</v>
      </c>
      <c r="K652" s="26" t="str">
        <f>IFERROR(VLOOKUP(Tabla2[[#This Row],[CODIGO]],Tabla1[],11,0),"")</f>
        <v>COMPRA</v>
      </c>
      <c r="L652" s="67" t="s">
        <v>236</v>
      </c>
      <c r="M652" s="67" t="s">
        <v>307</v>
      </c>
      <c r="N652" s="70">
        <v>22</v>
      </c>
      <c r="O652" s="70">
        <f>Tabla2[[#This Row],[CANTIDAD]]*Tabla2[[#This Row],[PREC. UNITARIO]]</f>
        <v>-22</v>
      </c>
      <c r="R652" t="str">
        <f>Tabla2[[#This Row],[QUIEN RECIBE]]&amp;"-"&amp;TEXT(Tabla2[[#This Row],[FECHA]],"dd/mm/yyyy")</f>
        <v>CACERES CALACHUA, YEYSON JORGE-09/10/2025</v>
      </c>
    </row>
    <row r="653" spans="2:18" ht="20.45" hidden="1" customHeight="1" x14ac:dyDescent="0.25">
      <c r="B653" s="5">
        <v>45936</v>
      </c>
      <c r="C653" s="2" t="str">
        <f>IFERROR(_xlfn.XLOOKUP(Tabla2[[#This Row],[PRODUCTO]],Tabla1[PRODUCTO],Tabla1[CODIGO]),"")</f>
        <v>IS-16</v>
      </c>
      <c r="D653" s="31" t="s">
        <v>65</v>
      </c>
      <c r="E653" s="31" t="str">
        <f>IFERROR(VLOOKUP(Tabla2[[#This Row],[CODIGO]],Tabla1[],3,0),"")</f>
        <v>IMPLEMENTOS DE SEGURIDAD</v>
      </c>
      <c r="F653" s="28" t="str">
        <f>IFERROR(VLOOKUP(Tabla2[[#This Row],[CODIGO]],Tabla1[],5,0),"")</f>
        <v>ALMACEN TICAPAMPA</v>
      </c>
      <c r="G653" s="26" t="str">
        <f>IFERROR(VLOOKUP(Tabla2[[#This Row],[CODIGO]],Tabla1[],6,0),"")</f>
        <v>PAR</v>
      </c>
      <c r="H653" s="26">
        <f>IFERROR(VLOOKUP(Tabla2[[#This Row],[CODIGO]],Tabla1[],10,0),"")</f>
        <v>1</v>
      </c>
      <c r="I653" s="7">
        <v>1</v>
      </c>
      <c r="J653" s="29" t="s">
        <v>320</v>
      </c>
      <c r="K653" s="26" t="str">
        <f>IFERROR(VLOOKUP(Tabla2[[#This Row],[CODIGO]],Tabla1[],11,0),"")</f>
        <v>COMPRA</v>
      </c>
      <c r="L653" s="67" t="s">
        <v>308</v>
      </c>
      <c r="M653" s="67" t="s">
        <v>236</v>
      </c>
      <c r="N653" s="70">
        <v>63</v>
      </c>
      <c r="O653" s="70">
        <f>Tabla2[[#This Row],[CANTIDAD]]*Tabla2[[#This Row],[PREC. UNITARIO]]</f>
        <v>63</v>
      </c>
      <c r="R653" t="str">
        <f>Tabla2[[#This Row],[QUIEN RECIBE]]&amp;"-"&amp;TEXT(Tabla2[[#This Row],[FECHA]],"dd/mm/yyyy")</f>
        <v>NAVARRO LOZANO, ANGEL JAROL-06/10/2025</v>
      </c>
    </row>
    <row r="654" spans="2:18" ht="20.45" hidden="1" customHeight="1" x14ac:dyDescent="0.25">
      <c r="B654" s="5">
        <v>45936</v>
      </c>
      <c r="C654" s="2" t="str">
        <f>IFERROR(_xlfn.XLOOKUP(Tabla2[[#This Row],[PRODUCTO]],Tabla1[PRODUCTO],Tabla1[CODIGO]),"")</f>
        <v>IS-15</v>
      </c>
      <c r="D654" s="31" t="s">
        <v>64</v>
      </c>
      <c r="E654" s="31" t="str">
        <f>IFERROR(VLOOKUP(Tabla2[[#This Row],[CODIGO]],Tabla1[],3,0),"")</f>
        <v>IMPLEMENTOS DE SEGURIDAD</v>
      </c>
      <c r="F654" s="28" t="str">
        <f>IFERROR(VLOOKUP(Tabla2[[#This Row],[CODIGO]],Tabla1[],5,0),"")</f>
        <v>ALMACEN TICAPAMPA</v>
      </c>
      <c r="G654" s="26" t="str">
        <f>IFERROR(VLOOKUP(Tabla2[[#This Row],[CODIGO]],Tabla1[],6,0),"")</f>
        <v>PAR</v>
      </c>
      <c r="H654" s="26">
        <f>IFERROR(VLOOKUP(Tabla2[[#This Row],[CODIGO]],Tabla1[],10,0),"")</f>
        <v>0</v>
      </c>
      <c r="I654" s="7">
        <v>1</v>
      </c>
      <c r="J654" s="29" t="s">
        <v>320</v>
      </c>
      <c r="K654" s="26" t="str">
        <f>IFERROR(VLOOKUP(Tabla2[[#This Row],[CODIGO]],Tabla1[],11,0),"")</f>
        <v>COMPRA</v>
      </c>
      <c r="L654" s="67" t="s">
        <v>308</v>
      </c>
      <c r="M654" s="67" t="s">
        <v>236</v>
      </c>
      <c r="N654" s="70">
        <v>63</v>
      </c>
      <c r="O654" s="70">
        <f>Tabla2[[#This Row],[CANTIDAD]]*Tabla2[[#This Row],[PREC. UNITARIO]]</f>
        <v>63</v>
      </c>
      <c r="R654" t="str">
        <f>Tabla2[[#This Row],[QUIEN RECIBE]]&amp;"-"&amp;TEXT(Tabla2[[#This Row],[FECHA]],"dd/mm/yyyy")</f>
        <v>NAVARRO LOZANO, ANGEL JAROL-06/10/2025</v>
      </c>
    </row>
    <row r="655" spans="2:18" ht="20.45" hidden="1" customHeight="1" x14ac:dyDescent="0.25">
      <c r="B655" s="5">
        <v>45940</v>
      </c>
      <c r="C655" s="2" t="str">
        <f>IFERROR(_xlfn.XLOOKUP(Tabla2[[#This Row],[PRODUCTO]],Tabla1[PRODUCTO],Tabla1[CODIGO]),"")</f>
        <v>IS-45</v>
      </c>
      <c r="D655" s="31" t="s">
        <v>498</v>
      </c>
      <c r="E655" s="31" t="str">
        <f>IFERROR(VLOOKUP(Tabla2[[#This Row],[CODIGO]],Tabla1[],3,0),"")</f>
        <v>IMPLEMENTOS DE SEGURIDAD</v>
      </c>
      <c r="F655" s="28" t="str">
        <f>IFERROR(VLOOKUP(Tabla2[[#This Row],[CODIGO]],Tabla1[],5,0),"")</f>
        <v>ALMACEN TICAPAMPA</v>
      </c>
      <c r="G655" s="26" t="str">
        <f>IFERROR(VLOOKUP(Tabla2[[#This Row],[CODIGO]],Tabla1[],6,0),"")</f>
        <v>UNI</v>
      </c>
      <c r="H655" s="26">
        <f>IFERROR(VLOOKUP(Tabla2[[#This Row],[CODIGO]],Tabla1[],10,0),"")</f>
        <v>6</v>
      </c>
      <c r="I655" s="7">
        <v>1</v>
      </c>
      <c r="J655" s="29" t="s">
        <v>320</v>
      </c>
      <c r="K655" s="26" t="str">
        <f>IFERROR(VLOOKUP(Tabla2[[#This Row],[CODIGO]],Tabla1[],11,0),"")</f>
        <v>CAMBIO</v>
      </c>
      <c r="L655" s="67" t="s">
        <v>308</v>
      </c>
      <c r="M655" s="67" t="s">
        <v>236</v>
      </c>
      <c r="N655" s="70">
        <v>63</v>
      </c>
      <c r="O655" s="70">
        <f>Tabla2[[#This Row],[CANTIDAD]]*Tabla2[[#This Row],[PREC. UNITARIO]]</f>
        <v>63</v>
      </c>
      <c r="R655" t="str">
        <f>Tabla2[[#This Row],[QUIEN RECIBE]]&amp;"-"&amp;TEXT(Tabla2[[#This Row],[FECHA]],"dd/mm/yyyy")</f>
        <v>NAVARRO LOZANO, ANGEL JAROL-10/10/2025</v>
      </c>
    </row>
    <row r="656" spans="2:18" ht="20.45" hidden="1" customHeight="1" x14ac:dyDescent="0.25">
      <c r="B656" s="5">
        <v>45940</v>
      </c>
      <c r="C656" s="2" t="str">
        <f>IFERROR(_xlfn.XLOOKUP(Tabla2[[#This Row],[PRODUCTO]],Tabla1[PRODUCTO],Tabla1[CODIGO]),"")</f>
        <v>IS-46</v>
      </c>
      <c r="D656" s="31" t="s">
        <v>500</v>
      </c>
      <c r="E656" s="31" t="str">
        <f>IFERROR(VLOOKUP(Tabla2[[#This Row],[CODIGO]],Tabla1[],3,0),"")</f>
        <v>IMPLEMENTOS DE SEGURIDAD</v>
      </c>
      <c r="F656" s="28" t="str">
        <f>IFERROR(VLOOKUP(Tabla2[[#This Row],[CODIGO]],Tabla1[],5,0),"")</f>
        <v>ALMACEN TICAPAMPA</v>
      </c>
      <c r="G656" s="26" t="str">
        <f>IFERROR(VLOOKUP(Tabla2[[#This Row],[CODIGO]],Tabla1[],6,0),"")</f>
        <v>UNI</v>
      </c>
      <c r="H656" s="26">
        <f>IFERROR(VLOOKUP(Tabla2[[#This Row],[CODIGO]],Tabla1[],10,0),"")</f>
        <v>1</v>
      </c>
      <c r="I656" s="7">
        <v>1</v>
      </c>
      <c r="J656" s="29" t="s">
        <v>320</v>
      </c>
      <c r="K656" s="26" t="str">
        <f>IFERROR(VLOOKUP(Tabla2[[#This Row],[CODIGO]],Tabla1[],11,0),"")</f>
        <v>CAMBIO</v>
      </c>
      <c r="L656" s="67" t="s">
        <v>308</v>
      </c>
      <c r="M656" s="67" t="s">
        <v>236</v>
      </c>
      <c r="N656" s="70">
        <v>63</v>
      </c>
      <c r="O656" s="70">
        <f>Tabla2[[#This Row],[CANTIDAD]]*Tabla2[[#This Row],[PREC. UNITARIO]]</f>
        <v>63</v>
      </c>
      <c r="R656" t="str">
        <f>Tabla2[[#This Row],[QUIEN RECIBE]]&amp;"-"&amp;TEXT(Tabla2[[#This Row],[FECHA]],"dd/mm/yyyy")</f>
        <v>NAVARRO LOZANO, ANGEL JAROL-10/10/2025</v>
      </c>
    </row>
    <row r="657" spans="2:18" ht="20.45" hidden="1" customHeight="1" x14ac:dyDescent="0.25">
      <c r="B657" s="5">
        <v>45940</v>
      </c>
      <c r="C657" s="2" t="str">
        <f>IFERROR(_xlfn.XLOOKUP(Tabla2[[#This Row],[PRODUCTO]],Tabla1[PRODUCTO],Tabla1[CODIGO]),"")</f>
        <v>IS-47</v>
      </c>
      <c r="D657" s="31" t="s">
        <v>501</v>
      </c>
      <c r="E657" s="31" t="str">
        <f>IFERROR(VLOOKUP(Tabla2[[#This Row],[CODIGO]],Tabla1[],3,0),"")</f>
        <v>IMPLEMENTOS DE SEGURIDAD</v>
      </c>
      <c r="F657" s="28" t="str">
        <f>IFERROR(VLOOKUP(Tabla2[[#This Row],[CODIGO]],Tabla1[],5,0),"")</f>
        <v>ALMACEN TICAPAMPA</v>
      </c>
      <c r="G657" s="26" t="str">
        <f>IFERROR(VLOOKUP(Tabla2[[#This Row],[CODIGO]],Tabla1[],6,0),"")</f>
        <v>UNI</v>
      </c>
      <c r="H657" s="26">
        <f>IFERROR(VLOOKUP(Tabla2[[#This Row],[CODIGO]],Tabla1[],10,0),"")</f>
        <v>13</v>
      </c>
      <c r="I657" s="7">
        <v>30</v>
      </c>
      <c r="J657" s="29" t="s">
        <v>320</v>
      </c>
      <c r="K657" s="26" t="str">
        <f>IFERROR(VLOOKUP(Tabla2[[#This Row],[CODIGO]],Tabla1[],11,0),"")</f>
        <v>COMPRA</v>
      </c>
      <c r="L657" s="67" t="s">
        <v>308</v>
      </c>
      <c r="M657" s="67" t="s">
        <v>236</v>
      </c>
      <c r="N657" s="70"/>
      <c r="O657" s="70">
        <f>Tabla2[[#This Row],[CANTIDAD]]*Tabla2[[#This Row],[PREC. UNITARIO]]</f>
        <v>0</v>
      </c>
      <c r="R657" t="str">
        <f>Tabla2[[#This Row],[QUIEN RECIBE]]&amp;"-"&amp;TEXT(Tabla2[[#This Row],[FECHA]],"dd/mm/yyyy")</f>
        <v>NAVARRO LOZANO, ANGEL JAROL-10/10/2025</v>
      </c>
    </row>
    <row r="658" spans="2:18" ht="20.45" hidden="1" customHeight="1" x14ac:dyDescent="0.25">
      <c r="B658" s="5">
        <v>45940</v>
      </c>
      <c r="C658" s="2" t="str">
        <f>IFERROR(_xlfn.XLOOKUP(Tabla2[[#This Row],[PRODUCTO]],Tabla1[PRODUCTO],Tabla1[CODIGO]),"")</f>
        <v>SOL-2</v>
      </c>
      <c r="D658" s="31" t="s">
        <v>502</v>
      </c>
      <c r="E658" s="31" t="str">
        <f>IFERROR(VLOOKUP(Tabla2[[#This Row],[CODIGO]],Tabla1[],3,0),"")</f>
        <v>SOLDADURA</v>
      </c>
      <c r="F658" s="28" t="str">
        <f>IFERROR(VLOOKUP(Tabla2[[#This Row],[CODIGO]],Tabla1[],5,0),"")</f>
        <v>ALMACEN TICAPAMPA</v>
      </c>
      <c r="G658" s="26" t="str">
        <f>IFERROR(VLOOKUP(Tabla2[[#This Row],[CODIGO]],Tabla1[],6,0),"")</f>
        <v>kg</v>
      </c>
      <c r="H658" s="26">
        <f>IFERROR(VLOOKUP(Tabla2[[#This Row],[CODIGO]],Tabla1[],10,0),"")</f>
        <v>2.5</v>
      </c>
      <c r="I658" s="7">
        <v>5</v>
      </c>
      <c r="J658" s="29" t="s">
        <v>320</v>
      </c>
      <c r="K658" s="26" t="str">
        <f>IFERROR(VLOOKUP(Tabla2[[#This Row],[CODIGO]],Tabla1[],11,0),"")</f>
        <v>COMPRA</v>
      </c>
      <c r="L658" s="67" t="s">
        <v>308</v>
      </c>
      <c r="M658" s="67" t="s">
        <v>236</v>
      </c>
      <c r="N658" s="70"/>
      <c r="O658" s="70">
        <f>Tabla2[[#This Row],[CANTIDAD]]*Tabla2[[#This Row],[PREC. UNITARIO]]</f>
        <v>0</v>
      </c>
      <c r="R658" t="str">
        <f>Tabla2[[#This Row],[QUIEN RECIBE]]&amp;"-"&amp;TEXT(Tabla2[[#This Row],[FECHA]],"dd/mm/yyyy")</f>
        <v>NAVARRO LOZANO, ANGEL JAROL-10/10/2025</v>
      </c>
    </row>
    <row r="659" spans="2:18" ht="20.45" hidden="1" customHeight="1" x14ac:dyDescent="0.25">
      <c r="B659" s="5">
        <v>45940</v>
      </c>
      <c r="C659" s="2" t="str">
        <f>IFERROR(_xlfn.XLOOKUP(Tabla2[[#This Row],[PRODUCTO]],Tabla1[PRODUCTO],Tabla1[CODIGO]),"")</f>
        <v>HM-52</v>
      </c>
      <c r="D659" s="31" t="s">
        <v>504</v>
      </c>
      <c r="E659" s="31" t="str">
        <f>IFERROR(VLOOKUP(Tabla2[[#This Row],[CODIGO]],Tabla1[],3,0),"")</f>
        <v>HERRAMIENTAS</v>
      </c>
      <c r="F659" s="28" t="str">
        <f>IFERROR(VLOOKUP(Tabla2[[#This Row],[CODIGO]],Tabla1[],5,0),"")</f>
        <v>ALMACEN TICAPAMPA</v>
      </c>
      <c r="G659" s="26" t="str">
        <f>IFERROR(VLOOKUP(Tabla2[[#This Row],[CODIGO]],Tabla1[],6,0),"")</f>
        <v>UNI</v>
      </c>
      <c r="H659" s="26">
        <f>IFERROR(VLOOKUP(Tabla2[[#This Row],[CODIGO]],Tabla1[],10,0),"")</f>
        <v>8</v>
      </c>
      <c r="I659" s="7">
        <v>10</v>
      </c>
      <c r="J659" s="29" t="s">
        <v>320</v>
      </c>
      <c r="K659" s="26" t="str">
        <f>IFERROR(VLOOKUP(Tabla2[[#This Row],[CODIGO]],Tabla1[],11,0),"")</f>
        <v>COMPRA</v>
      </c>
      <c r="L659" s="67" t="s">
        <v>308</v>
      </c>
      <c r="M659" s="67" t="s">
        <v>236</v>
      </c>
      <c r="N659" s="70"/>
      <c r="O659" s="70">
        <f>Tabla2[[#This Row],[CANTIDAD]]*Tabla2[[#This Row],[PREC. UNITARIO]]</f>
        <v>0</v>
      </c>
      <c r="R659" t="str">
        <f>Tabla2[[#This Row],[QUIEN RECIBE]]&amp;"-"&amp;TEXT(Tabla2[[#This Row],[FECHA]],"dd/mm/yyyy")</f>
        <v>NAVARRO LOZANO, ANGEL JAROL-10/10/2025</v>
      </c>
    </row>
    <row r="660" spans="2:18" ht="20.45" hidden="1" customHeight="1" x14ac:dyDescent="0.25">
      <c r="B660" s="5">
        <v>45940</v>
      </c>
      <c r="C660" s="2" t="str">
        <f>IFERROR(_xlfn.XLOOKUP(Tabla2[[#This Row],[PRODUCTO]],Tabla1[PRODUCTO],Tabla1[CODIGO]),"")</f>
        <v>IS-44</v>
      </c>
      <c r="D660" s="31" t="s">
        <v>479</v>
      </c>
      <c r="E660" s="31" t="str">
        <f>IFERROR(VLOOKUP(Tabla2[[#This Row],[CODIGO]],Tabla1[],3,0),"")</f>
        <v>IMPLEMENTOS DE SEGURIDAD</v>
      </c>
      <c r="F660" s="28" t="str">
        <f>IFERROR(VLOOKUP(Tabla2[[#This Row],[CODIGO]],Tabla1[],5,0),"")</f>
        <v>ALMACEN TICAPAMPA</v>
      </c>
      <c r="G660" s="26" t="str">
        <f>IFERROR(VLOOKUP(Tabla2[[#This Row],[CODIGO]],Tabla1[],6,0),"")</f>
        <v>UNI</v>
      </c>
      <c r="H660" s="26">
        <f>IFERROR(VLOOKUP(Tabla2[[#This Row],[CODIGO]],Tabla1[],10,0),"")</f>
        <v>6</v>
      </c>
      <c r="I660" s="7">
        <v>-2</v>
      </c>
      <c r="J660" s="29" t="s">
        <v>449</v>
      </c>
      <c r="K660" s="26" t="str">
        <f>IFERROR(VLOOKUP(Tabla2[[#This Row],[CODIGO]],Tabla1[],11,0),"")</f>
        <v>ALMACEN CENTRAL</v>
      </c>
      <c r="L660" s="67" t="s">
        <v>472</v>
      </c>
      <c r="M660" s="67" t="s">
        <v>308</v>
      </c>
      <c r="N660" s="70"/>
      <c r="O660" s="70">
        <f>Tabla2[[#This Row],[CANTIDAD]]*Tabla2[[#This Row],[PREC. UNITARIO]]</f>
        <v>0</v>
      </c>
      <c r="R660" t="str">
        <f>Tabla2[[#This Row],[QUIEN RECIBE]]&amp;"-"&amp;TEXT(Tabla2[[#This Row],[FECHA]],"dd/mm/yyyy")</f>
        <v>ACOSTA ROJAS, JOSEPH ALFONSO-10/10/2025</v>
      </c>
    </row>
    <row r="661" spans="2:18" ht="20.45" hidden="1" customHeight="1" x14ac:dyDescent="0.25">
      <c r="B661" s="5">
        <v>45940</v>
      </c>
      <c r="C661" s="2" t="str">
        <f>IFERROR(_xlfn.XLOOKUP(Tabla2[[#This Row],[PRODUCTO]],Tabla1[PRODUCTO],Tabla1[CODIGO]),"")</f>
        <v>IS-48</v>
      </c>
      <c r="D661" s="31" t="s">
        <v>505</v>
      </c>
      <c r="E661" s="31" t="str">
        <f>IFERROR(VLOOKUP(Tabla2[[#This Row],[CODIGO]],Tabla1[],3,0),"")</f>
        <v>IMPLEMENTOS DE SEGURIDAD</v>
      </c>
      <c r="F661" s="28" t="str">
        <f>IFERROR(VLOOKUP(Tabla2[[#This Row],[CODIGO]],Tabla1[],5,0),"")</f>
        <v>ALMACEN TICAPAMPA</v>
      </c>
      <c r="G661" s="26" t="str">
        <f>IFERROR(VLOOKUP(Tabla2[[#This Row],[CODIGO]],Tabla1[],6,0),"")</f>
        <v>UNI</v>
      </c>
      <c r="H661" s="26">
        <f>IFERROR(VLOOKUP(Tabla2[[#This Row],[CODIGO]],Tabla1[],10,0),"")</f>
        <v>1</v>
      </c>
      <c r="I661" s="7">
        <v>2</v>
      </c>
      <c r="J661" s="29" t="s">
        <v>320</v>
      </c>
      <c r="K661" s="26" t="str">
        <f>IFERROR(VLOOKUP(Tabla2[[#This Row],[CODIGO]],Tabla1[],11,0),"")</f>
        <v>CAMBIO</v>
      </c>
      <c r="L661" s="67" t="s">
        <v>308</v>
      </c>
      <c r="M661" s="67" t="s">
        <v>472</v>
      </c>
      <c r="N661" s="70"/>
      <c r="O661" s="70">
        <f>Tabla2[[#This Row],[CANTIDAD]]*Tabla2[[#This Row],[PREC. UNITARIO]]</f>
        <v>0</v>
      </c>
      <c r="R661" t="str">
        <f>Tabla2[[#This Row],[QUIEN RECIBE]]&amp;"-"&amp;TEXT(Tabla2[[#This Row],[FECHA]],"dd/mm/yyyy")</f>
        <v>ACUACHI LANCHIPA ERNESTO ALONSO-10/10/2025</v>
      </c>
    </row>
    <row r="662" spans="2:18" ht="20.45" hidden="1" customHeight="1" x14ac:dyDescent="0.25">
      <c r="B662" s="5">
        <v>45940</v>
      </c>
      <c r="C662" s="2" t="str">
        <f>IFERROR(_xlfn.XLOOKUP(Tabla2[[#This Row],[PRODUCTO]],Tabla1[PRODUCTO],Tabla1[CODIGO]),"")</f>
        <v>UE-58</v>
      </c>
      <c r="D662" s="31" t="s">
        <v>421</v>
      </c>
      <c r="E662" s="31" t="str">
        <f>IFERROR(VLOOKUP(Tabla2[[#This Row],[CODIGO]],Tabla1[],3,0),"")</f>
        <v>UTILES DE ESCRITORIO</v>
      </c>
      <c r="F662" s="28" t="str">
        <f>IFERROR(VLOOKUP(Tabla2[[#This Row],[CODIGO]],Tabla1[],5,0),"")</f>
        <v>ALMACEN TICAPAMPA</v>
      </c>
      <c r="G662" s="26" t="str">
        <f>IFERROR(VLOOKUP(Tabla2[[#This Row],[CODIGO]],Tabla1[],6,0),"")</f>
        <v>UNI</v>
      </c>
      <c r="H662" s="26">
        <f>IFERROR(VLOOKUP(Tabla2[[#This Row],[CODIGO]],Tabla1[],10,0),"")</f>
        <v>28</v>
      </c>
      <c r="I662" s="7">
        <v>-2</v>
      </c>
      <c r="J662" s="29" t="s">
        <v>350</v>
      </c>
      <c r="K662" s="26" t="str">
        <f>IFERROR(VLOOKUP(Tabla2[[#This Row],[CODIGO]],Tabla1[],11,0),"")</f>
        <v>COMPRA</v>
      </c>
      <c r="L662" s="67" t="s">
        <v>472</v>
      </c>
      <c r="M662" s="67" t="s">
        <v>301</v>
      </c>
      <c r="N662" s="70"/>
      <c r="O662" s="70">
        <f>Tabla2[[#This Row],[CANTIDAD]]*Tabla2[[#This Row],[PREC. UNITARIO]]</f>
        <v>0</v>
      </c>
      <c r="R662" t="str">
        <f>Tabla2[[#This Row],[QUIEN RECIBE]]&amp;"-"&amp;TEXT(Tabla2[[#This Row],[FECHA]],"dd/mm/yyyy")</f>
        <v>GUTARATE SABINO, ADRIEL ANTONY-10/10/2025</v>
      </c>
    </row>
    <row r="663" spans="2:18" ht="20.45" hidden="1" customHeight="1" x14ac:dyDescent="0.25">
      <c r="B663" s="5">
        <v>45940</v>
      </c>
      <c r="C663" s="2" t="str">
        <f>IFERROR(_xlfn.XLOOKUP(Tabla2[[#This Row],[PRODUCTO]],Tabla1[PRODUCTO],Tabla1[CODIGO]),"")</f>
        <v>HM-37</v>
      </c>
      <c r="D663" s="31" t="s">
        <v>404</v>
      </c>
      <c r="E663" s="31" t="str">
        <f>IFERROR(VLOOKUP(Tabla2[[#This Row],[CODIGO]],Tabla1[],3,0),"")</f>
        <v>HERRAMIENTAS</v>
      </c>
      <c r="F663" s="28" t="str">
        <f>IFERROR(VLOOKUP(Tabla2[[#This Row],[CODIGO]],Tabla1[],5,0),"")</f>
        <v>ALMACEN TICAPAMPA</v>
      </c>
      <c r="G663" s="26" t="str">
        <f>IFERROR(VLOOKUP(Tabla2[[#This Row],[CODIGO]],Tabla1[],6,0),"")</f>
        <v>UNI</v>
      </c>
      <c r="H663" s="26">
        <f>IFERROR(VLOOKUP(Tabla2[[#This Row],[CODIGO]],Tabla1[],10,0),"")</f>
        <v>4</v>
      </c>
      <c r="I663" s="7">
        <v>-1</v>
      </c>
      <c r="J663" s="29" t="s">
        <v>350</v>
      </c>
      <c r="K663" s="26" t="str">
        <f>IFERROR(VLOOKUP(Tabla2[[#This Row],[CODIGO]],Tabla1[],11,0),"")</f>
        <v>COMPRA</v>
      </c>
      <c r="L663" s="67" t="s">
        <v>236</v>
      </c>
      <c r="M663" s="67" t="s">
        <v>241</v>
      </c>
      <c r="N663" s="70"/>
      <c r="O663" s="70">
        <f>Tabla2[[#This Row],[CANTIDAD]]*Tabla2[[#This Row],[PREC. UNITARIO]]</f>
        <v>0</v>
      </c>
      <c r="R663" t="str">
        <f>Tabla2[[#This Row],[QUIEN RECIBE]]&amp;"-"&amp;TEXT(Tabla2[[#This Row],[FECHA]],"dd/mm/yyyy")</f>
        <v>PIÑA CHUJANDAMA, KEVIN-10/10/2025</v>
      </c>
    </row>
    <row r="664" spans="2:18" ht="20.45" hidden="1" customHeight="1" x14ac:dyDescent="0.25">
      <c r="B664" s="5">
        <v>45940</v>
      </c>
      <c r="C664" s="2" t="str">
        <f>IFERROR(_xlfn.XLOOKUP(Tabla2[[#This Row],[PRODUCTO]],Tabla1[PRODUCTO],Tabla1[CODIGO]),"")</f>
        <v>HM-19</v>
      </c>
      <c r="D664" s="31" t="s">
        <v>385</v>
      </c>
      <c r="E664" s="31" t="str">
        <f>IFERROR(VLOOKUP(Tabla2[[#This Row],[CODIGO]],Tabla1[],3,0),"")</f>
        <v>HERRAMIENTAS</v>
      </c>
      <c r="F664" s="28" t="str">
        <f>IFERROR(VLOOKUP(Tabla2[[#This Row],[CODIGO]],Tabla1[],5,0),"")</f>
        <v>ALMACEN TICAPAMPA</v>
      </c>
      <c r="G664" s="26" t="str">
        <f>IFERROR(VLOOKUP(Tabla2[[#This Row],[CODIGO]],Tabla1[],6,0),"")</f>
        <v>UNI</v>
      </c>
      <c r="H664" s="26">
        <f>IFERROR(VLOOKUP(Tabla2[[#This Row],[CODIGO]],Tabla1[],10,0),"")</f>
        <v>1</v>
      </c>
      <c r="I664" s="7">
        <v>-2</v>
      </c>
      <c r="J664" s="29" t="s">
        <v>350</v>
      </c>
      <c r="K664" s="26" t="str">
        <f>IFERROR(VLOOKUP(Tabla2[[#This Row],[CODIGO]],Tabla1[],11,0),"")</f>
        <v>COMPRA</v>
      </c>
      <c r="L664" s="67" t="s">
        <v>236</v>
      </c>
      <c r="M664" s="67" t="s">
        <v>493</v>
      </c>
      <c r="N664" s="70"/>
      <c r="O664" s="70">
        <f>Tabla2[[#This Row],[CANTIDAD]]*Tabla2[[#This Row],[PREC. UNITARIO]]</f>
        <v>0</v>
      </c>
      <c r="R664" t="str">
        <f>Tabla2[[#This Row],[QUIEN RECIBE]]&amp;"-"&amp;TEXT(Tabla2[[#This Row],[FECHA]],"dd/mm/yyyy")</f>
        <v>TACANAHUI CALISAYA, NESTOR-10/10/2025</v>
      </c>
    </row>
    <row r="665" spans="2:18" ht="20.45" hidden="1" customHeight="1" x14ac:dyDescent="0.25">
      <c r="B665" s="5">
        <v>45940</v>
      </c>
      <c r="C665" s="2" t="str">
        <f>IFERROR(_xlfn.XLOOKUP(Tabla2[[#This Row],[PRODUCTO]],Tabla1[PRODUCTO],Tabla1[CODIGO]),"")</f>
        <v>IS-40</v>
      </c>
      <c r="D665" s="31" t="s">
        <v>409</v>
      </c>
      <c r="E665" s="31" t="str">
        <f>IFERROR(VLOOKUP(Tabla2[[#This Row],[CODIGO]],Tabla1[],3,0),"")</f>
        <v>IMPLEMENTOS DE SEGURIDAD</v>
      </c>
      <c r="F665" s="28" t="str">
        <f>IFERROR(VLOOKUP(Tabla2[[#This Row],[CODIGO]],Tabla1[],5,0),"")</f>
        <v>ALMACEN TICAPAMPA</v>
      </c>
      <c r="G665" s="26" t="str">
        <f>IFERROR(VLOOKUP(Tabla2[[#This Row],[CODIGO]],Tabla1[],6,0),"")</f>
        <v>UNI</v>
      </c>
      <c r="H665" s="26">
        <f>IFERROR(VLOOKUP(Tabla2[[#This Row],[CODIGO]],Tabla1[],10,0),"")</f>
        <v>22</v>
      </c>
      <c r="I665" s="7">
        <v>-1</v>
      </c>
      <c r="J665" s="29" t="s">
        <v>350</v>
      </c>
      <c r="K665" s="26" t="str">
        <f>IFERROR(VLOOKUP(Tabla2[[#This Row],[CODIGO]],Tabla1[],11,0),"")</f>
        <v>COMPRA</v>
      </c>
      <c r="L665" s="67" t="s">
        <v>236</v>
      </c>
      <c r="M665" s="67" t="s">
        <v>493</v>
      </c>
      <c r="N665" s="70"/>
      <c r="O665" s="70">
        <f>Tabla2[[#This Row],[CANTIDAD]]*Tabla2[[#This Row],[PREC. UNITARIO]]</f>
        <v>0</v>
      </c>
      <c r="R665" t="str">
        <f>Tabla2[[#This Row],[QUIEN RECIBE]]&amp;"-"&amp;TEXT(Tabla2[[#This Row],[FECHA]],"dd/mm/yyyy")</f>
        <v>TACANAHUI CALISAYA, NESTOR-10/10/2025</v>
      </c>
    </row>
    <row r="666" spans="2:18" ht="20.45" hidden="1" customHeight="1" x14ac:dyDescent="0.25">
      <c r="B666" s="5">
        <v>45940</v>
      </c>
      <c r="C666" s="2" t="str">
        <f>IFERROR(_xlfn.XLOOKUP(Tabla2[[#This Row],[PRODUCTO]],Tabla1[PRODUCTO],Tabla1[CODIGO]),"")</f>
        <v>AGU-1</v>
      </c>
      <c r="D666" s="31" t="s">
        <v>357</v>
      </c>
      <c r="E666" s="31" t="str">
        <f>IFERROR(VLOOKUP(Tabla2[[#This Row],[CODIGO]],Tabla1[],3,0),"")</f>
        <v>AGUA</v>
      </c>
      <c r="F666" s="28" t="str">
        <f>IFERROR(VLOOKUP(Tabla2[[#This Row],[CODIGO]],Tabla1[],5,0),"")</f>
        <v>ALMACEN TICAPAMPA</v>
      </c>
      <c r="G666" s="26" t="str">
        <f>IFERROR(VLOOKUP(Tabla2[[#This Row],[CODIGO]],Tabla1[],6,0),"")</f>
        <v>UNI</v>
      </c>
      <c r="H666" s="26">
        <f>IFERROR(VLOOKUP(Tabla2[[#This Row],[CODIGO]],Tabla1[],10,0),"")</f>
        <v>9</v>
      </c>
      <c r="I666" s="7">
        <v>-1</v>
      </c>
      <c r="J666" s="29" t="s">
        <v>350</v>
      </c>
      <c r="K666" s="26" t="str">
        <f>IFERROR(VLOOKUP(Tabla2[[#This Row],[CODIGO]],Tabla1[],11,0),"")</f>
        <v>COMPRA</v>
      </c>
      <c r="L666" s="67" t="s">
        <v>236</v>
      </c>
      <c r="M666" s="67" t="s">
        <v>244</v>
      </c>
      <c r="N666" s="70">
        <v>8</v>
      </c>
      <c r="O666" s="70">
        <f>Tabla2[[#This Row],[CANTIDAD]]*Tabla2[[#This Row],[PREC. UNITARIO]]</f>
        <v>-8</v>
      </c>
      <c r="R666" t="str">
        <f>Tabla2[[#This Row],[QUIEN RECIBE]]&amp;"-"&amp;TEXT(Tabla2[[#This Row],[FECHA]],"dd/mm/yyyy")</f>
        <v>CORDOVA ANGULO, JUAN-10/10/2025</v>
      </c>
    </row>
    <row r="667" spans="2:18" ht="20.45" hidden="1" customHeight="1" x14ac:dyDescent="0.25">
      <c r="B667" s="5">
        <v>45940</v>
      </c>
      <c r="C667" s="2" t="str">
        <f>IFERROR(_xlfn.XLOOKUP(Tabla2[[#This Row],[PRODUCTO]],Tabla1[PRODUCTO],Tabla1[CODIGO]),"")</f>
        <v>HM-53</v>
      </c>
      <c r="D667" s="31" t="s">
        <v>506</v>
      </c>
      <c r="E667" s="31" t="str">
        <f>IFERROR(VLOOKUP(Tabla2[[#This Row],[CODIGO]],Tabla1[],3,0),"")</f>
        <v>HERRAMIENTAS</v>
      </c>
      <c r="F667" s="28" t="str">
        <f>IFERROR(VLOOKUP(Tabla2[[#This Row],[CODIGO]],Tabla1[],5,0),"")</f>
        <v>ALMACEN TICAPAMPA</v>
      </c>
      <c r="G667" s="26" t="str">
        <f>IFERROR(VLOOKUP(Tabla2[[#This Row],[CODIGO]],Tabla1[],6,0),"")</f>
        <v>UNI</v>
      </c>
      <c r="H667" s="26">
        <f>IFERROR(VLOOKUP(Tabla2[[#This Row],[CODIGO]],Tabla1[],10,0),"")</f>
        <v>2</v>
      </c>
      <c r="I667" s="7">
        <v>5</v>
      </c>
      <c r="J667" s="29" t="s">
        <v>320</v>
      </c>
      <c r="K667" s="26" t="str">
        <f>IFERROR(VLOOKUP(Tabla2[[#This Row],[CODIGO]],Tabla1[],11,0),"")</f>
        <v>COMPRA</v>
      </c>
      <c r="L667" s="67" t="s">
        <v>308</v>
      </c>
      <c r="M667" s="67" t="s">
        <v>236</v>
      </c>
      <c r="N667" s="70"/>
      <c r="O667" s="70">
        <f>Tabla2[[#This Row],[CANTIDAD]]*Tabla2[[#This Row],[PREC. UNITARIO]]</f>
        <v>0</v>
      </c>
      <c r="R667" t="str">
        <f>Tabla2[[#This Row],[QUIEN RECIBE]]&amp;"-"&amp;TEXT(Tabla2[[#This Row],[FECHA]],"dd/mm/yyyy")</f>
        <v>NAVARRO LOZANO, ANGEL JAROL-10/10/2025</v>
      </c>
    </row>
    <row r="668" spans="2:18" ht="20.45" hidden="1" customHeight="1" x14ac:dyDescent="0.25">
      <c r="B668" s="5">
        <v>45940</v>
      </c>
      <c r="C668" s="2" t="str">
        <f>IFERROR(_xlfn.XLOOKUP(Tabla2[[#This Row],[PRODUCTO]],Tabla1[PRODUCTO],Tabla1[CODIGO]),"")</f>
        <v>HM-53</v>
      </c>
      <c r="D668" s="31" t="s">
        <v>506</v>
      </c>
      <c r="E668" s="31" t="str">
        <f>IFERROR(VLOOKUP(Tabla2[[#This Row],[CODIGO]],Tabla1[],3,0),"")</f>
        <v>HERRAMIENTAS</v>
      </c>
      <c r="F668" s="28" t="str">
        <f>IFERROR(VLOOKUP(Tabla2[[#This Row],[CODIGO]],Tabla1[],5,0),"")</f>
        <v>ALMACEN TICAPAMPA</v>
      </c>
      <c r="G668" s="26" t="str">
        <f>IFERROR(VLOOKUP(Tabla2[[#This Row],[CODIGO]],Tabla1[],6,0),"")</f>
        <v>UNI</v>
      </c>
      <c r="H668" s="26">
        <f>IFERROR(VLOOKUP(Tabla2[[#This Row],[CODIGO]],Tabla1[],10,0),"")</f>
        <v>2</v>
      </c>
      <c r="I668" s="7">
        <v>-1</v>
      </c>
      <c r="J668" s="29" t="s">
        <v>386</v>
      </c>
      <c r="K668" s="26" t="str">
        <f>IFERROR(VLOOKUP(Tabla2[[#This Row],[CODIGO]],Tabla1[],11,0),"")</f>
        <v>COMPRA</v>
      </c>
      <c r="L668" s="67" t="s">
        <v>236</v>
      </c>
      <c r="M668" s="67" t="s">
        <v>265</v>
      </c>
      <c r="N668" s="70"/>
      <c r="O668" s="70">
        <f>Tabla2[[#This Row],[CANTIDAD]]*Tabla2[[#This Row],[PREC. UNITARIO]]</f>
        <v>0</v>
      </c>
      <c r="R668" t="str">
        <f>Tabla2[[#This Row],[QUIEN RECIBE]]&amp;"-"&amp;TEXT(Tabla2[[#This Row],[FECHA]],"dd/mm/yyyy")</f>
        <v>ORDOÑEZ CONDORI, GILBERTO -10/10/2025</v>
      </c>
    </row>
    <row r="669" spans="2:18" ht="20.45" hidden="1" customHeight="1" x14ac:dyDescent="0.25">
      <c r="B669" s="5">
        <v>45906</v>
      </c>
      <c r="C669" s="2" t="str">
        <f>IFERROR(_xlfn.XLOOKUP(Tabla2[[#This Row],[PRODUCTO]],Tabla1[PRODUCTO],Tabla1[CODIGO]),"")</f>
        <v>HM-53</v>
      </c>
      <c r="D669" s="31" t="s">
        <v>506</v>
      </c>
      <c r="E669" s="31" t="str">
        <f>IFERROR(VLOOKUP(Tabla2[[#This Row],[CODIGO]],Tabla1[],3,0),"")</f>
        <v>HERRAMIENTAS</v>
      </c>
      <c r="F669" s="28" t="str">
        <f>IFERROR(VLOOKUP(Tabla2[[#This Row],[CODIGO]],Tabla1[],5,0),"")</f>
        <v>ALMACEN TICAPAMPA</v>
      </c>
      <c r="G669" s="26" t="str">
        <f>IFERROR(VLOOKUP(Tabla2[[#This Row],[CODIGO]],Tabla1[],6,0),"")</f>
        <v>UNI</v>
      </c>
      <c r="H669" s="26">
        <f>IFERROR(VLOOKUP(Tabla2[[#This Row],[CODIGO]],Tabla1[],10,0),"")</f>
        <v>2</v>
      </c>
      <c r="I669" s="7">
        <v>-1</v>
      </c>
      <c r="J669" s="29" t="s">
        <v>386</v>
      </c>
      <c r="K669" s="26" t="str">
        <f>IFERROR(VLOOKUP(Tabla2[[#This Row],[CODIGO]],Tabla1[],11,0),"")</f>
        <v>COMPRA</v>
      </c>
      <c r="L669" s="67" t="s">
        <v>236</v>
      </c>
      <c r="M669" s="67" t="s">
        <v>242</v>
      </c>
      <c r="N669" s="70"/>
      <c r="O669" s="70">
        <f>Tabla2[[#This Row],[CANTIDAD]]*Tabla2[[#This Row],[PREC. UNITARIO]]</f>
        <v>0</v>
      </c>
      <c r="R669" t="str">
        <f>Tabla2[[#This Row],[QUIEN RECIBE]]&amp;"-"&amp;TEXT(Tabla2[[#This Row],[FECHA]],"dd/mm/yyyy")</f>
        <v>MAYTAHUARI ACOSTA, SAMMER AXEL-06/09/2025</v>
      </c>
    </row>
    <row r="670" spans="2:18" ht="20.45" hidden="1" customHeight="1" x14ac:dyDescent="0.25">
      <c r="B670" s="5">
        <v>45940</v>
      </c>
      <c r="C670" s="2" t="str">
        <f>IFERROR(_xlfn.XLOOKUP(Tabla2[[#This Row],[PRODUCTO]],Tabla1[PRODUCTO],Tabla1[CODIGO]),"")</f>
        <v>AGU-1</v>
      </c>
      <c r="D670" s="31" t="s">
        <v>357</v>
      </c>
      <c r="E670" s="31" t="str">
        <f>IFERROR(VLOOKUP(Tabla2[[#This Row],[CODIGO]],Tabla1[],3,0),"")</f>
        <v>AGUA</v>
      </c>
      <c r="F670" s="28" t="str">
        <f>IFERROR(VLOOKUP(Tabla2[[#This Row],[CODIGO]],Tabla1[],5,0),"")</f>
        <v>ALMACEN TICAPAMPA</v>
      </c>
      <c r="G670" s="26" t="str">
        <f>IFERROR(VLOOKUP(Tabla2[[#This Row],[CODIGO]],Tabla1[],6,0),"")</f>
        <v>UNI</v>
      </c>
      <c r="H670" s="26">
        <f>IFERROR(VLOOKUP(Tabla2[[#This Row],[CODIGO]],Tabla1[],10,0),"")</f>
        <v>9</v>
      </c>
      <c r="I670" s="7">
        <v>-1</v>
      </c>
      <c r="J670" s="29" t="s">
        <v>420</v>
      </c>
      <c r="K670" s="26" t="str">
        <f>IFERROR(VLOOKUP(Tabla2[[#This Row],[CODIGO]],Tabla1[],11,0),"")</f>
        <v>COMPRA</v>
      </c>
      <c r="L670" s="67" t="s">
        <v>236</v>
      </c>
      <c r="M670" s="67" t="s">
        <v>236</v>
      </c>
      <c r="N670" s="70">
        <v>8</v>
      </c>
      <c r="O670" s="70">
        <f>Tabla2[[#This Row],[CANTIDAD]]*Tabla2[[#This Row],[PREC. UNITARIO]]</f>
        <v>-8</v>
      </c>
      <c r="R670" t="str">
        <f>Tabla2[[#This Row],[QUIEN RECIBE]]&amp;"-"&amp;TEXT(Tabla2[[#This Row],[FECHA]],"dd/mm/yyyy")</f>
        <v>NAVARRO LOZANO, ANGEL JAROL-10/10/2025</v>
      </c>
    </row>
    <row r="671" spans="2:18" ht="20.45" hidden="1" customHeight="1" x14ac:dyDescent="0.25">
      <c r="B671" s="5">
        <v>45940</v>
      </c>
      <c r="C671" s="2" t="str">
        <f>IFERROR(_xlfn.XLOOKUP(Tabla2[[#This Row],[PRODUCTO]],Tabla1[PRODUCTO],Tabla1[CODIGO]),"")</f>
        <v>CEM-1</v>
      </c>
      <c r="D671" s="31" t="s">
        <v>485</v>
      </c>
      <c r="E671" s="31" t="str">
        <f>IFERROR(VLOOKUP(Tabla2[[#This Row],[CODIGO]],Tabla1[],3,0),"")</f>
        <v>CEMENTO</v>
      </c>
      <c r="F671" s="28" t="str">
        <f>IFERROR(VLOOKUP(Tabla2[[#This Row],[CODIGO]],Tabla1[],5,0),"")</f>
        <v>ALMACEN TICAPAMPA</v>
      </c>
      <c r="G671" s="26" t="str">
        <f>IFERROR(VLOOKUP(Tabla2[[#This Row],[CODIGO]],Tabla1[],6,0),"")</f>
        <v>UNI</v>
      </c>
      <c r="H671" s="26">
        <f>IFERROR(VLOOKUP(Tabla2[[#This Row],[CODIGO]],Tabla1[],10,0),"")</f>
        <v>1545</v>
      </c>
      <c r="I671" s="7">
        <v>720</v>
      </c>
      <c r="J671" s="29" t="s">
        <v>320</v>
      </c>
      <c r="K671" s="26" t="str">
        <f>IFERROR(VLOOKUP(Tabla2[[#This Row],[CODIGO]],Tabla1[],11,0),"")</f>
        <v>COMPRA</v>
      </c>
      <c r="L671" s="67" t="s">
        <v>148</v>
      </c>
      <c r="M671" s="67" t="s">
        <v>236</v>
      </c>
      <c r="N671" s="70">
        <v>23</v>
      </c>
      <c r="O671" s="70">
        <f>Tabla2[[#This Row],[CANTIDAD]]*Tabla2[[#This Row],[PREC. UNITARIO]]</f>
        <v>16560</v>
      </c>
      <c r="P671" t="s">
        <v>507</v>
      </c>
      <c r="R671" t="str">
        <f>Tabla2[[#This Row],[QUIEN RECIBE]]&amp;"-"&amp;TEXT(Tabla2[[#This Row],[FECHA]],"dd/mm/yyyy")</f>
        <v>NAVARRO LOZANO, ANGEL JAROL-10/10/2025</v>
      </c>
    </row>
    <row r="672" spans="2:18" ht="20.45" hidden="1" customHeight="1" x14ac:dyDescent="0.25">
      <c r="B672" s="5">
        <v>45943</v>
      </c>
      <c r="C672" s="2" t="str">
        <f>IFERROR(_xlfn.XLOOKUP(Tabla2[[#This Row],[PRODUCTO]],Tabla1[PRODUCTO],Tabla1[CODIGO]),"")</f>
        <v>UE-58</v>
      </c>
      <c r="D672" s="31" t="s">
        <v>421</v>
      </c>
      <c r="E672" s="31" t="str">
        <f>IFERROR(VLOOKUP(Tabla2[[#This Row],[CODIGO]],Tabla1[],3,0),"")</f>
        <v>UTILES DE ESCRITORIO</v>
      </c>
      <c r="F672" s="28" t="str">
        <f>IFERROR(VLOOKUP(Tabla2[[#This Row],[CODIGO]],Tabla1[],5,0),"")</f>
        <v>ALMACEN TICAPAMPA</v>
      </c>
      <c r="G672" s="26" t="str">
        <f>IFERROR(VLOOKUP(Tabla2[[#This Row],[CODIGO]],Tabla1[],6,0),"")</f>
        <v>UNI</v>
      </c>
      <c r="H672" s="26">
        <f>IFERROR(VLOOKUP(Tabla2[[#This Row],[CODIGO]],Tabla1[],10,0),"")</f>
        <v>28</v>
      </c>
      <c r="I672" s="7">
        <v>-2</v>
      </c>
      <c r="J672" s="29" t="s">
        <v>350</v>
      </c>
      <c r="K672" s="26" t="str">
        <f>IFERROR(VLOOKUP(Tabla2[[#This Row],[CODIGO]],Tabla1[],11,0),"")</f>
        <v>COMPRA</v>
      </c>
      <c r="L672" s="67" t="s">
        <v>472</v>
      </c>
      <c r="M672" s="67" t="s">
        <v>303</v>
      </c>
      <c r="N672" s="70"/>
      <c r="O672" s="70">
        <f>Tabla2[[#This Row],[CANTIDAD]]*Tabla2[[#This Row],[PREC. UNITARIO]]</f>
        <v>0</v>
      </c>
      <c r="R672" t="str">
        <f>Tabla2[[#This Row],[QUIEN RECIBE]]&amp;"-"&amp;TEXT(Tabla2[[#This Row],[FECHA]],"dd/mm/yyyy")</f>
        <v>APASTEGUI GRANDEZ, LUIS ALFREDO -13/10/2025</v>
      </c>
    </row>
    <row r="673" spans="2:18" ht="20.45" hidden="1" customHeight="1" x14ac:dyDescent="0.25">
      <c r="B673" s="5">
        <v>45943</v>
      </c>
      <c r="C673" s="2" t="str">
        <f>IFERROR(_xlfn.XLOOKUP(Tabla2[[#This Row],[PRODUCTO]],Tabla1[PRODUCTO],Tabla1[CODIGO]),"")</f>
        <v>IS-1</v>
      </c>
      <c r="D673" s="31" t="s">
        <v>50</v>
      </c>
      <c r="E673" s="31" t="str">
        <f>IFERROR(VLOOKUP(Tabla2[[#This Row],[CODIGO]],Tabla1[],3,0),"")</f>
        <v>IMPLEMENTOS DE SEGURIDAD</v>
      </c>
      <c r="F673" s="28" t="str">
        <f>IFERROR(VLOOKUP(Tabla2[[#This Row],[CODIGO]],Tabla1[],5,0),"")</f>
        <v>ALMACEN TICAPAMPA</v>
      </c>
      <c r="G673" s="26" t="str">
        <f>IFERROR(VLOOKUP(Tabla2[[#This Row],[CODIGO]],Tabla1[],6,0),"")</f>
        <v>UNI</v>
      </c>
      <c r="H673" s="26">
        <f>IFERROR(VLOOKUP(Tabla2[[#This Row],[CODIGO]],Tabla1[],10,0),"")</f>
        <v>4</v>
      </c>
      <c r="I673" s="7">
        <v>6</v>
      </c>
      <c r="J673" s="29" t="s">
        <v>320</v>
      </c>
      <c r="K673" s="26" t="str">
        <f>IFERROR(VLOOKUP(Tabla2[[#This Row],[CODIGO]],Tabla1[],11,0),"")</f>
        <v>COMPRA</v>
      </c>
      <c r="L673" s="67" t="s">
        <v>308</v>
      </c>
      <c r="M673" s="67" t="s">
        <v>472</v>
      </c>
      <c r="N673" s="70">
        <v>45</v>
      </c>
      <c r="O673" s="70">
        <f>Tabla2[[#This Row],[CANTIDAD]]*Tabla2[[#This Row],[PREC. UNITARIO]]</f>
        <v>270</v>
      </c>
      <c r="P673" t="s">
        <v>536</v>
      </c>
      <c r="R673" t="str">
        <f>Tabla2[[#This Row],[QUIEN RECIBE]]&amp;"-"&amp;TEXT(Tabla2[[#This Row],[FECHA]],"dd/mm/yyyy")</f>
        <v>ACUACHI LANCHIPA ERNESTO ALONSO-13/10/2025</v>
      </c>
    </row>
    <row r="674" spans="2:18" ht="20.45" hidden="1" customHeight="1" x14ac:dyDescent="0.25">
      <c r="B674" s="5">
        <v>45943</v>
      </c>
      <c r="C674" s="2" t="str">
        <f>IFERROR(_xlfn.XLOOKUP(Tabla2[[#This Row],[PRODUCTO]],Tabla1[PRODUCTO],Tabla1[CODIGO]),"")</f>
        <v>IS-2</v>
      </c>
      <c r="D674" s="31" t="s">
        <v>52</v>
      </c>
      <c r="E674" s="31" t="str">
        <f>IFERROR(VLOOKUP(Tabla2[[#This Row],[CODIGO]],Tabla1[],3,0),"")</f>
        <v>IMPLEMENTOS DE SEGURIDAD</v>
      </c>
      <c r="F674" s="28" t="str">
        <f>IFERROR(VLOOKUP(Tabla2[[#This Row],[CODIGO]],Tabla1[],5,0),"")</f>
        <v>ALMACEN TICAPAMPA</v>
      </c>
      <c r="G674" s="26" t="str">
        <f>IFERROR(VLOOKUP(Tabla2[[#This Row],[CODIGO]],Tabla1[],6,0),"")</f>
        <v>UNI</v>
      </c>
      <c r="H674" s="26">
        <f>IFERROR(VLOOKUP(Tabla2[[#This Row],[CODIGO]],Tabla1[],10,0),"")</f>
        <v>5</v>
      </c>
      <c r="I674" s="7">
        <v>6</v>
      </c>
      <c r="J674" s="29" t="s">
        <v>320</v>
      </c>
      <c r="K674" s="26" t="str">
        <f>IFERROR(VLOOKUP(Tabla2[[#This Row],[CODIGO]],Tabla1[],11,0),"")</f>
        <v>COMPRA</v>
      </c>
      <c r="L674" s="67" t="s">
        <v>308</v>
      </c>
      <c r="M674" s="67" t="s">
        <v>472</v>
      </c>
      <c r="N674" s="70">
        <v>45</v>
      </c>
      <c r="O674" s="70">
        <f>Tabla2[[#This Row],[CANTIDAD]]*Tabla2[[#This Row],[PREC. UNITARIO]]</f>
        <v>270</v>
      </c>
      <c r="P674" t="s">
        <v>536</v>
      </c>
      <c r="R674" t="str">
        <f>Tabla2[[#This Row],[QUIEN RECIBE]]&amp;"-"&amp;TEXT(Tabla2[[#This Row],[FECHA]],"dd/mm/yyyy")</f>
        <v>ACUACHI LANCHIPA ERNESTO ALONSO-13/10/2025</v>
      </c>
    </row>
    <row r="675" spans="2:18" ht="20.45" hidden="1" customHeight="1" x14ac:dyDescent="0.25">
      <c r="B675" s="5">
        <v>45943</v>
      </c>
      <c r="C675" s="2" t="str">
        <f>IFERROR(_xlfn.XLOOKUP(Tabla2[[#This Row],[PRODUCTO]],Tabla1[PRODUCTO],Tabla1[CODIGO]),"")</f>
        <v>UE-65</v>
      </c>
      <c r="D675" s="31" t="s">
        <v>460</v>
      </c>
      <c r="E675" s="31" t="str">
        <f>IFERROR(VLOOKUP(Tabla2[[#This Row],[CODIGO]],Tabla1[],3,0),"")</f>
        <v>UTILES DE ESCRITORIO</v>
      </c>
      <c r="F675" s="28" t="str">
        <f>IFERROR(VLOOKUP(Tabla2[[#This Row],[CODIGO]],Tabla1[],5,0),"")</f>
        <v>ALMACEN TICAPAMPA</v>
      </c>
      <c r="G675" s="26" t="str">
        <f>IFERROR(VLOOKUP(Tabla2[[#This Row],[CODIGO]],Tabla1[],6,0),"")</f>
        <v>UNI</v>
      </c>
      <c r="H675" s="26">
        <f>IFERROR(VLOOKUP(Tabla2[[#This Row],[CODIGO]],Tabla1[],10,0),"")</f>
        <v>0</v>
      </c>
      <c r="I675" s="7">
        <v>-500</v>
      </c>
      <c r="J675" s="29" t="s">
        <v>420</v>
      </c>
      <c r="K675" s="26" t="str">
        <f>IFERROR(VLOOKUP(Tabla2[[#This Row],[CODIGO]],Tabla1[],11,0),"")</f>
        <v>COMPRA</v>
      </c>
      <c r="L675" s="67" t="s">
        <v>472</v>
      </c>
      <c r="M675" s="67" t="s">
        <v>304</v>
      </c>
      <c r="N675" s="70"/>
      <c r="O675" s="70">
        <f>Tabla2[[#This Row],[CANTIDAD]]*Tabla2[[#This Row],[PREC. UNITARIO]]</f>
        <v>0</v>
      </c>
      <c r="R675" t="str">
        <f>Tabla2[[#This Row],[QUIEN RECIBE]]&amp;"-"&amp;TEXT(Tabla2[[#This Row],[FECHA]],"dd/mm/yyyy")</f>
        <v>LOZA, GUILLERMO-13/10/2025</v>
      </c>
    </row>
    <row r="676" spans="2:18" ht="20.45" hidden="1" customHeight="1" x14ac:dyDescent="0.25">
      <c r="B676" s="5">
        <v>45943</v>
      </c>
      <c r="C676" s="2" t="str">
        <f>IFERROR(_xlfn.XLOOKUP(Tabla2[[#This Row],[PRODUCTO]],Tabla1[PRODUCTO],Tabla1[CODIGO]),"")</f>
        <v>UE-20</v>
      </c>
      <c r="D676" s="31" t="s">
        <v>174</v>
      </c>
      <c r="E676" s="31" t="str">
        <f>IFERROR(VLOOKUP(Tabla2[[#This Row],[CODIGO]],Tabla1[],3,0),"")</f>
        <v>UTILES DE ESCRITORIO</v>
      </c>
      <c r="F676" s="28" t="str">
        <f>IFERROR(VLOOKUP(Tabla2[[#This Row],[CODIGO]],Tabla1[],5,0),"")</f>
        <v>ALMACEN TICAPAMPA</v>
      </c>
      <c r="G676" s="26" t="str">
        <f>IFERROR(VLOOKUP(Tabla2[[#This Row],[CODIGO]],Tabla1[],6,0),"")</f>
        <v>UNI</v>
      </c>
      <c r="H676" s="26">
        <f>IFERROR(VLOOKUP(Tabla2[[#This Row],[CODIGO]],Tabla1[],10,0),"")</f>
        <v>8</v>
      </c>
      <c r="I676" s="7">
        <v>-1</v>
      </c>
      <c r="J676" s="29" t="s">
        <v>429</v>
      </c>
      <c r="K676" s="26" t="str">
        <f>IFERROR(VLOOKUP(Tabla2[[#This Row],[CODIGO]],Tabla1[],11,0),"")</f>
        <v>COMPRA</v>
      </c>
      <c r="L676" s="67" t="s">
        <v>472</v>
      </c>
      <c r="M676" s="67" t="s">
        <v>304</v>
      </c>
      <c r="N676" s="70"/>
      <c r="O676" s="70">
        <f>Tabla2[[#This Row],[CANTIDAD]]*Tabla2[[#This Row],[PREC. UNITARIO]]</f>
        <v>0</v>
      </c>
      <c r="R676" t="str">
        <f>Tabla2[[#This Row],[QUIEN RECIBE]]&amp;"-"&amp;TEXT(Tabla2[[#This Row],[FECHA]],"dd/mm/yyyy")</f>
        <v>LOZA, GUILLERMO-13/10/2025</v>
      </c>
    </row>
    <row r="677" spans="2:18" ht="20.45" hidden="1" customHeight="1" x14ac:dyDescent="0.25">
      <c r="B677" s="5">
        <v>45943</v>
      </c>
      <c r="C677" s="2" t="str">
        <f>IFERROR(_xlfn.XLOOKUP(Tabla2[[#This Row],[PRODUCTO]],Tabla1[PRODUCTO],Tabla1[CODIGO]),"")</f>
        <v>ICA-1</v>
      </c>
      <c r="D677" s="31" t="s">
        <v>513</v>
      </c>
      <c r="E677" s="31" t="str">
        <f>IFERROR(VLOOKUP(Tabla2[[#This Row],[CODIGO]],Tabla1[],3,0),"")</f>
        <v>IMPLEMENTOS DE CALIDAD</v>
      </c>
      <c r="F677" s="28" t="str">
        <f>IFERROR(VLOOKUP(Tabla2[[#This Row],[CODIGO]],Tabla1[],5,0),"")</f>
        <v>ALMACEN TICAPAMPA</v>
      </c>
      <c r="G677" s="26" t="str">
        <f>IFERROR(VLOOKUP(Tabla2[[#This Row],[CODIGO]],Tabla1[],6,0),"")</f>
        <v>UNI</v>
      </c>
      <c r="H677" s="26">
        <f>IFERROR(VLOOKUP(Tabla2[[#This Row],[CODIGO]],Tabla1[],10,0),"")</f>
        <v>1</v>
      </c>
      <c r="I677" s="7">
        <v>1</v>
      </c>
      <c r="J677" s="29" t="s">
        <v>320</v>
      </c>
      <c r="K677" s="26" t="str">
        <f>IFERROR(VLOOKUP(Tabla2[[#This Row],[CODIGO]],Tabla1[],11,0),"")</f>
        <v>COMPRA</v>
      </c>
      <c r="L677" s="67" t="s">
        <v>308</v>
      </c>
      <c r="M677" s="67" t="s">
        <v>472</v>
      </c>
      <c r="N677" s="70"/>
      <c r="O677" s="70">
        <f>Tabla2[[#This Row],[CANTIDAD]]*Tabla2[[#This Row],[PREC. UNITARIO]]</f>
        <v>0</v>
      </c>
      <c r="P677" t="s">
        <v>510</v>
      </c>
      <c r="R677" t="str">
        <f>Tabla2[[#This Row],[QUIEN RECIBE]]&amp;"-"&amp;TEXT(Tabla2[[#This Row],[FECHA]],"dd/mm/yyyy")</f>
        <v>ACUACHI LANCHIPA ERNESTO ALONSO-13/10/2025</v>
      </c>
    </row>
    <row r="678" spans="2:18" ht="20.45" hidden="1" customHeight="1" x14ac:dyDescent="0.25">
      <c r="B678" s="5">
        <v>45943</v>
      </c>
      <c r="C678" s="2" t="str">
        <f>IFERROR(_xlfn.XLOOKUP(Tabla2[[#This Row],[PRODUCTO]],Tabla1[PRODUCTO],Tabla1[CODIGO]),"")</f>
        <v>ICA-2</v>
      </c>
      <c r="D678" s="31" t="s">
        <v>515</v>
      </c>
      <c r="E678" s="31" t="str">
        <f>IFERROR(VLOOKUP(Tabla2[[#This Row],[CODIGO]],Tabla1[],3,0),"")</f>
        <v>IMPLEMENTOS DE CALIDAD</v>
      </c>
      <c r="F678" s="28" t="str">
        <f>IFERROR(VLOOKUP(Tabla2[[#This Row],[CODIGO]],Tabla1[],5,0),"")</f>
        <v>ALMACEN TICAPAMPA</v>
      </c>
      <c r="G678" s="26" t="str">
        <f>IFERROR(VLOOKUP(Tabla2[[#This Row],[CODIGO]],Tabla1[],6,0),"")</f>
        <v>UNI</v>
      </c>
      <c r="H678" s="26">
        <f>IFERROR(VLOOKUP(Tabla2[[#This Row],[CODIGO]],Tabla1[],10,0),"")</f>
        <v>1</v>
      </c>
      <c r="I678" s="7">
        <v>1</v>
      </c>
      <c r="J678" s="29" t="s">
        <v>320</v>
      </c>
      <c r="K678" s="26" t="str">
        <f>IFERROR(VLOOKUP(Tabla2[[#This Row],[CODIGO]],Tabla1[],11,0),"")</f>
        <v>COMPRA</v>
      </c>
      <c r="L678" s="67" t="s">
        <v>308</v>
      </c>
      <c r="M678" s="67" t="s">
        <v>472</v>
      </c>
      <c r="N678" s="70"/>
      <c r="O678" s="70">
        <f>Tabla2[[#This Row],[CANTIDAD]]*Tabla2[[#This Row],[PREC. UNITARIO]]</f>
        <v>0</v>
      </c>
      <c r="P678" t="s">
        <v>510</v>
      </c>
      <c r="R678" t="str">
        <f>Tabla2[[#This Row],[QUIEN RECIBE]]&amp;"-"&amp;TEXT(Tabla2[[#This Row],[FECHA]],"dd/mm/yyyy")</f>
        <v>ACUACHI LANCHIPA ERNESTO ALONSO-13/10/2025</v>
      </c>
    </row>
    <row r="679" spans="2:18" ht="20.45" hidden="1" customHeight="1" x14ac:dyDescent="0.25">
      <c r="B679" s="5">
        <v>45943</v>
      </c>
      <c r="C679" s="2" t="str">
        <f>IFERROR(_xlfn.XLOOKUP(Tabla2[[#This Row],[PRODUCTO]],Tabla1[PRODUCTO],Tabla1[CODIGO]),"")</f>
        <v>ICA-3</v>
      </c>
      <c r="D679" s="31" t="s">
        <v>516</v>
      </c>
      <c r="E679" s="31" t="str">
        <f>IFERROR(VLOOKUP(Tabla2[[#This Row],[CODIGO]],Tabla1[],3,0),"")</f>
        <v>IMPLEMENTOS DE CALIDAD</v>
      </c>
      <c r="F679" s="28" t="str">
        <f>IFERROR(VLOOKUP(Tabla2[[#This Row],[CODIGO]],Tabla1[],5,0),"")</f>
        <v>ALMACEN TICAPAMPA</v>
      </c>
      <c r="G679" s="26" t="str">
        <f>IFERROR(VLOOKUP(Tabla2[[#This Row],[CODIGO]],Tabla1[],6,0),"")</f>
        <v>UNI</v>
      </c>
      <c r="H679" s="26">
        <f>IFERROR(VLOOKUP(Tabla2[[#This Row],[CODIGO]],Tabla1[],10,0),"")</f>
        <v>1</v>
      </c>
      <c r="I679" s="7">
        <v>1</v>
      </c>
      <c r="J679" s="29" t="s">
        <v>320</v>
      </c>
      <c r="K679" s="26" t="str">
        <f>IFERROR(VLOOKUP(Tabla2[[#This Row],[CODIGO]],Tabla1[],11,0),"")</f>
        <v>COMPRA</v>
      </c>
      <c r="L679" s="67" t="s">
        <v>308</v>
      </c>
      <c r="M679" s="67" t="s">
        <v>472</v>
      </c>
      <c r="N679" s="70"/>
      <c r="O679" s="70">
        <f>Tabla2[[#This Row],[CANTIDAD]]*Tabla2[[#This Row],[PREC. UNITARIO]]</f>
        <v>0</v>
      </c>
      <c r="P679" t="s">
        <v>510</v>
      </c>
      <c r="R679" t="str">
        <f>Tabla2[[#This Row],[QUIEN RECIBE]]&amp;"-"&amp;TEXT(Tabla2[[#This Row],[FECHA]],"dd/mm/yyyy")</f>
        <v>ACUACHI LANCHIPA ERNESTO ALONSO-13/10/2025</v>
      </c>
    </row>
    <row r="680" spans="2:18" ht="20.45" hidden="1" customHeight="1" x14ac:dyDescent="0.25">
      <c r="B680" s="5">
        <v>45943</v>
      </c>
      <c r="C680" s="2" t="str">
        <f>IFERROR(_xlfn.XLOOKUP(Tabla2[[#This Row],[PRODUCTO]],Tabla1[PRODUCTO],Tabla1[CODIGO]),"")</f>
        <v>ICA-4</v>
      </c>
      <c r="D680" s="31" t="s">
        <v>517</v>
      </c>
      <c r="E680" s="31" t="str">
        <f>IFERROR(VLOOKUP(Tabla2[[#This Row],[CODIGO]],Tabla1[],3,0),"")</f>
        <v>IMPLEMENTOS DE CALIDAD</v>
      </c>
      <c r="F680" s="28" t="str">
        <f>IFERROR(VLOOKUP(Tabla2[[#This Row],[CODIGO]],Tabla1[],5,0),"")</f>
        <v>ALMACEN TICAPAMPA</v>
      </c>
      <c r="G680" s="26" t="str">
        <f>IFERROR(VLOOKUP(Tabla2[[#This Row],[CODIGO]],Tabla1[],6,0),"")</f>
        <v>UNI</v>
      </c>
      <c r="H680" s="26">
        <f>IFERROR(VLOOKUP(Tabla2[[#This Row],[CODIGO]],Tabla1[],10,0),"")</f>
        <v>0</v>
      </c>
      <c r="I680" s="7">
        <v>4</v>
      </c>
      <c r="J680" s="29" t="s">
        <v>320</v>
      </c>
      <c r="K680" s="26" t="str">
        <f>IFERROR(VLOOKUP(Tabla2[[#This Row],[CODIGO]],Tabla1[],11,0),"")</f>
        <v>COMPRA</v>
      </c>
      <c r="L680" s="67" t="s">
        <v>308</v>
      </c>
      <c r="M680" s="67" t="s">
        <v>472</v>
      </c>
      <c r="N680" s="70"/>
      <c r="O680" s="70">
        <f>Tabla2[[#This Row],[CANTIDAD]]*Tabla2[[#This Row],[PREC. UNITARIO]]</f>
        <v>0</v>
      </c>
      <c r="P680" t="s">
        <v>510</v>
      </c>
      <c r="R680" t="str">
        <f>Tabla2[[#This Row],[QUIEN RECIBE]]&amp;"-"&amp;TEXT(Tabla2[[#This Row],[FECHA]],"dd/mm/yyyy")</f>
        <v>ACUACHI LANCHIPA ERNESTO ALONSO-13/10/2025</v>
      </c>
    </row>
    <row r="681" spans="2:18" ht="20.45" hidden="1" customHeight="1" x14ac:dyDescent="0.25">
      <c r="B681" s="5">
        <v>45943</v>
      </c>
      <c r="C681" s="2" t="str">
        <f>IFERROR(_xlfn.XLOOKUP(Tabla2[[#This Row],[PRODUCTO]],Tabla1[PRODUCTO],Tabla1[CODIGO]),"")</f>
        <v>ICA-5</v>
      </c>
      <c r="D681" s="31" t="s">
        <v>518</v>
      </c>
      <c r="E681" s="31" t="str">
        <f>IFERROR(VLOOKUP(Tabla2[[#This Row],[CODIGO]],Tabla1[],3,0),"")</f>
        <v>IMPLEMENTOS DE CALIDAD</v>
      </c>
      <c r="F681" s="28" t="str">
        <f>IFERROR(VLOOKUP(Tabla2[[#This Row],[CODIGO]],Tabla1[],5,0),"")</f>
        <v>ALMACEN TICAPAMPA</v>
      </c>
      <c r="G681" s="26" t="str">
        <f>IFERROR(VLOOKUP(Tabla2[[#This Row],[CODIGO]],Tabla1[],6,0),"")</f>
        <v>UNI</v>
      </c>
      <c r="H681" s="26">
        <f>IFERROR(VLOOKUP(Tabla2[[#This Row],[CODIGO]],Tabla1[],10,0),"")</f>
        <v>0</v>
      </c>
      <c r="I681" s="7">
        <v>1</v>
      </c>
      <c r="J681" s="29" t="s">
        <v>320</v>
      </c>
      <c r="K681" s="26" t="str">
        <f>IFERROR(VLOOKUP(Tabla2[[#This Row],[CODIGO]],Tabla1[],11,0),"")</f>
        <v>COMPRA</v>
      </c>
      <c r="L681" s="67" t="s">
        <v>308</v>
      </c>
      <c r="M681" s="67" t="s">
        <v>472</v>
      </c>
      <c r="N681" s="70"/>
      <c r="O681" s="70">
        <f>Tabla2[[#This Row],[CANTIDAD]]*Tabla2[[#This Row],[PREC. UNITARIO]]</f>
        <v>0</v>
      </c>
      <c r="P681" t="s">
        <v>510</v>
      </c>
      <c r="R681" t="str">
        <f>Tabla2[[#This Row],[QUIEN RECIBE]]&amp;"-"&amp;TEXT(Tabla2[[#This Row],[FECHA]],"dd/mm/yyyy")</f>
        <v>ACUACHI LANCHIPA ERNESTO ALONSO-13/10/2025</v>
      </c>
    </row>
    <row r="682" spans="2:18" ht="20.45" hidden="1" customHeight="1" x14ac:dyDescent="0.25">
      <c r="B682" s="5">
        <v>45943</v>
      </c>
      <c r="C682" s="2" t="str">
        <f>IFERROR(_xlfn.XLOOKUP(Tabla2[[#This Row],[PRODUCTO]],Tabla1[PRODUCTO],Tabla1[CODIGO]),"")</f>
        <v>ICA-5</v>
      </c>
      <c r="D682" s="31" t="s">
        <v>518</v>
      </c>
      <c r="E682" s="31" t="str">
        <f>IFERROR(VLOOKUP(Tabla2[[#This Row],[CODIGO]],Tabla1[],3,0),"")</f>
        <v>IMPLEMENTOS DE CALIDAD</v>
      </c>
      <c r="F682" s="28" t="str">
        <f>IFERROR(VLOOKUP(Tabla2[[#This Row],[CODIGO]],Tabla1[],5,0),"")</f>
        <v>ALMACEN TICAPAMPA</v>
      </c>
      <c r="G682" s="26" t="str">
        <f>IFERROR(VLOOKUP(Tabla2[[#This Row],[CODIGO]],Tabla1[],6,0),"")</f>
        <v>UNI</v>
      </c>
      <c r="H682" s="26">
        <f>IFERROR(VLOOKUP(Tabla2[[#This Row],[CODIGO]],Tabla1[],10,0),"")</f>
        <v>0</v>
      </c>
      <c r="I682" s="7">
        <v>-1</v>
      </c>
      <c r="J682" s="29" t="s">
        <v>530</v>
      </c>
      <c r="K682" s="26" t="str">
        <f>IFERROR(VLOOKUP(Tabla2[[#This Row],[CODIGO]],Tabla1[],11,0),"")</f>
        <v>COMPRA</v>
      </c>
      <c r="L682" s="67" t="s">
        <v>472</v>
      </c>
      <c r="M682" s="67" t="s">
        <v>253</v>
      </c>
      <c r="N682" s="70"/>
      <c r="O682" s="70">
        <f>Tabla2[[#This Row],[CANTIDAD]]*Tabla2[[#This Row],[PREC. UNITARIO]]</f>
        <v>0</v>
      </c>
      <c r="R682" t="str">
        <f>Tabla2[[#This Row],[QUIEN RECIBE]]&amp;"-"&amp;TEXT(Tabla2[[#This Row],[FECHA]],"dd/mm/yyyy")</f>
        <v>ALEJO CHARCA, DENNYS MIRIAM-13/10/2025</v>
      </c>
    </row>
    <row r="683" spans="2:18" ht="20.45" hidden="1" customHeight="1" x14ac:dyDescent="0.25">
      <c r="B683" s="5">
        <v>45943</v>
      </c>
      <c r="C683" s="2" t="str">
        <f>IFERROR(_xlfn.XLOOKUP(Tabla2[[#This Row],[PRODUCTO]],Tabla1[PRODUCTO],Tabla1[CODIGO]),"")</f>
        <v>ICA-4</v>
      </c>
      <c r="D683" s="31" t="s">
        <v>517</v>
      </c>
      <c r="E683" s="31" t="str">
        <f>IFERROR(VLOOKUP(Tabla2[[#This Row],[CODIGO]],Tabla1[],3,0),"")</f>
        <v>IMPLEMENTOS DE CALIDAD</v>
      </c>
      <c r="F683" s="28" t="str">
        <f>IFERROR(VLOOKUP(Tabla2[[#This Row],[CODIGO]],Tabla1[],5,0),"")</f>
        <v>ALMACEN TICAPAMPA</v>
      </c>
      <c r="G683" s="26" t="str">
        <f>IFERROR(VLOOKUP(Tabla2[[#This Row],[CODIGO]],Tabla1[],6,0),"")</f>
        <v>UNI</v>
      </c>
      <c r="H683" s="26">
        <f>IFERROR(VLOOKUP(Tabla2[[#This Row],[CODIGO]],Tabla1[],10,0),"")</f>
        <v>0</v>
      </c>
      <c r="I683" s="7">
        <v>-4</v>
      </c>
      <c r="J683" s="29" t="s">
        <v>530</v>
      </c>
      <c r="K683" s="26" t="str">
        <f>IFERROR(VLOOKUP(Tabla2[[#This Row],[CODIGO]],Tabla1[],11,0),"")</f>
        <v>COMPRA</v>
      </c>
      <c r="L683" s="67" t="s">
        <v>472</v>
      </c>
      <c r="M683" s="67" t="s">
        <v>253</v>
      </c>
      <c r="N683" s="70"/>
      <c r="O683" s="70">
        <f>Tabla2[[#This Row],[CANTIDAD]]*Tabla2[[#This Row],[PREC. UNITARIO]]</f>
        <v>0</v>
      </c>
      <c r="R683" t="str">
        <f>Tabla2[[#This Row],[QUIEN RECIBE]]&amp;"-"&amp;TEXT(Tabla2[[#This Row],[FECHA]],"dd/mm/yyyy")</f>
        <v>ALEJO CHARCA, DENNYS MIRIAM-13/10/2025</v>
      </c>
    </row>
    <row r="684" spans="2:18" ht="20.45" hidden="1" customHeight="1" x14ac:dyDescent="0.25">
      <c r="B684" s="5">
        <v>45943</v>
      </c>
      <c r="C684" s="2" t="str">
        <f>IFERROR(_xlfn.XLOOKUP(Tabla2[[#This Row],[PRODUCTO]],Tabla1[PRODUCTO],Tabla1[CODIGO]),"")</f>
        <v>ISA-23</v>
      </c>
      <c r="D684" s="31" t="s">
        <v>519</v>
      </c>
      <c r="E684" s="31" t="str">
        <f>IFERROR(VLOOKUP(Tabla2[[#This Row],[CODIGO]],Tabla1[],3,0),"")</f>
        <v>INSTALACIONES SANITARIAS</v>
      </c>
      <c r="F684" s="28" t="str">
        <f>IFERROR(VLOOKUP(Tabla2[[#This Row],[CODIGO]],Tabla1[],5,0),"")</f>
        <v>ALMACEN TICAPAMPA</v>
      </c>
      <c r="G684" s="26" t="str">
        <f>IFERROR(VLOOKUP(Tabla2[[#This Row],[CODIGO]],Tabla1[],6,0),"")</f>
        <v>UNI</v>
      </c>
      <c r="H684" s="26">
        <f>IFERROR(VLOOKUP(Tabla2[[#This Row],[CODIGO]],Tabla1[],10,0),"")</f>
        <v>0</v>
      </c>
      <c r="I684" s="7">
        <v>2</v>
      </c>
      <c r="J684" s="29" t="s">
        <v>320</v>
      </c>
      <c r="K684" s="26" t="str">
        <f>IFERROR(VLOOKUP(Tabla2[[#This Row],[CODIGO]],Tabla1[],11,0),"")</f>
        <v>COMPRA</v>
      </c>
      <c r="L684" s="67" t="s">
        <v>308</v>
      </c>
      <c r="M684" s="67" t="s">
        <v>472</v>
      </c>
      <c r="N684" s="70"/>
      <c r="O684" s="70">
        <f>Tabla2[[#This Row],[CANTIDAD]]*Tabla2[[#This Row],[PREC. UNITARIO]]</f>
        <v>0</v>
      </c>
      <c r="P684" t="s">
        <v>510</v>
      </c>
      <c r="R684" t="str">
        <f>Tabla2[[#This Row],[QUIEN RECIBE]]&amp;"-"&amp;TEXT(Tabla2[[#This Row],[FECHA]],"dd/mm/yyyy")</f>
        <v>ACUACHI LANCHIPA ERNESTO ALONSO-13/10/2025</v>
      </c>
    </row>
    <row r="685" spans="2:18" ht="20.45" hidden="1" customHeight="1" x14ac:dyDescent="0.25">
      <c r="B685" s="5">
        <v>45943</v>
      </c>
      <c r="C685" s="2" t="str">
        <f>IFERROR(_xlfn.XLOOKUP(Tabla2[[#This Row],[PRODUCTO]],Tabla1[PRODUCTO],Tabla1[CODIGO]),"")</f>
        <v>ISA-23</v>
      </c>
      <c r="D685" s="31" t="s">
        <v>519</v>
      </c>
      <c r="E685" s="31" t="str">
        <f>IFERROR(VLOOKUP(Tabla2[[#This Row],[CODIGO]],Tabla1[],3,0),"")</f>
        <v>INSTALACIONES SANITARIAS</v>
      </c>
      <c r="F685" s="28" t="str">
        <f>IFERROR(VLOOKUP(Tabla2[[#This Row],[CODIGO]],Tabla1[],5,0),"")</f>
        <v>ALMACEN TICAPAMPA</v>
      </c>
      <c r="G685" s="26" t="str">
        <f>IFERROR(VLOOKUP(Tabla2[[#This Row],[CODIGO]],Tabla1[],6,0),"")</f>
        <v>UNI</v>
      </c>
      <c r="H685" s="26">
        <f>IFERROR(VLOOKUP(Tabla2[[#This Row],[CODIGO]],Tabla1[],10,0),"")</f>
        <v>0</v>
      </c>
      <c r="I685" s="7">
        <v>-2</v>
      </c>
      <c r="J685" s="29" t="s">
        <v>531</v>
      </c>
      <c r="K685" s="26" t="str">
        <f>IFERROR(VLOOKUP(Tabla2[[#This Row],[CODIGO]],Tabla1[],11,0),"")</f>
        <v>COMPRA</v>
      </c>
      <c r="L685" s="67" t="s">
        <v>472</v>
      </c>
      <c r="M685" s="67" t="s">
        <v>258</v>
      </c>
      <c r="N685" s="70"/>
      <c r="O685" s="70">
        <f>Tabla2[[#This Row],[CANTIDAD]]*Tabla2[[#This Row],[PREC. UNITARIO]]</f>
        <v>0</v>
      </c>
      <c r="R685" t="str">
        <f>Tabla2[[#This Row],[QUIEN RECIBE]]&amp;"-"&amp;TEXT(Tabla2[[#This Row],[FECHA]],"dd/mm/yyyy")</f>
        <v>ADUVIRE ARGUATA, MARIO ARTURO-13/10/2025</v>
      </c>
    </row>
    <row r="686" spans="2:18" ht="20.45" hidden="1" customHeight="1" x14ac:dyDescent="0.25">
      <c r="B686" s="5">
        <v>45943</v>
      </c>
      <c r="C686" s="2" t="str">
        <f>IFERROR(_xlfn.XLOOKUP(Tabla2[[#This Row],[PRODUCTO]],Tabla1[PRODUCTO],Tabla1[CODIGO]),"")</f>
        <v>IS-49</v>
      </c>
      <c r="D686" s="31" t="s">
        <v>520</v>
      </c>
      <c r="E686" s="31" t="str">
        <f>IFERROR(VLOOKUP(Tabla2[[#This Row],[CODIGO]],Tabla1[],3,0),"")</f>
        <v>IMPLEMENTOS DE SEGURIDAD</v>
      </c>
      <c r="F686" s="28" t="str">
        <f>IFERROR(VLOOKUP(Tabla2[[#This Row],[CODIGO]],Tabla1[],5,0),"")</f>
        <v>ALMACEN TICAPAMPA</v>
      </c>
      <c r="G686" s="26" t="str">
        <f>IFERROR(VLOOKUP(Tabla2[[#This Row],[CODIGO]],Tabla1[],6,0),"")</f>
        <v>UNI</v>
      </c>
      <c r="H686" s="26">
        <f>IFERROR(VLOOKUP(Tabla2[[#This Row],[CODIGO]],Tabla1[],10,0),"")</f>
        <v>10</v>
      </c>
      <c r="I686" s="7">
        <v>10</v>
      </c>
      <c r="J686" s="29" t="s">
        <v>320</v>
      </c>
      <c r="K686" s="26" t="str">
        <f>IFERROR(VLOOKUP(Tabla2[[#This Row],[CODIGO]],Tabla1[],11,0),"")</f>
        <v>COMPRA</v>
      </c>
      <c r="L686" s="67" t="s">
        <v>308</v>
      </c>
      <c r="M686" s="67" t="s">
        <v>472</v>
      </c>
      <c r="N686" s="70"/>
      <c r="O686" s="70">
        <f>Tabla2[[#This Row],[CANTIDAD]]*Tabla2[[#This Row],[PREC. UNITARIO]]</f>
        <v>0</v>
      </c>
      <c r="P686" t="s">
        <v>510</v>
      </c>
      <c r="R686" t="str">
        <f>Tabla2[[#This Row],[QUIEN RECIBE]]&amp;"-"&amp;TEXT(Tabla2[[#This Row],[FECHA]],"dd/mm/yyyy")</f>
        <v>ACUACHI LANCHIPA ERNESTO ALONSO-13/10/2025</v>
      </c>
    </row>
    <row r="687" spans="2:18" ht="20.45" hidden="1" customHeight="1" x14ac:dyDescent="0.25">
      <c r="B687" s="5">
        <v>45943</v>
      </c>
      <c r="C687" s="2" t="str">
        <f>IFERROR(_xlfn.XLOOKUP(Tabla2[[#This Row],[PRODUCTO]],Tabla1[PRODUCTO],Tabla1[CODIGO]),"")</f>
        <v>IS-50</v>
      </c>
      <c r="D687" s="31" t="s">
        <v>522</v>
      </c>
      <c r="E687" s="31" t="str">
        <f>IFERROR(VLOOKUP(Tabla2[[#This Row],[CODIGO]],Tabla1[],3,0),"")</f>
        <v>IMPLEMENTOS DE SEGURIDAD</v>
      </c>
      <c r="F687" s="28" t="str">
        <f>IFERROR(VLOOKUP(Tabla2[[#This Row],[CODIGO]],Tabla1[],5,0),"")</f>
        <v>ALMACEN TICAPAMPA</v>
      </c>
      <c r="G687" s="26" t="str">
        <f>IFERROR(VLOOKUP(Tabla2[[#This Row],[CODIGO]],Tabla1[],6,0),"")</f>
        <v>UNI</v>
      </c>
      <c r="H687" s="26">
        <f>IFERROR(VLOOKUP(Tabla2[[#This Row],[CODIGO]],Tabla1[],10,0),"")</f>
        <v>7</v>
      </c>
      <c r="I687" s="7">
        <v>10</v>
      </c>
      <c r="J687" s="29" t="s">
        <v>320</v>
      </c>
      <c r="K687" s="26" t="str">
        <f>IFERROR(VLOOKUP(Tabla2[[#This Row],[CODIGO]],Tabla1[],11,0),"")</f>
        <v>COMPRA</v>
      </c>
      <c r="L687" s="67" t="s">
        <v>308</v>
      </c>
      <c r="M687" s="67" t="s">
        <v>472</v>
      </c>
      <c r="N687" s="70"/>
      <c r="O687" s="70">
        <f>Tabla2[[#This Row],[CANTIDAD]]*Tabla2[[#This Row],[PREC. UNITARIO]]</f>
        <v>0</v>
      </c>
      <c r="P687" t="s">
        <v>510</v>
      </c>
      <c r="R687" t="str">
        <f>Tabla2[[#This Row],[QUIEN RECIBE]]&amp;"-"&amp;TEXT(Tabla2[[#This Row],[FECHA]],"dd/mm/yyyy")</f>
        <v>ACUACHI LANCHIPA ERNESTO ALONSO-13/10/2025</v>
      </c>
    </row>
    <row r="688" spans="2:18" ht="20.45" hidden="1" customHeight="1" x14ac:dyDescent="0.25">
      <c r="B688" s="5">
        <v>45943</v>
      </c>
      <c r="C688" s="2" t="str">
        <f>IFERROR(_xlfn.XLOOKUP(Tabla2[[#This Row],[PRODUCTO]],Tabla1[PRODUCTO],Tabla1[CODIGO]),"")</f>
        <v>IS-51</v>
      </c>
      <c r="D688" s="31" t="s">
        <v>523</v>
      </c>
      <c r="E688" s="31" t="str">
        <f>IFERROR(VLOOKUP(Tabla2[[#This Row],[CODIGO]],Tabla1[],3,0),"")</f>
        <v>IMPLEMENTOS DE SEGURIDAD</v>
      </c>
      <c r="F688" s="28" t="str">
        <f>IFERROR(VLOOKUP(Tabla2[[#This Row],[CODIGO]],Tabla1[],5,0),"")</f>
        <v>ALMACEN TICAPAMPA</v>
      </c>
      <c r="G688" s="26" t="str">
        <f>IFERROR(VLOOKUP(Tabla2[[#This Row],[CODIGO]],Tabla1[],6,0),"")</f>
        <v>UNI</v>
      </c>
      <c r="H688" s="26">
        <f>IFERROR(VLOOKUP(Tabla2[[#This Row],[CODIGO]],Tabla1[],10,0),"")</f>
        <v>10</v>
      </c>
      <c r="I688" s="7">
        <v>10</v>
      </c>
      <c r="J688" s="29" t="s">
        <v>320</v>
      </c>
      <c r="K688" s="26" t="str">
        <f>IFERROR(VLOOKUP(Tabla2[[#This Row],[CODIGO]],Tabla1[],11,0),"")</f>
        <v>COMPRA</v>
      </c>
      <c r="L688" s="67" t="s">
        <v>308</v>
      </c>
      <c r="M688" s="67" t="s">
        <v>472</v>
      </c>
      <c r="N688" s="70"/>
      <c r="O688" s="70">
        <f>Tabla2[[#This Row],[CANTIDAD]]*Tabla2[[#This Row],[PREC. UNITARIO]]</f>
        <v>0</v>
      </c>
      <c r="P688" t="s">
        <v>510</v>
      </c>
      <c r="R688" t="str">
        <f>Tabla2[[#This Row],[QUIEN RECIBE]]&amp;"-"&amp;TEXT(Tabla2[[#This Row],[FECHA]],"dd/mm/yyyy")</f>
        <v>ACUACHI LANCHIPA ERNESTO ALONSO-13/10/2025</v>
      </c>
    </row>
    <row r="689" spans="2:18" ht="20.45" hidden="1" customHeight="1" x14ac:dyDescent="0.25">
      <c r="B689" s="5">
        <v>45943</v>
      </c>
      <c r="C689" s="2" t="str">
        <f>IFERROR(_xlfn.XLOOKUP(Tabla2[[#This Row],[PRODUCTO]],Tabla1[PRODUCTO],Tabla1[CODIGO]),"")</f>
        <v>IS-52</v>
      </c>
      <c r="D689" s="31" t="s">
        <v>524</v>
      </c>
      <c r="E689" s="31" t="str">
        <f>IFERROR(VLOOKUP(Tabla2[[#This Row],[CODIGO]],Tabla1[],3,0),"")</f>
        <v>IMPLEMENTOS DE SEGURIDAD</v>
      </c>
      <c r="F689" s="28" t="str">
        <f>IFERROR(VLOOKUP(Tabla2[[#This Row],[CODIGO]],Tabla1[],5,0),"")</f>
        <v>ALMACEN TICAPAMPA</v>
      </c>
      <c r="G689" s="26" t="str">
        <f>IFERROR(VLOOKUP(Tabla2[[#This Row],[CODIGO]],Tabla1[],6,0),"")</f>
        <v>UNI</v>
      </c>
      <c r="H689" s="26">
        <f>IFERROR(VLOOKUP(Tabla2[[#This Row],[CODIGO]],Tabla1[],10,0),"")</f>
        <v>10</v>
      </c>
      <c r="I689" s="7">
        <v>10</v>
      </c>
      <c r="J689" s="29" t="s">
        <v>320</v>
      </c>
      <c r="K689" s="26" t="str">
        <f>IFERROR(VLOOKUP(Tabla2[[#This Row],[CODIGO]],Tabla1[],11,0),"")</f>
        <v>COMPRA</v>
      </c>
      <c r="L689" s="67" t="s">
        <v>308</v>
      </c>
      <c r="M689" s="67" t="s">
        <v>472</v>
      </c>
      <c r="N689" s="70"/>
      <c r="O689" s="70">
        <f>Tabla2[[#This Row],[CANTIDAD]]*Tabla2[[#This Row],[PREC. UNITARIO]]</f>
        <v>0</v>
      </c>
      <c r="P689" t="s">
        <v>510</v>
      </c>
      <c r="R689" t="str">
        <f>Tabla2[[#This Row],[QUIEN RECIBE]]&amp;"-"&amp;TEXT(Tabla2[[#This Row],[FECHA]],"dd/mm/yyyy")</f>
        <v>ACUACHI LANCHIPA ERNESTO ALONSO-13/10/2025</v>
      </c>
    </row>
    <row r="690" spans="2:18" ht="20.45" hidden="1" customHeight="1" x14ac:dyDescent="0.25">
      <c r="B690" s="5">
        <v>45943</v>
      </c>
      <c r="C690" s="2" t="str">
        <f>IFERROR(_xlfn.XLOOKUP(Tabla2[[#This Row],[PRODUCTO]],Tabla1[PRODUCTO],Tabla1[CODIGO]),"")</f>
        <v>IS-53</v>
      </c>
      <c r="D690" s="31" t="s">
        <v>525</v>
      </c>
      <c r="E690" s="31" t="str">
        <f>IFERROR(VLOOKUP(Tabla2[[#This Row],[CODIGO]],Tabla1[],3,0),"")</f>
        <v>IMPLEMENTOS DE SEGURIDAD</v>
      </c>
      <c r="F690" s="28" t="str">
        <f>IFERROR(VLOOKUP(Tabla2[[#This Row],[CODIGO]],Tabla1[],5,0),"")</f>
        <v>ALMACEN TICAPAMPA</v>
      </c>
      <c r="G690" s="26" t="str">
        <f>IFERROR(VLOOKUP(Tabla2[[#This Row],[CODIGO]],Tabla1[],6,0),"")</f>
        <v>UNI</v>
      </c>
      <c r="H690" s="26">
        <f>IFERROR(VLOOKUP(Tabla2[[#This Row],[CODIGO]],Tabla1[],10,0),"")</f>
        <v>10</v>
      </c>
      <c r="I690" s="7">
        <v>10</v>
      </c>
      <c r="J690" s="29" t="s">
        <v>320</v>
      </c>
      <c r="K690" s="26" t="str">
        <f>IFERROR(VLOOKUP(Tabla2[[#This Row],[CODIGO]],Tabla1[],11,0),"")</f>
        <v>COMPRA</v>
      </c>
      <c r="L690" s="67" t="s">
        <v>308</v>
      </c>
      <c r="M690" s="67" t="s">
        <v>472</v>
      </c>
      <c r="N690" s="70"/>
      <c r="O690" s="70">
        <f>Tabla2[[#This Row],[CANTIDAD]]*Tabla2[[#This Row],[PREC. UNITARIO]]</f>
        <v>0</v>
      </c>
      <c r="P690" t="s">
        <v>510</v>
      </c>
      <c r="R690" t="str">
        <f>Tabla2[[#This Row],[QUIEN RECIBE]]&amp;"-"&amp;TEXT(Tabla2[[#This Row],[FECHA]],"dd/mm/yyyy")</f>
        <v>ACUACHI LANCHIPA ERNESTO ALONSO-13/10/2025</v>
      </c>
    </row>
    <row r="691" spans="2:18" ht="20.45" hidden="1" customHeight="1" x14ac:dyDescent="0.25">
      <c r="B691" s="5">
        <v>45943</v>
      </c>
      <c r="C691" s="2" t="str">
        <f>IFERROR(_xlfn.XLOOKUP(Tabla2[[#This Row],[PRODUCTO]],Tabla1[PRODUCTO],Tabla1[CODIGO]),"")</f>
        <v>IS-54</v>
      </c>
      <c r="D691" s="31" t="s">
        <v>526</v>
      </c>
      <c r="E691" s="31" t="str">
        <f>IFERROR(VLOOKUP(Tabla2[[#This Row],[CODIGO]],Tabla1[],3,0),"")</f>
        <v>IMPLEMENTOS DE SEGURIDAD</v>
      </c>
      <c r="F691" s="28" t="str">
        <f>IFERROR(VLOOKUP(Tabla2[[#This Row],[CODIGO]],Tabla1[],5,0),"")</f>
        <v>ALMACEN TICAPAMPA</v>
      </c>
      <c r="G691" s="26" t="str">
        <f>IFERROR(VLOOKUP(Tabla2[[#This Row],[CODIGO]],Tabla1[],6,0),"")</f>
        <v>UNI</v>
      </c>
      <c r="H691" s="26">
        <f>IFERROR(VLOOKUP(Tabla2[[#This Row],[CODIGO]],Tabla1[],10,0),"")</f>
        <v>10</v>
      </c>
      <c r="I691" s="7">
        <v>10</v>
      </c>
      <c r="J691" s="29" t="s">
        <v>320</v>
      </c>
      <c r="K691" s="26" t="str">
        <f>IFERROR(VLOOKUP(Tabla2[[#This Row],[CODIGO]],Tabla1[],11,0),"")</f>
        <v>COMPRA</v>
      </c>
      <c r="L691" s="67" t="s">
        <v>308</v>
      </c>
      <c r="M691" s="67" t="s">
        <v>472</v>
      </c>
      <c r="N691" s="70"/>
      <c r="O691" s="70">
        <f>Tabla2[[#This Row],[CANTIDAD]]*Tabla2[[#This Row],[PREC. UNITARIO]]</f>
        <v>0</v>
      </c>
      <c r="P691" t="s">
        <v>510</v>
      </c>
      <c r="R691" t="str">
        <f>Tabla2[[#This Row],[QUIEN RECIBE]]&amp;"-"&amp;TEXT(Tabla2[[#This Row],[FECHA]],"dd/mm/yyyy")</f>
        <v>ACUACHI LANCHIPA ERNESTO ALONSO-13/10/2025</v>
      </c>
    </row>
    <row r="692" spans="2:18" ht="20.45" hidden="1" customHeight="1" x14ac:dyDescent="0.25">
      <c r="B692" s="5">
        <v>45943</v>
      </c>
      <c r="C692" s="2" t="str">
        <f>IFERROR(_xlfn.XLOOKUP(Tabla2[[#This Row],[PRODUCTO]],Tabla1[PRODUCTO],Tabla1[CODIGO]),"")</f>
        <v>UE-71</v>
      </c>
      <c r="D692" s="31" t="s">
        <v>527</v>
      </c>
      <c r="E692" s="31" t="str">
        <f>IFERROR(VLOOKUP(Tabla2[[#This Row],[CODIGO]],Tabla1[],3,0),"")</f>
        <v>UTILES DE ESCRITORIO</v>
      </c>
      <c r="F692" s="28" t="str">
        <f>IFERROR(VLOOKUP(Tabla2[[#This Row],[CODIGO]],Tabla1[],5,0),"")</f>
        <v>ALMACEN TICAPAMPA</v>
      </c>
      <c r="G692" s="26" t="str">
        <f>IFERROR(VLOOKUP(Tabla2[[#This Row],[CODIGO]],Tabla1[],6,0),"")</f>
        <v>UNI</v>
      </c>
      <c r="H692" s="26">
        <f>IFERROR(VLOOKUP(Tabla2[[#This Row],[CODIGO]],Tabla1[],10,0),"")</f>
        <v>10</v>
      </c>
      <c r="I692" s="7">
        <v>10</v>
      </c>
      <c r="J692" s="29" t="s">
        <v>320</v>
      </c>
      <c r="K692" s="26" t="str">
        <f>IFERROR(VLOOKUP(Tabla2[[#This Row],[CODIGO]],Tabla1[],11,0),"")</f>
        <v>COMPRA</v>
      </c>
      <c r="L692" s="67" t="s">
        <v>308</v>
      </c>
      <c r="M692" s="67" t="s">
        <v>472</v>
      </c>
      <c r="N692" s="70"/>
      <c r="O692" s="70">
        <f>Tabla2[[#This Row],[CANTIDAD]]*Tabla2[[#This Row],[PREC. UNITARIO]]</f>
        <v>0</v>
      </c>
      <c r="P692" t="s">
        <v>510</v>
      </c>
      <c r="R692" t="str">
        <f>Tabla2[[#This Row],[QUIEN RECIBE]]&amp;"-"&amp;TEXT(Tabla2[[#This Row],[FECHA]],"dd/mm/yyyy")</f>
        <v>ACUACHI LANCHIPA ERNESTO ALONSO-13/10/2025</v>
      </c>
    </row>
    <row r="693" spans="2:18" ht="20.45" hidden="1" customHeight="1" x14ac:dyDescent="0.25">
      <c r="B693" s="5">
        <v>45943</v>
      </c>
      <c r="C693" s="2" t="str">
        <f>IFERROR(_xlfn.XLOOKUP(Tabla2[[#This Row],[PRODUCTO]],Tabla1[PRODUCTO],Tabla1[CODIGO]),"")</f>
        <v>UE-72</v>
      </c>
      <c r="D693" s="31" t="s">
        <v>528</v>
      </c>
      <c r="E693" s="31" t="str">
        <f>IFERROR(VLOOKUP(Tabla2[[#This Row],[CODIGO]],Tabla1[],3,0),"")</f>
        <v>UTILES DE ESCRITORIO</v>
      </c>
      <c r="F693" s="28" t="str">
        <f>IFERROR(VLOOKUP(Tabla2[[#This Row],[CODIGO]],Tabla1[],5,0),"")</f>
        <v>ALMACEN TICAPAMPA</v>
      </c>
      <c r="G693" s="26" t="str">
        <f>IFERROR(VLOOKUP(Tabla2[[#This Row],[CODIGO]],Tabla1[],6,0),"")</f>
        <v>UNI</v>
      </c>
      <c r="H693" s="26">
        <f>IFERROR(VLOOKUP(Tabla2[[#This Row],[CODIGO]],Tabla1[],10,0),"")</f>
        <v>1</v>
      </c>
      <c r="I693" s="7">
        <v>2</v>
      </c>
      <c r="J693" s="29" t="s">
        <v>320</v>
      </c>
      <c r="K693" s="26" t="str">
        <f>IFERROR(VLOOKUP(Tabla2[[#This Row],[CODIGO]],Tabla1[],11,0),"")</f>
        <v>COMPRA</v>
      </c>
      <c r="L693" s="67" t="s">
        <v>308</v>
      </c>
      <c r="M693" s="67" t="s">
        <v>472</v>
      </c>
      <c r="N693" s="70"/>
      <c r="O693" s="70">
        <f>Tabla2[[#This Row],[CANTIDAD]]*Tabla2[[#This Row],[PREC. UNITARIO]]</f>
        <v>0</v>
      </c>
      <c r="P693" t="s">
        <v>510</v>
      </c>
      <c r="R693" t="str">
        <f>Tabla2[[#This Row],[QUIEN RECIBE]]&amp;"-"&amp;TEXT(Tabla2[[#This Row],[FECHA]],"dd/mm/yyyy")</f>
        <v>ACUACHI LANCHIPA ERNESTO ALONSO-13/10/2025</v>
      </c>
    </row>
    <row r="694" spans="2:18" ht="20.45" hidden="1" customHeight="1" x14ac:dyDescent="0.25">
      <c r="B694" s="5">
        <v>45943</v>
      </c>
      <c r="C694" s="2" t="str">
        <f>IFERROR(_xlfn.XLOOKUP(Tabla2[[#This Row],[PRODUCTO]],Tabla1[PRODUCTO],Tabla1[CODIGO]),"")</f>
        <v>UE-72</v>
      </c>
      <c r="D694" s="31" t="s">
        <v>528</v>
      </c>
      <c r="E694" s="31" t="str">
        <f>IFERROR(VLOOKUP(Tabla2[[#This Row],[CODIGO]],Tabla1[],3,0),"")</f>
        <v>UTILES DE ESCRITORIO</v>
      </c>
      <c r="F694" s="28" t="str">
        <f>IFERROR(VLOOKUP(Tabla2[[#This Row],[CODIGO]],Tabla1[],5,0),"")</f>
        <v>ALMACEN TICAPAMPA</v>
      </c>
      <c r="G694" s="26" t="str">
        <f>IFERROR(VLOOKUP(Tabla2[[#This Row],[CODIGO]],Tabla1[],6,0),"")</f>
        <v>UNI</v>
      </c>
      <c r="H694" s="26">
        <f>IFERROR(VLOOKUP(Tabla2[[#This Row],[CODIGO]],Tabla1[],10,0),"")</f>
        <v>1</v>
      </c>
      <c r="I694" s="7">
        <v>-1</v>
      </c>
      <c r="J694" s="29" t="s">
        <v>429</v>
      </c>
      <c r="K694" s="26" t="str">
        <f>IFERROR(VLOOKUP(Tabla2[[#This Row],[CODIGO]],Tabla1[],11,0),"")</f>
        <v>COMPRA</v>
      </c>
      <c r="L694" s="67" t="s">
        <v>472</v>
      </c>
      <c r="M694" s="67" t="s">
        <v>304</v>
      </c>
      <c r="N694" s="70"/>
      <c r="O694" s="70">
        <f>Tabla2[[#This Row],[CANTIDAD]]*Tabla2[[#This Row],[PREC. UNITARIO]]</f>
        <v>0</v>
      </c>
      <c r="R694" t="str">
        <f>Tabla2[[#This Row],[QUIEN RECIBE]]&amp;"-"&amp;TEXT(Tabla2[[#This Row],[FECHA]],"dd/mm/yyyy")</f>
        <v>LOZA, GUILLERMO-13/10/2025</v>
      </c>
    </row>
    <row r="695" spans="2:18" ht="20.45" hidden="1" customHeight="1" x14ac:dyDescent="0.25">
      <c r="B695" s="5">
        <v>45943</v>
      </c>
      <c r="C695" s="2" t="str">
        <f>IFERROR(_xlfn.XLOOKUP(Tabla2[[#This Row],[PRODUCTO]],Tabla1[PRODUCTO],Tabla1[CODIGO]),"")</f>
        <v>UE-73</v>
      </c>
      <c r="D695" s="31" t="s">
        <v>529</v>
      </c>
      <c r="E695" s="31" t="str">
        <f>IFERROR(VLOOKUP(Tabla2[[#This Row],[CODIGO]],Tabla1[],3,0),"")</f>
        <v>UTILES DE ESCRITORIO</v>
      </c>
      <c r="F695" s="28" t="str">
        <f>IFERROR(VLOOKUP(Tabla2[[#This Row],[CODIGO]],Tabla1[],5,0),"")</f>
        <v>ALMACEN TICAPAMPA</v>
      </c>
      <c r="G695" s="26" t="str">
        <f>IFERROR(VLOOKUP(Tabla2[[#This Row],[CODIGO]],Tabla1[],6,0),"")</f>
        <v>UNI</v>
      </c>
      <c r="H695" s="26">
        <f>IFERROR(VLOOKUP(Tabla2[[#This Row],[CODIGO]],Tabla1[],10,0),"")</f>
        <v>1</v>
      </c>
      <c r="I695" s="7">
        <v>1</v>
      </c>
      <c r="J695" s="29" t="s">
        <v>320</v>
      </c>
      <c r="K695" s="26" t="str">
        <f>IFERROR(VLOOKUP(Tabla2[[#This Row],[CODIGO]],Tabla1[],11,0),"")</f>
        <v>COMPRA</v>
      </c>
      <c r="L695" s="67" t="s">
        <v>308</v>
      </c>
      <c r="M695" s="67" t="s">
        <v>472</v>
      </c>
      <c r="N695" s="70"/>
      <c r="O695" s="70">
        <f>Tabla2[[#This Row],[CANTIDAD]]*Tabla2[[#This Row],[PREC. UNITARIO]]</f>
        <v>0</v>
      </c>
      <c r="P695" t="s">
        <v>510</v>
      </c>
      <c r="R695" t="str">
        <f>Tabla2[[#This Row],[QUIEN RECIBE]]&amp;"-"&amp;TEXT(Tabla2[[#This Row],[FECHA]],"dd/mm/yyyy")</f>
        <v>ACUACHI LANCHIPA ERNESTO ALONSO-13/10/2025</v>
      </c>
    </row>
    <row r="696" spans="2:18" ht="20.45" hidden="1" customHeight="1" x14ac:dyDescent="0.25">
      <c r="B696" s="5">
        <v>45943</v>
      </c>
      <c r="C696" s="2" t="str">
        <f>IFERROR(_xlfn.XLOOKUP(Tabla2[[#This Row],[PRODUCTO]],Tabla1[PRODUCTO],Tabla1[CODIGO]),"")</f>
        <v>IS-56</v>
      </c>
      <c r="D696" s="31" t="s">
        <v>533</v>
      </c>
      <c r="E696" s="31" t="str">
        <f>IFERROR(VLOOKUP(Tabla2[[#This Row],[CODIGO]],Tabla1[],3,0),"")</f>
        <v>IMPLEMENTOS DE SEGURIDAD</v>
      </c>
      <c r="F696" s="28" t="str">
        <f>IFERROR(VLOOKUP(Tabla2[[#This Row],[CODIGO]],Tabla1[],5,0),"")</f>
        <v>ALMACEN TICAPAMPA</v>
      </c>
      <c r="G696" s="26" t="str">
        <f>IFERROR(VLOOKUP(Tabla2[[#This Row],[CODIGO]],Tabla1[],6,0),"")</f>
        <v>UNI</v>
      </c>
      <c r="H696" s="26">
        <f>IFERROR(VLOOKUP(Tabla2[[#This Row],[CODIGO]],Tabla1[],10,0),"")</f>
        <v>2</v>
      </c>
      <c r="I696" s="7">
        <v>3</v>
      </c>
      <c r="J696" s="29" t="s">
        <v>320</v>
      </c>
      <c r="K696" s="26" t="str">
        <f>IFERROR(VLOOKUP(Tabla2[[#This Row],[CODIGO]],Tabla1[],11,0),"")</f>
        <v>COMPRA</v>
      </c>
      <c r="L696" s="67" t="s">
        <v>308</v>
      </c>
      <c r="M696" s="67" t="s">
        <v>472</v>
      </c>
      <c r="N696" s="70">
        <v>63</v>
      </c>
      <c r="O696" s="70">
        <f>Tabla2[[#This Row],[CANTIDAD]]*Tabla2[[#This Row],[PREC. UNITARIO]]</f>
        <v>189</v>
      </c>
      <c r="P696" t="s">
        <v>536</v>
      </c>
      <c r="R696" t="str">
        <f>Tabla2[[#This Row],[QUIEN RECIBE]]&amp;"-"&amp;TEXT(Tabla2[[#This Row],[FECHA]],"dd/mm/yyyy")</f>
        <v>ACUACHI LANCHIPA ERNESTO ALONSO-13/10/2025</v>
      </c>
    </row>
    <row r="697" spans="2:18" ht="20.45" hidden="1" customHeight="1" x14ac:dyDescent="0.25">
      <c r="B697" s="5">
        <v>45943</v>
      </c>
      <c r="C697" s="2" t="str">
        <f>IFERROR(_xlfn.XLOOKUP(Tabla2[[#This Row],[PRODUCTO]],Tabla1[PRODUCTO],Tabla1[CODIGO]),"")</f>
        <v>IS-55</v>
      </c>
      <c r="D697" s="31" t="s">
        <v>532</v>
      </c>
      <c r="E697" s="31" t="str">
        <f>IFERROR(VLOOKUP(Tabla2[[#This Row],[CODIGO]],Tabla1[],3,0),"")</f>
        <v>IMPLEMENTOS DE SEGURIDAD</v>
      </c>
      <c r="F697" s="28" t="str">
        <f>IFERROR(VLOOKUP(Tabla2[[#This Row],[CODIGO]],Tabla1[],5,0),"")</f>
        <v>ALMACEN TICAPAMPA</v>
      </c>
      <c r="G697" s="26" t="str">
        <f>IFERROR(VLOOKUP(Tabla2[[#This Row],[CODIGO]],Tabla1[],6,0),"")</f>
        <v>UNI</v>
      </c>
      <c r="H697" s="26">
        <f>IFERROR(VLOOKUP(Tabla2[[#This Row],[CODIGO]],Tabla1[],10,0),"")</f>
        <v>3</v>
      </c>
      <c r="I697" s="7">
        <v>4</v>
      </c>
      <c r="J697" s="29" t="s">
        <v>320</v>
      </c>
      <c r="K697" s="26" t="str">
        <f>IFERROR(VLOOKUP(Tabla2[[#This Row],[CODIGO]],Tabla1[],11,0),"")</f>
        <v>COMPRA</v>
      </c>
      <c r="L697" s="67" t="s">
        <v>308</v>
      </c>
      <c r="M697" s="67" t="s">
        <v>472</v>
      </c>
      <c r="N697" s="70">
        <v>63</v>
      </c>
      <c r="O697" s="70">
        <f>Tabla2[[#This Row],[CANTIDAD]]*Tabla2[[#This Row],[PREC. UNITARIO]]</f>
        <v>252</v>
      </c>
      <c r="P697" t="s">
        <v>536</v>
      </c>
      <c r="R697" t="str">
        <f>Tabla2[[#This Row],[QUIEN RECIBE]]&amp;"-"&amp;TEXT(Tabla2[[#This Row],[FECHA]],"dd/mm/yyyy")</f>
        <v>ACUACHI LANCHIPA ERNESTO ALONSO-13/10/2025</v>
      </c>
    </row>
    <row r="698" spans="2:18" ht="20.45" hidden="1" customHeight="1" x14ac:dyDescent="0.25">
      <c r="B698" s="5">
        <v>45943</v>
      </c>
      <c r="C698" s="2" t="str">
        <f>IFERROR(_xlfn.XLOOKUP(Tabla2[[#This Row],[PRODUCTO]],Tabla1[PRODUCTO],Tabla1[CODIGO]),"")</f>
        <v>IS-45</v>
      </c>
      <c r="D698" s="31" t="s">
        <v>498</v>
      </c>
      <c r="E698" s="31" t="str">
        <f>IFERROR(VLOOKUP(Tabla2[[#This Row],[CODIGO]],Tabla1[],3,0),"")</f>
        <v>IMPLEMENTOS DE SEGURIDAD</v>
      </c>
      <c r="F698" s="28" t="str">
        <f>IFERROR(VLOOKUP(Tabla2[[#This Row],[CODIGO]],Tabla1[],5,0),"")</f>
        <v>ALMACEN TICAPAMPA</v>
      </c>
      <c r="G698" s="26" t="str">
        <f>IFERROR(VLOOKUP(Tabla2[[#This Row],[CODIGO]],Tabla1[],6,0),"")</f>
        <v>UNI</v>
      </c>
      <c r="H698" s="26">
        <f>IFERROR(VLOOKUP(Tabla2[[#This Row],[CODIGO]],Tabla1[],10,0),"")</f>
        <v>6</v>
      </c>
      <c r="I698" s="7">
        <v>5</v>
      </c>
      <c r="J698" s="29" t="s">
        <v>320</v>
      </c>
      <c r="K698" s="26" t="str">
        <f>IFERROR(VLOOKUP(Tabla2[[#This Row],[CODIGO]],Tabla1[],11,0),"")</f>
        <v>CAMBIO</v>
      </c>
      <c r="L698" s="67" t="s">
        <v>308</v>
      </c>
      <c r="M698" s="67" t="s">
        <v>472</v>
      </c>
      <c r="N698" s="70">
        <v>63</v>
      </c>
      <c r="O698" s="70">
        <f>Tabla2[[#This Row],[CANTIDAD]]*Tabla2[[#This Row],[PREC. UNITARIO]]</f>
        <v>315</v>
      </c>
      <c r="P698" t="s">
        <v>536</v>
      </c>
      <c r="R698" t="str">
        <f>Tabla2[[#This Row],[QUIEN RECIBE]]&amp;"-"&amp;TEXT(Tabla2[[#This Row],[FECHA]],"dd/mm/yyyy")</f>
        <v>ACUACHI LANCHIPA ERNESTO ALONSO-13/10/2025</v>
      </c>
    </row>
    <row r="699" spans="2:18" ht="20.45" hidden="1" customHeight="1" x14ac:dyDescent="0.25">
      <c r="B699" s="5">
        <v>45943</v>
      </c>
      <c r="C699" s="2" t="str">
        <f>IFERROR(_xlfn.XLOOKUP(Tabla2[[#This Row],[PRODUCTO]],Tabla1[PRODUCTO],Tabla1[CODIGO]),"")</f>
        <v>IS-2</v>
      </c>
      <c r="D699" s="31" t="s">
        <v>52</v>
      </c>
      <c r="E699" s="31" t="str">
        <f>IFERROR(VLOOKUP(Tabla2[[#This Row],[CODIGO]],Tabla1[],3,0),"")</f>
        <v>IMPLEMENTOS DE SEGURIDAD</v>
      </c>
      <c r="F699" s="28" t="str">
        <f>IFERROR(VLOOKUP(Tabla2[[#This Row],[CODIGO]],Tabla1[],5,0),"")</f>
        <v>ALMACEN TICAPAMPA</v>
      </c>
      <c r="G699" s="26" t="str">
        <f>IFERROR(VLOOKUP(Tabla2[[#This Row],[CODIGO]],Tabla1[],6,0),"")</f>
        <v>UNI</v>
      </c>
      <c r="H699" s="26">
        <f>IFERROR(VLOOKUP(Tabla2[[#This Row],[CODIGO]],Tabla1[],10,0),"")</f>
        <v>5</v>
      </c>
      <c r="I699" s="7">
        <v>-1</v>
      </c>
      <c r="J699" s="29" t="s">
        <v>321</v>
      </c>
      <c r="K699" s="26" t="str">
        <f>IFERROR(VLOOKUP(Tabla2[[#This Row],[CODIGO]],Tabla1[],11,0),"")</f>
        <v>COMPRA</v>
      </c>
      <c r="L699" s="67" t="s">
        <v>472</v>
      </c>
      <c r="M699" s="67" t="s">
        <v>537</v>
      </c>
      <c r="N699" s="70">
        <v>45</v>
      </c>
      <c r="O699" s="70">
        <f>Tabla2[[#This Row],[CANTIDAD]]*Tabla2[[#This Row],[PREC. UNITARIO]]</f>
        <v>-45</v>
      </c>
      <c r="R699" t="str">
        <f>Tabla2[[#This Row],[QUIEN RECIBE]]&amp;"-"&amp;TEXT(Tabla2[[#This Row],[FECHA]],"dd/mm/yyyy")</f>
        <v>GAMARRA CONDORI, ANGEL-13/10/2025</v>
      </c>
    </row>
    <row r="700" spans="2:18" ht="20.45" hidden="1" customHeight="1" x14ac:dyDescent="0.25">
      <c r="B700" s="5">
        <v>45943</v>
      </c>
      <c r="C700" s="2" t="str">
        <f>IFERROR(_xlfn.XLOOKUP(Tabla2[[#This Row],[PRODUCTO]],Tabla1[PRODUCTO],Tabla1[CODIGO]),"")</f>
        <v>IS-36</v>
      </c>
      <c r="D700" s="31" t="s">
        <v>300</v>
      </c>
      <c r="E700" s="31" t="str">
        <f>IFERROR(VLOOKUP(Tabla2[[#This Row],[CODIGO]],Tabla1[],3,0),"")</f>
        <v>IMPLEMENTOS DE SEGURIDAD</v>
      </c>
      <c r="F700" s="28" t="str">
        <f>IFERROR(VLOOKUP(Tabla2[[#This Row],[CODIGO]],Tabla1[],5,0),"")</f>
        <v>ALMACEN TICAPAMPA</v>
      </c>
      <c r="G700" s="26" t="str">
        <f>IFERROR(VLOOKUP(Tabla2[[#This Row],[CODIGO]],Tabla1[],6,0),"")</f>
        <v>UNI</v>
      </c>
      <c r="H700" s="26">
        <f>IFERROR(VLOOKUP(Tabla2[[#This Row],[CODIGO]],Tabla1[],10,0),"")</f>
        <v>4</v>
      </c>
      <c r="I700" s="7">
        <v>-1</v>
      </c>
      <c r="J700" s="29" t="s">
        <v>321</v>
      </c>
      <c r="K700" s="26" t="str">
        <f>IFERROR(VLOOKUP(Tabla2[[#This Row],[CODIGO]],Tabla1[],11,0),"")</f>
        <v>COMPRA</v>
      </c>
      <c r="L700" s="67" t="s">
        <v>472</v>
      </c>
      <c r="M700" s="67" t="s">
        <v>537</v>
      </c>
      <c r="N700" s="70"/>
      <c r="O700" s="70">
        <f>Tabla2[[#This Row],[CANTIDAD]]*Tabla2[[#This Row],[PREC. UNITARIO]]</f>
        <v>0</v>
      </c>
      <c r="R700" t="str">
        <f>Tabla2[[#This Row],[QUIEN RECIBE]]&amp;"-"&amp;TEXT(Tabla2[[#This Row],[FECHA]],"dd/mm/yyyy")</f>
        <v>GAMARRA CONDORI, ANGEL-13/10/2025</v>
      </c>
    </row>
    <row r="701" spans="2:18" ht="20.45" hidden="1" customHeight="1" x14ac:dyDescent="0.25">
      <c r="B701" s="5">
        <v>45943</v>
      </c>
      <c r="C701" s="2" t="str">
        <f>IFERROR(_xlfn.XLOOKUP(Tabla2[[#This Row],[PRODUCTO]],Tabla1[PRODUCTO],Tabla1[CODIGO]),"")</f>
        <v>IS-15</v>
      </c>
      <c r="D701" s="31" t="s">
        <v>64</v>
      </c>
      <c r="E701" s="31" t="str">
        <f>IFERROR(VLOOKUP(Tabla2[[#This Row],[CODIGO]],Tabla1[],3,0),"")</f>
        <v>IMPLEMENTOS DE SEGURIDAD</v>
      </c>
      <c r="F701" s="28" t="str">
        <f>IFERROR(VLOOKUP(Tabla2[[#This Row],[CODIGO]],Tabla1[],5,0),"")</f>
        <v>ALMACEN TICAPAMPA</v>
      </c>
      <c r="G701" s="26" t="str">
        <f>IFERROR(VLOOKUP(Tabla2[[#This Row],[CODIGO]],Tabla1[],6,0),"")</f>
        <v>PAR</v>
      </c>
      <c r="H701" s="26">
        <f>IFERROR(VLOOKUP(Tabla2[[#This Row],[CODIGO]],Tabla1[],10,0),"")</f>
        <v>0</v>
      </c>
      <c r="I701" s="7">
        <v>-1</v>
      </c>
      <c r="J701" s="29" t="s">
        <v>321</v>
      </c>
      <c r="K701" s="26" t="str">
        <f>IFERROR(VLOOKUP(Tabla2[[#This Row],[CODIGO]],Tabla1[],11,0),"")</f>
        <v>COMPRA</v>
      </c>
      <c r="L701" s="67" t="s">
        <v>472</v>
      </c>
      <c r="M701" s="67" t="s">
        <v>537</v>
      </c>
      <c r="N701" s="70">
        <v>63</v>
      </c>
      <c r="O701" s="70">
        <f>Tabla2[[#This Row],[CANTIDAD]]*Tabla2[[#This Row],[PREC. UNITARIO]]</f>
        <v>-63</v>
      </c>
      <c r="R701" t="str">
        <f>Tabla2[[#This Row],[QUIEN RECIBE]]&amp;"-"&amp;TEXT(Tabla2[[#This Row],[FECHA]],"dd/mm/yyyy")</f>
        <v>GAMARRA CONDORI, ANGEL-13/10/2025</v>
      </c>
    </row>
    <row r="702" spans="2:18" ht="20.45" hidden="1" customHeight="1" x14ac:dyDescent="0.25">
      <c r="B702" s="5">
        <v>45943</v>
      </c>
      <c r="C702" s="2" t="str">
        <f>IFERROR(_xlfn.XLOOKUP(Tabla2[[#This Row],[PRODUCTO]],Tabla1[PRODUCTO],Tabla1[CODIGO]),"")</f>
        <v>IS-28</v>
      </c>
      <c r="D702" s="31" t="s">
        <v>79</v>
      </c>
      <c r="E702" s="31" t="str">
        <f>IFERROR(VLOOKUP(Tabla2[[#This Row],[CODIGO]],Tabla1[],3,0),"")</f>
        <v>IMPLEMENTOS DE SEGURIDAD</v>
      </c>
      <c r="F702" s="28" t="str">
        <f>IFERROR(VLOOKUP(Tabla2[[#This Row],[CODIGO]],Tabla1[],5,0),"")</f>
        <v>ALMACEN TICAPAMPA</v>
      </c>
      <c r="G702" s="26" t="str">
        <f>IFERROR(VLOOKUP(Tabla2[[#This Row],[CODIGO]],Tabla1[],6,0),"")</f>
        <v>UNI</v>
      </c>
      <c r="H702" s="26">
        <f>IFERROR(VLOOKUP(Tabla2[[#This Row],[CODIGO]],Tabla1[],10,0),"")</f>
        <v>32</v>
      </c>
      <c r="I702" s="7">
        <v>-1</v>
      </c>
      <c r="J702" s="29" t="s">
        <v>321</v>
      </c>
      <c r="K702" s="26" t="str">
        <f>IFERROR(VLOOKUP(Tabla2[[#This Row],[CODIGO]],Tabla1[],11,0),"")</f>
        <v>COMPRA</v>
      </c>
      <c r="L702" s="67" t="s">
        <v>472</v>
      </c>
      <c r="M702" s="67" t="s">
        <v>537</v>
      </c>
      <c r="N702" s="70">
        <v>4</v>
      </c>
      <c r="O702" s="70">
        <f>Tabla2[[#This Row],[CANTIDAD]]*Tabla2[[#This Row],[PREC. UNITARIO]]</f>
        <v>-4</v>
      </c>
      <c r="R702" t="str">
        <f>Tabla2[[#This Row],[QUIEN RECIBE]]&amp;"-"&amp;TEXT(Tabla2[[#This Row],[FECHA]],"dd/mm/yyyy")</f>
        <v>GAMARRA CONDORI, ANGEL-13/10/2025</v>
      </c>
    </row>
    <row r="703" spans="2:18" ht="20.45" hidden="1" customHeight="1" x14ac:dyDescent="0.25">
      <c r="B703" s="5">
        <v>45943</v>
      </c>
      <c r="C703" s="2" t="str">
        <f>IFERROR(_xlfn.XLOOKUP(Tabla2[[#This Row],[PRODUCTO]],Tabla1[PRODUCTO],Tabla1[CODIGO]),"")</f>
        <v>IS-20</v>
      </c>
      <c r="D703" s="31" t="s">
        <v>69</v>
      </c>
      <c r="E703" s="31" t="str">
        <f>IFERROR(VLOOKUP(Tabla2[[#This Row],[CODIGO]],Tabla1[],3,0),"")</f>
        <v>IMPLEMENTOS DE SEGURIDAD</v>
      </c>
      <c r="F703" s="28" t="str">
        <f>IFERROR(VLOOKUP(Tabla2[[#This Row],[CODIGO]],Tabla1[],5,0),"")</f>
        <v>ALMACEN TICAPAMPA</v>
      </c>
      <c r="G703" s="26" t="str">
        <f>IFERROR(VLOOKUP(Tabla2[[#This Row],[CODIGO]],Tabla1[],6,0),"")</f>
        <v>UNI</v>
      </c>
      <c r="H703" s="26">
        <f>IFERROR(VLOOKUP(Tabla2[[#This Row],[CODIGO]],Tabla1[],10,0),"")</f>
        <v>5</v>
      </c>
      <c r="I703" s="7">
        <v>-1</v>
      </c>
      <c r="J703" s="29" t="s">
        <v>321</v>
      </c>
      <c r="K703" s="26" t="str">
        <f>IFERROR(VLOOKUP(Tabla2[[#This Row],[CODIGO]],Tabla1[],11,0),"")</f>
        <v>COMPRA</v>
      </c>
      <c r="L703" s="67" t="s">
        <v>472</v>
      </c>
      <c r="M703" s="67" t="s">
        <v>537</v>
      </c>
      <c r="N703" s="70">
        <v>6.5</v>
      </c>
      <c r="O703" s="70">
        <f>Tabla2[[#This Row],[CANTIDAD]]*Tabla2[[#This Row],[PREC. UNITARIO]]</f>
        <v>-6.5</v>
      </c>
      <c r="R703" t="str">
        <f>Tabla2[[#This Row],[QUIEN RECIBE]]&amp;"-"&amp;TEXT(Tabla2[[#This Row],[FECHA]],"dd/mm/yyyy")</f>
        <v>GAMARRA CONDORI, ANGEL-13/10/2025</v>
      </c>
    </row>
    <row r="704" spans="2:18" ht="20.45" hidden="1" customHeight="1" x14ac:dyDescent="0.25">
      <c r="B704" s="5">
        <v>45943</v>
      </c>
      <c r="C704" s="2" t="str">
        <f>IFERROR(_xlfn.XLOOKUP(Tabla2[[#This Row],[PRODUCTO]],Tabla1[PRODUCTO],Tabla1[CODIGO]),"")</f>
        <v>IS-30</v>
      </c>
      <c r="D704" s="31" t="s">
        <v>81</v>
      </c>
      <c r="E704" s="31" t="str">
        <f>IFERROR(VLOOKUP(Tabla2[[#This Row],[CODIGO]],Tabla1[],3,0),"")</f>
        <v>IMPLEMENTOS DE SEGURIDAD</v>
      </c>
      <c r="F704" s="28" t="str">
        <f>IFERROR(VLOOKUP(Tabla2[[#This Row],[CODIGO]],Tabla1[],5,0),"")</f>
        <v>ALMACEN TICAPAMPA</v>
      </c>
      <c r="G704" s="26" t="str">
        <f>IFERROR(VLOOKUP(Tabla2[[#This Row],[CODIGO]],Tabla1[],6,0),"")</f>
        <v>UNI</v>
      </c>
      <c r="H704" s="26">
        <f>IFERROR(VLOOKUP(Tabla2[[#This Row],[CODIGO]],Tabla1[],10,0),"")</f>
        <v>99</v>
      </c>
      <c r="I704" s="7">
        <v>-1</v>
      </c>
      <c r="J704" s="29" t="s">
        <v>321</v>
      </c>
      <c r="K704" s="26" t="str">
        <f>IFERROR(VLOOKUP(Tabla2[[#This Row],[CODIGO]],Tabla1[],11,0),"")</f>
        <v>COMPRA</v>
      </c>
      <c r="L704" s="67" t="s">
        <v>472</v>
      </c>
      <c r="M704" s="67" t="s">
        <v>537</v>
      </c>
      <c r="N704" s="70">
        <v>8</v>
      </c>
      <c r="O704" s="70">
        <f>Tabla2[[#This Row],[CANTIDAD]]*Tabla2[[#This Row],[PREC. UNITARIO]]</f>
        <v>-8</v>
      </c>
      <c r="R704" t="str">
        <f>Tabla2[[#This Row],[QUIEN RECIBE]]&amp;"-"&amp;TEXT(Tabla2[[#This Row],[FECHA]],"dd/mm/yyyy")</f>
        <v>GAMARRA CONDORI, ANGEL-13/10/2025</v>
      </c>
    </row>
    <row r="705" spans="2:18" ht="20.45" hidden="1" customHeight="1" x14ac:dyDescent="0.25">
      <c r="B705" s="5">
        <v>45943</v>
      </c>
      <c r="C705" s="2" t="str">
        <f>IFERROR(_xlfn.XLOOKUP(Tabla2[[#This Row],[PRODUCTO]],Tabla1[PRODUCTO],Tabla1[CODIGO]),"")</f>
        <v>IS-57</v>
      </c>
      <c r="D705" s="31" t="s">
        <v>538</v>
      </c>
      <c r="E705" s="31" t="str">
        <f>IFERROR(VLOOKUP(Tabla2[[#This Row],[CODIGO]],Tabla1[],3,0),"")</f>
        <v>IMPLEMENTOS DE SEGURIDAD</v>
      </c>
      <c r="F705" s="28" t="str">
        <f>IFERROR(VLOOKUP(Tabla2[[#This Row],[CODIGO]],Tabla1[],5,0),"")</f>
        <v>ALMACEN TICAPAMPA</v>
      </c>
      <c r="G705" s="26" t="str">
        <f>IFERROR(VLOOKUP(Tabla2[[#This Row],[CODIGO]],Tabla1[],6,0),"")</f>
        <v>UNI</v>
      </c>
      <c r="H705" s="26">
        <f>IFERROR(VLOOKUP(Tabla2[[#This Row],[CODIGO]],Tabla1[],10,0),"")</f>
        <v>70</v>
      </c>
      <c r="I705" s="7">
        <v>100</v>
      </c>
      <c r="J705" s="29" t="s">
        <v>320</v>
      </c>
      <c r="K705" s="26" t="str">
        <f>IFERROR(VLOOKUP(Tabla2[[#This Row],[CODIGO]],Tabla1[],11,0),"")</f>
        <v>COMPRA</v>
      </c>
      <c r="L705" s="67" t="s">
        <v>308</v>
      </c>
      <c r="M705" s="67" t="s">
        <v>472</v>
      </c>
      <c r="N705" s="70"/>
      <c r="O705" s="70">
        <f>Tabla2[[#This Row],[CANTIDAD]]*Tabla2[[#This Row],[PREC. UNITARIO]]</f>
        <v>0</v>
      </c>
      <c r="R705" t="str">
        <f>Tabla2[[#This Row],[QUIEN RECIBE]]&amp;"-"&amp;TEXT(Tabla2[[#This Row],[FECHA]],"dd/mm/yyyy")</f>
        <v>ACUACHI LANCHIPA ERNESTO ALONSO-13/10/2025</v>
      </c>
    </row>
    <row r="706" spans="2:18" ht="20.45" hidden="1" customHeight="1" x14ac:dyDescent="0.25">
      <c r="B706" s="5">
        <v>45943</v>
      </c>
      <c r="C706" s="2" t="str">
        <f>IFERROR(_xlfn.XLOOKUP(Tabla2[[#This Row],[PRODUCTO]],Tabla1[PRODUCTO],Tabla1[CODIGO]),"")</f>
        <v>IS-57</v>
      </c>
      <c r="D706" s="31" t="s">
        <v>538</v>
      </c>
      <c r="E706" s="31" t="str">
        <f>IFERROR(VLOOKUP(Tabla2[[#This Row],[CODIGO]],Tabla1[],3,0),"")</f>
        <v>IMPLEMENTOS DE SEGURIDAD</v>
      </c>
      <c r="F706" s="28" t="str">
        <f>IFERROR(VLOOKUP(Tabla2[[#This Row],[CODIGO]],Tabla1[],5,0),"")</f>
        <v>ALMACEN TICAPAMPA</v>
      </c>
      <c r="G706" s="26" t="str">
        <f>IFERROR(VLOOKUP(Tabla2[[#This Row],[CODIGO]],Tabla1[],6,0),"")</f>
        <v>UNI</v>
      </c>
      <c r="H706" s="26">
        <f>IFERROR(VLOOKUP(Tabla2[[#This Row],[CODIGO]],Tabla1[],10,0),"")</f>
        <v>70</v>
      </c>
      <c r="I706" s="7">
        <v>-10</v>
      </c>
      <c r="J706" s="29" t="s">
        <v>539</v>
      </c>
      <c r="K706" s="26" t="str">
        <f>IFERROR(VLOOKUP(Tabla2[[#This Row],[CODIGO]],Tabla1[],11,0),"")</f>
        <v>COMPRA</v>
      </c>
      <c r="L706" s="67" t="s">
        <v>308</v>
      </c>
      <c r="M706" s="67" t="s">
        <v>308</v>
      </c>
      <c r="N706" s="70"/>
      <c r="O706" s="70">
        <f>Tabla2[[#This Row],[CANTIDAD]]*Tabla2[[#This Row],[PREC. UNITARIO]]</f>
        <v>0</v>
      </c>
      <c r="R706" t="str">
        <f>Tabla2[[#This Row],[QUIEN RECIBE]]&amp;"-"&amp;TEXT(Tabla2[[#This Row],[FECHA]],"dd/mm/yyyy")</f>
        <v>ACOSTA ROJAS, JOSEPH ALFONSO-13/10/2025</v>
      </c>
    </row>
    <row r="707" spans="2:18" ht="20.45" hidden="1" customHeight="1" x14ac:dyDescent="0.25">
      <c r="B707" s="5">
        <v>45943</v>
      </c>
      <c r="C707" s="2" t="str">
        <f>IFERROR(_xlfn.XLOOKUP(Tabla2[[#This Row],[PRODUCTO]],Tabla1[PRODUCTO],Tabla1[CODIGO]),"")</f>
        <v>IS-14</v>
      </c>
      <c r="D707" s="31" t="s">
        <v>271</v>
      </c>
      <c r="E707" s="31" t="str">
        <f>IFERROR(VLOOKUP(Tabla2[[#This Row],[CODIGO]],Tabla1[],3,0),"")</f>
        <v>IMPLEMENTOS DE SEGURIDAD</v>
      </c>
      <c r="F707" s="28" t="str">
        <f>IFERROR(VLOOKUP(Tabla2[[#This Row],[CODIGO]],Tabla1[],5,0),"")</f>
        <v>ALMACEN TICAPAMPA</v>
      </c>
      <c r="G707" s="26" t="str">
        <f>IFERROR(VLOOKUP(Tabla2[[#This Row],[CODIGO]],Tabla1[],6,0),"")</f>
        <v>UNI</v>
      </c>
      <c r="H707" s="26">
        <f>IFERROR(VLOOKUP(Tabla2[[#This Row],[CODIGO]],Tabla1[],10,0),"")</f>
        <v>1</v>
      </c>
      <c r="I707" s="7">
        <v>-1</v>
      </c>
      <c r="J707" s="29" t="s">
        <v>321</v>
      </c>
      <c r="K707" s="26" t="str">
        <f>IFERROR(VLOOKUP(Tabla2[[#This Row],[CODIGO]],Tabla1[],11,0),"")</f>
        <v>COMPRA</v>
      </c>
      <c r="L707" s="67" t="s">
        <v>472</v>
      </c>
      <c r="M707" s="67" t="s">
        <v>537</v>
      </c>
      <c r="N707" s="70">
        <v>4</v>
      </c>
      <c r="O707" s="70">
        <f>Tabla2[[#This Row],[CANTIDAD]]*Tabla2[[#This Row],[PREC. UNITARIO]]</f>
        <v>-4</v>
      </c>
      <c r="R707" t="str">
        <f>Tabla2[[#This Row],[QUIEN RECIBE]]&amp;"-"&amp;TEXT(Tabla2[[#This Row],[FECHA]],"dd/mm/yyyy")</f>
        <v>GAMARRA CONDORI, ANGEL-13/10/2025</v>
      </c>
    </row>
    <row r="708" spans="2:18" ht="20.45" hidden="1" customHeight="1" x14ac:dyDescent="0.25">
      <c r="B708" s="5">
        <v>45944</v>
      </c>
      <c r="C708" s="2" t="str">
        <f>IFERROR(_xlfn.XLOOKUP(Tabla2[[#This Row],[PRODUCTO]],Tabla1[PRODUCTO],Tabla1[CODIGO]),"")</f>
        <v>AGU-1</v>
      </c>
      <c r="D708" s="31" t="s">
        <v>357</v>
      </c>
      <c r="E708" s="31" t="str">
        <f>IFERROR(VLOOKUP(Tabla2[[#This Row],[CODIGO]],Tabla1[],3,0),"")</f>
        <v>AGUA</v>
      </c>
      <c r="F708" s="28" t="str">
        <f>IFERROR(VLOOKUP(Tabla2[[#This Row],[CODIGO]],Tabla1[],5,0),"")</f>
        <v>ALMACEN TICAPAMPA</v>
      </c>
      <c r="G708" s="26" t="str">
        <f>IFERROR(VLOOKUP(Tabla2[[#This Row],[CODIGO]],Tabla1[],6,0),"")</f>
        <v>UNI</v>
      </c>
      <c r="H708" s="26">
        <f>IFERROR(VLOOKUP(Tabla2[[#This Row],[CODIGO]],Tabla1[],10,0),"")</f>
        <v>9</v>
      </c>
      <c r="I708" s="7">
        <v>-1</v>
      </c>
      <c r="J708" s="29" t="s">
        <v>350</v>
      </c>
      <c r="K708" s="26" t="str">
        <f>IFERROR(VLOOKUP(Tabla2[[#This Row],[CODIGO]],Tabla1[],11,0),"")</f>
        <v>COMPRA</v>
      </c>
      <c r="L708" s="67" t="s">
        <v>236</v>
      </c>
      <c r="M708" s="67" t="s">
        <v>242</v>
      </c>
      <c r="N708" s="70">
        <v>8</v>
      </c>
      <c r="O708" s="70">
        <f>Tabla2[[#This Row],[CANTIDAD]]*Tabla2[[#This Row],[PREC. UNITARIO]]</f>
        <v>-8</v>
      </c>
      <c r="R708" t="str">
        <f>Tabla2[[#This Row],[QUIEN RECIBE]]&amp;"-"&amp;TEXT(Tabla2[[#This Row],[FECHA]],"dd/mm/yyyy")</f>
        <v>MAYTAHUARI ACOSTA, SAMMER AXEL-14/10/2025</v>
      </c>
    </row>
    <row r="709" spans="2:18" ht="20.45" hidden="1" customHeight="1" x14ac:dyDescent="0.25">
      <c r="B709" s="5">
        <v>45944</v>
      </c>
      <c r="C709" s="2" t="str">
        <f>IFERROR(_xlfn.XLOOKUP(Tabla2[[#This Row],[PRODUCTO]],Tabla1[PRODUCTO],Tabla1[CODIGO]),"")</f>
        <v>AGU-1</v>
      </c>
      <c r="D709" s="31" t="s">
        <v>357</v>
      </c>
      <c r="E709" s="31" t="str">
        <f>IFERROR(VLOOKUP(Tabla2[[#This Row],[CODIGO]],Tabla1[],3,0),"")</f>
        <v>AGUA</v>
      </c>
      <c r="F709" s="28" t="str">
        <f>IFERROR(VLOOKUP(Tabla2[[#This Row],[CODIGO]],Tabla1[],5,0),"")</f>
        <v>ALMACEN TICAPAMPA</v>
      </c>
      <c r="G709" s="26" t="str">
        <f>IFERROR(VLOOKUP(Tabla2[[#This Row],[CODIGO]],Tabla1[],6,0),"")</f>
        <v>UNI</v>
      </c>
      <c r="H709" s="26">
        <f>IFERROR(VLOOKUP(Tabla2[[#This Row],[CODIGO]],Tabla1[],10,0),"")</f>
        <v>9</v>
      </c>
      <c r="I709" s="7">
        <v>-1</v>
      </c>
      <c r="J709" s="29" t="s">
        <v>420</v>
      </c>
      <c r="K709" s="26" t="str">
        <f>IFERROR(VLOOKUP(Tabla2[[#This Row],[CODIGO]],Tabla1[],11,0),"")</f>
        <v>COMPRA</v>
      </c>
      <c r="L709" s="67" t="s">
        <v>236</v>
      </c>
      <c r="M709" s="67" t="s">
        <v>508</v>
      </c>
      <c r="N709" s="70">
        <v>8</v>
      </c>
      <c r="O709" s="70">
        <f>Tabla2[[#This Row],[CANTIDAD]]*Tabla2[[#This Row],[PREC. UNITARIO]]</f>
        <v>-8</v>
      </c>
      <c r="R709" t="str">
        <f>Tabla2[[#This Row],[QUIEN RECIBE]]&amp;"-"&amp;TEXT(Tabla2[[#This Row],[FECHA]],"dd/mm/yyyy")</f>
        <v>MOGROVEJO FALCON, OSMAR ADOLFO-14/10/2025</v>
      </c>
    </row>
    <row r="710" spans="2:18" ht="20.45" hidden="1" customHeight="1" x14ac:dyDescent="0.25">
      <c r="B710" s="5">
        <v>45944</v>
      </c>
      <c r="C710" s="2" t="str">
        <f>IFERROR(_xlfn.XLOOKUP(Tabla2[[#This Row],[PRODUCTO]],Tabla1[PRODUCTO],Tabla1[CODIGO]),"")</f>
        <v>SOL-2</v>
      </c>
      <c r="D710" s="31" t="s">
        <v>502</v>
      </c>
      <c r="E710" s="31" t="str">
        <f>IFERROR(VLOOKUP(Tabla2[[#This Row],[CODIGO]],Tabla1[],3,0),"")</f>
        <v>SOLDADURA</v>
      </c>
      <c r="F710" s="28" t="str">
        <f>IFERROR(VLOOKUP(Tabla2[[#This Row],[CODIGO]],Tabla1[],5,0),"")</f>
        <v>ALMACEN TICAPAMPA</v>
      </c>
      <c r="G710" s="26" t="str">
        <f>IFERROR(VLOOKUP(Tabla2[[#This Row],[CODIGO]],Tabla1[],6,0),"")</f>
        <v>kg</v>
      </c>
      <c r="H710" s="26">
        <f>IFERROR(VLOOKUP(Tabla2[[#This Row],[CODIGO]],Tabla1[],10,0),"")</f>
        <v>2.5</v>
      </c>
      <c r="I710" s="7">
        <v>10</v>
      </c>
      <c r="J710" s="29" t="s">
        <v>320</v>
      </c>
      <c r="K710" s="26" t="str">
        <f>IFERROR(VLOOKUP(Tabla2[[#This Row],[CODIGO]],Tabla1[],11,0),"")</f>
        <v>COMPRA</v>
      </c>
      <c r="L710" s="67" t="s">
        <v>472</v>
      </c>
      <c r="M710" s="67" t="s">
        <v>236</v>
      </c>
      <c r="N710" s="70">
        <v>16</v>
      </c>
      <c r="O710" s="70">
        <f>Tabla2[[#This Row],[CANTIDAD]]*Tabla2[[#This Row],[PREC. UNITARIO]]</f>
        <v>160</v>
      </c>
      <c r="R710" t="str">
        <f>Tabla2[[#This Row],[QUIEN RECIBE]]&amp;"-"&amp;TEXT(Tabla2[[#This Row],[FECHA]],"dd/mm/yyyy")</f>
        <v>NAVARRO LOZANO, ANGEL JAROL-14/10/2025</v>
      </c>
    </row>
    <row r="711" spans="2:18" ht="20.45" hidden="1" customHeight="1" x14ac:dyDescent="0.25">
      <c r="B711" s="5">
        <v>45943</v>
      </c>
      <c r="C711" s="2" t="str">
        <f>IFERROR(_xlfn.XLOOKUP(Tabla2[[#This Row],[PRODUCTO]],Tabla1[PRODUCTO],Tabla1[CODIGO]),"")</f>
        <v>SOL-2</v>
      </c>
      <c r="D711" s="31" t="s">
        <v>502</v>
      </c>
      <c r="E711" s="31" t="str">
        <f>IFERROR(VLOOKUP(Tabla2[[#This Row],[CODIGO]],Tabla1[],3,0),"")</f>
        <v>SOLDADURA</v>
      </c>
      <c r="F711" s="28" t="str">
        <f>IFERROR(VLOOKUP(Tabla2[[#This Row],[CODIGO]],Tabla1[],5,0),"")</f>
        <v>ALMACEN TICAPAMPA</v>
      </c>
      <c r="G711" s="26" t="str">
        <f>IFERROR(VLOOKUP(Tabla2[[#This Row],[CODIGO]],Tabla1[],6,0),"")</f>
        <v>kg</v>
      </c>
      <c r="H711" s="26">
        <f>IFERROR(VLOOKUP(Tabla2[[#This Row],[CODIGO]],Tabla1[],10,0),"")</f>
        <v>2.5</v>
      </c>
      <c r="I711" s="7">
        <v>-5</v>
      </c>
      <c r="J711" s="29" t="s">
        <v>540</v>
      </c>
      <c r="K711" s="26" t="str">
        <f>IFERROR(VLOOKUP(Tabla2[[#This Row],[CODIGO]],Tabla1[],11,0),"")</f>
        <v>COMPRA</v>
      </c>
      <c r="L711" s="67" t="s">
        <v>236</v>
      </c>
      <c r="M711" s="67" t="s">
        <v>493</v>
      </c>
      <c r="N711" s="70">
        <v>16</v>
      </c>
      <c r="O711" s="70">
        <f>Tabla2[[#This Row],[CANTIDAD]]*Tabla2[[#This Row],[PREC. UNITARIO]]</f>
        <v>-80</v>
      </c>
      <c r="R711" t="str">
        <f>Tabla2[[#This Row],[QUIEN RECIBE]]&amp;"-"&amp;TEXT(Tabla2[[#This Row],[FECHA]],"dd/mm/yyyy")</f>
        <v>TACANAHUI CALISAYA, NESTOR-13/10/2025</v>
      </c>
    </row>
    <row r="712" spans="2:18" ht="20.45" hidden="1" customHeight="1" x14ac:dyDescent="0.25">
      <c r="B712" s="5">
        <v>45944</v>
      </c>
      <c r="C712" s="2" t="str">
        <f>IFERROR(_xlfn.XLOOKUP(Tabla2[[#This Row],[PRODUCTO]],Tabla1[PRODUCTO],Tabla1[CODIGO]),"")</f>
        <v>SOL-2</v>
      </c>
      <c r="D712" s="31" t="s">
        <v>502</v>
      </c>
      <c r="E712" s="31" t="str">
        <f>IFERROR(VLOOKUP(Tabla2[[#This Row],[CODIGO]],Tabla1[],3,0),"")</f>
        <v>SOLDADURA</v>
      </c>
      <c r="F712" s="28" t="str">
        <f>IFERROR(VLOOKUP(Tabla2[[#This Row],[CODIGO]],Tabla1[],5,0),"")</f>
        <v>ALMACEN TICAPAMPA</v>
      </c>
      <c r="G712" s="26" t="str">
        <f>IFERROR(VLOOKUP(Tabla2[[#This Row],[CODIGO]],Tabla1[],6,0),"")</f>
        <v>kg</v>
      </c>
      <c r="H712" s="26">
        <f>IFERROR(VLOOKUP(Tabla2[[#This Row],[CODIGO]],Tabla1[],10,0),"")</f>
        <v>2.5</v>
      </c>
      <c r="I712" s="7">
        <v>-1</v>
      </c>
      <c r="J712" s="29" t="s">
        <v>540</v>
      </c>
      <c r="K712" s="26" t="str">
        <f>IFERROR(VLOOKUP(Tabla2[[#This Row],[CODIGO]],Tabla1[],11,0),"")</f>
        <v>COMPRA</v>
      </c>
      <c r="L712" s="67" t="s">
        <v>236</v>
      </c>
      <c r="M712" s="67" t="s">
        <v>493</v>
      </c>
      <c r="N712" s="70">
        <v>16</v>
      </c>
      <c r="O712" s="70">
        <f>Tabla2[[#This Row],[CANTIDAD]]*Tabla2[[#This Row],[PREC. UNITARIO]]</f>
        <v>-16</v>
      </c>
      <c r="R712" t="str">
        <f>Tabla2[[#This Row],[QUIEN RECIBE]]&amp;"-"&amp;TEXT(Tabla2[[#This Row],[FECHA]],"dd/mm/yyyy")</f>
        <v>TACANAHUI CALISAYA, NESTOR-14/10/2025</v>
      </c>
    </row>
    <row r="713" spans="2:18" ht="20.45" hidden="1" customHeight="1" x14ac:dyDescent="0.25">
      <c r="B713" s="5">
        <v>45944</v>
      </c>
      <c r="C713" s="2" t="str">
        <f>IFERROR(_xlfn.XLOOKUP(Tabla2[[#This Row],[PRODUCTO]],Tabla1[PRODUCTO],Tabla1[CODIGO]),"")</f>
        <v>IS-30</v>
      </c>
      <c r="D713" s="31" t="s">
        <v>81</v>
      </c>
      <c r="E713" s="31" t="str">
        <f>IFERROR(VLOOKUP(Tabla2[[#This Row],[CODIGO]],Tabla1[],3,0),"")</f>
        <v>IMPLEMENTOS DE SEGURIDAD</v>
      </c>
      <c r="F713" s="28" t="str">
        <f>IFERROR(VLOOKUP(Tabla2[[#This Row],[CODIGO]],Tabla1[],5,0),"")</f>
        <v>ALMACEN TICAPAMPA</v>
      </c>
      <c r="G713" s="26" t="str">
        <f>IFERROR(VLOOKUP(Tabla2[[#This Row],[CODIGO]],Tabla1[],6,0),"")</f>
        <v>UNI</v>
      </c>
      <c r="H713" s="26">
        <f>IFERROR(VLOOKUP(Tabla2[[#This Row],[CODIGO]],Tabla1[],10,0),"")</f>
        <v>99</v>
      </c>
      <c r="I713" s="7">
        <v>-1</v>
      </c>
      <c r="J713" s="29" t="s">
        <v>350</v>
      </c>
      <c r="K713" s="26" t="str">
        <f>IFERROR(VLOOKUP(Tabla2[[#This Row],[CODIGO]],Tabla1[],11,0),"")</f>
        <v>COMPRA</v>
      </c>
      <c r="L713" s="67" t="s">
        <v>236</v>
      </c>
      <c r="M713" s="67" t="s">
        <v>303</v>
      </c>
      <c r="N713" s="70">
        <v>8</v>
      </c>
      <c r="O713" s="70">
        <f>Tabla2[[#This Row],[CANTIDAD]]*Tabla2[[#This Row],[PREC. UNITARIO]]</f>
        <v>-8</v>
      </c>
      <c r="R713" t="str">
        <f>Tabla2[[#This Row],[QUIEN RECIBE]]&amp;"-"&amp;TEXT(Tabla2[[#This Row],[FECHA]],"dd/mm/yyyy")</f>
        <v>APASTEGUI GRANDEZ, LUIS ALFREDO -14/10/2025</v>
      </c>
    </row>
    <row r="714" spans="2:18" ht="20.45" hidden="1" customHeight="1" x14ac:dyDescent="0.25">
      <c r="B714" s="5">
        <v>45944</v>
      </c>
      <c r="C714" s="2" t="str">
        <f>IFERROR(_xlfn.XLOOKUP(Tabla2[[#This Row],[PRODUCTO]],Tabla1[PRODUCTO],Tabla1[CODIGO]),"")</f>
        <v>IS-30</v>
      </c>
      <c r="D714" s="31" t="s">
        <v>81</v>
      </c>
      <c r="E714" s="31" t="str">
        <f>IFERROR(VLOOKUP(Tabla2[[#This Row],[CODIGO]],Tabla1[],3,0),"")</f>
        <v>IMPLEMENTOS DE SEGURIDAD</v>
      </c>
      <c r="F714" s="28" t="str">
        <f>IFERROR(VLOOKUP(Tabla2[[#This Row],[CODIGO]],Tabla1[],5,0),"")</f>
        <v>ALMACEN TICAPAMPA</v>
      </c>
      <c r="G714" s="26" t="str">
        <f>IFERROR(VLOOKUP(Tabla2[[#This Row],[CODIGO]],Tabla1[],6,0),"")</f>
        <v>UNI</v>
      </c>
      <c r="H714" s="26">
        <f>IFERROR(VLOOKUP(Tabla2[[#This Row],[CODIGO]],Tabla1[],10,0),"")</f>
        <v>99</v>
      </c>
      <c r="I714" s="7">
        <v>-1</v>
      </c>
      <c r="J714" s="29" t="s">
        <v>350</v>
      </c>
      <c r="K714" s="26" t="str">
        <f>IFERROR(VLOOKUP(Tabla2[[#This Row],[CODIGO]],Tabla1[],11,0),"")</f>
        <v>COMPRA</v>
      </c>
      <c r="L714" s="67" t="s">
        <v>236</v>
      </c>
      <c r="M714" s="67" t="s">
        <v>240</v>
      </c>
      <c r="N714" s="70">
        <v>8</v>
      </c>
      <c r="O714" s="70">
        <f>Tabla2[[#This Row],[CANTIDAD]]*Tabla2[[#This Row],[PREC. UNITARIO]]</f>
        <v>-8</v>
      </c>
      <c r="R714" t="str">
        <f>Tabla2[[#This Row],[QUIEN RECIBE]]&amp;"-"&amp;TEXT(Tabla2[[#This Row],[FECHA]],"dd/mm/yyyy")</f>
        <v>LOZANO MALDONADO, HERNAN-14/10/2025</v>
      </c>
    </row>
    <row r="715" spans="2:18" ht="20.45" hidden="1" customHeight="1" x14ac:dyDescent="0.25">
      <c r="B715" s="5">
        <v>45944</v>
      </c>
      <c r="C715" s="2" t="str">
        <f>IFERROR(_xlfn.XLOOKUP(Tabla2[[#This Row],[PRODUCTO]],Tabla1[PRODUCTO],Tabla1[CODIGO]),"")</f>
        <v>IS-30</v>
      </c>
      <c r="D715" s="31" t="s">
        <v>81</v>
      </c>
      <c r="E715" s="31" t="str">
        <f>IFERROR(VLOOKUP(Tabla2[[#This Row],[CODIGO]],Tabla1[],3,0),"")</f>
        <v>IMPLEMENTOS DE SEGURIDAD</v>
      </c>
      <c r="F715" s="28" t="str">
        <f>IFERROR(VLOOKUP(Tabla2[[#This Row],[CODIGO]],Tabla1[],5,0),"")</f>
        <v>ALMACEN TICAPAMPA</v>
      </c>
      <c r="G715" s="26" t="str">
        <f>IFERROR(VLOOKUP(Tabla2[[#This Row],[CODIGO]],Tabla1[],6,0),"")</f>
        <v>UNI</v>
      </c>
      <c r="H715" s="26">
        <f>IFERROR(VLOOKUP(Tabla2[[#This Row],[CODIGO]],Tabla1[],10,0),"")</f>
        <v>99</v>
      </c>
      <c r="I715" s="7">
        <v>-1</v>
      </c>
      <c r="J715" s="29" t="s">
        <v>541</v>
      </c>
      <c r="K715" s="26" t="str">
        <f>IFERROR(VLOOKUP(Tabla2[[#This Row],[CODIGO]],Tabla1[],11,0),"")</f>
        <v>COMPRA</v>
      </c>
      <c r="L715" s="67" t="s">
        <v>236</v>
      </c>
      <c r="M715" s="67" t="s">
        <v>148</v>
      </c>
      <c r="N715" s="70">
        <v>8</v>
      </c>
      <c r="O715" s="70">
        <f>Tabla2[[#This Row],[CANTIDAD]]*Tabla2[[#This Row],[PREC. UNITARIO]]</f>
        <v>-8</v>
      </c>
      <c r="R715" t="str">
        <f>Tabla2[[#This Row],[QUIEN RECIBE]]&amp;"-"&amp;TEXT(Tabla2[[#This Row],[FECHA]],"dd/mm/yyyy")</f>
        <v>OTROS-14/10/2025</v>
      </c>
    </row>
    <row r="716" spans="2:18" ht="20.45" hidden="1" customHeight="1" x14ac:dyDescent="0.25">
      <c r="B716" s="5">
        <v>45944</v>
      </c>
      <c r="C716" s="2" t="str">
        <f>IFERROR(_xlfn.XLOOKUP(Tabla2[[#This Row],[PRODUCTO]],Tabla1[PRODUCTO],Tabla1[CODIGO]),"")</f>
        <v>SOL-2</v>
      </c>
      <c r="D716" s="31" t="s">
        <v>502</v>
      </c>
      <c r="E716" s="31" t="str">
        <f>IFERROR(VLOOKUP(Tabla2[[#This Row],[CODIGO]],Tabla1[],3,0),"")</f>
        <v>SOLDADURA</v>
      </c>
      <c r="F716" s="28" t="str">
        <f>IFERROR(VLOOKUP(Tabla2[[#This Row],[CODIGO]],Tabla1[],5,0),"")</f>
        <v>ALMACEN TICAPAMPA</v>
      </c>
      <c r="G716" s="26" t="str">
        <f>IFERROR(VLOOKUP(Tabla2[[#This Row],[CODIGO]],Tabla1[],6,0),"")</f>
        <v>kg</v>
      </c>
      <c r="H716" s="26">
        <f>IFERROR(VLOOKUP(Tabla2[[#This Row],[CODIGO]],Tabla1[],10,0),"")</f>
        <v>2.5</v>
      </c>
      <c r="I716" s="7">
        <v>-2</v>
      </c>
      <c r="J716" s="29" t="s">
        <v>540</v>
      </c>
      <c r="K716" s="26" t="str">
        <f>IFERROR(VLOOKUP(Tabla2[[#This Row],[CODIGO]],Tabla1[],11,0),"")</f>
        <v>COMPRA</v>
      </c>
      <c r="L716" s="67" t="s">
        <v>472</v>
      </c>
      <c r="M716" s="67" t="s">
        <v>240</v>
      </c>
      <c r="N716" s="70">
        <v>16</v>
      </c>
      <c r="O716" s="70">
        <f>Tabla2[[#This Row],[CANTIDAD]]*Tabla2[[#This Row],[PREC. UNITARIO]]</f>
        <v>-32</v>
      </c>
      <c r="R716" t="str">
        <f>Tabla2[[#This Row],[QUIEN RECIBE]]&amp;"-"&amp;TEXT(Tabla2[[#This Row],[FECHA]],"dd/mm/yyyy")</f>
        <v>LOZANO MALDONADO, HERNAN-14/10/2025</v>
      </c>
    </row>
    <row r="717" spans="2:18" ht="20.45" hidden="1" customHeight="1" x14ac:dyDescent="0.25">
      <c r="B717" s="5">
        <v>45944</v>
      </c>
      <c r="C717" s="2" t="str">
        <f>IFERROR(_xlfn.XLOOKUP(Tabla2[[#This Row],[PRODUCTO]],Tabla1[PRODUCTO],Tabla1[CODIGO]),"")</f>
        <v>CEM-1</v>
      </c>
      <c r="D717" s="31" t="s">
        <v>485</v>
      </c>
      <c r="E717" s="31" t="str">
        <f>IFERROR(VLOOKUP(Tabla2[[#This Row],[CODIGO]],Tabla1[],3,0),"")</f>
        <v>CEMENTO</v>
      </c>
      <c r="F717" s="28" t="str">
        <f>IFERROR(VLOOKUP(Tabla2[[#This Row],[CODIGO]],Tabla1[],5,0),"")</f>
        <v>ALMACEN TICAPAMPA</v>
      </c>
      <c r="G717" s="26" t="str">
        <f>IFERROR(VLOOKUP(Tabla2[[#This Row],[CODIGO]],Tabla1[],6,0),"")</f>
        <v>UNI</v>
      </c>
      <c r="H717" s="26">
        <f>IFERROR(VLOOKUP(Tabla2[[#This Row],[CODIGO]],Tabla1[],10,0),"")</f>
        <v>1545</v>
      </c>
      <c r="I717" s="7">
        <v>720</v>
      </c>
      <c r="J717" s="29" t="s">
        <v>320</v>
      </c>
      <c r="K717" s="26" t="str">
        <f>IFERROR(VLOOKUP(Tabla2[[#This Row],[CODIGO]],Tabla1[],11,0),"")</f>
        <v>COMPRA</v>
      </c>
      <c r="L717" s="67" t="s">
        <v>148</v>
      </c>
      <c r="M717" s="67" t="s">
        <v>472</v>
      </c>
      <c r="N717" s="70">
        <v>23</v>
      </c>
      <c r="O717" s="70">
        <f>Tabla2[[#This Row],[CANTIDAD]]*Tabla2[[#This Row],[PREC. UNITARIO]]</f>
        <v>16560</v>
      </c>
      <c r="R717" t="str">
        <f>Tabla2[[#This Row],[QUIEN RECIBE]]&amp;"-"&amp;TEXT(Tabla2[[#This Row],[FECHA]],"dd/mm/yyyy")</f>
        <v>ACUACHI LANCHIPA ERNESTO ALONSO-14/10/2025</v>
      </c>
    </row>
    <row r="718" spans="2:18" ht="20.45" hidden="1" customHeight="1" x14ac:dyDescent="0.25">
      <c r="B718" s="5">
        <v>45944</v>
      </c>
      <c r="C718" s="2" t="str">
        <f>IFERROR(_xlfn.XLOOKUP(Tabla2[[#This Row],[PRODUCTO]],Tabla1[PRODUCTO],Tabla1[CODIGO]),"")</f>
        <v>CEM-1</v>
      </c>
      <c r="D718" s="31" t="s">
        <v>485</v>
      </c>
      <c r="E718" s="31" t="str">
        <f>IFERROR(VLOOKUP(Tabla2[[#This Row],[CODIGO]],Tabla1[],3,0),"")</f>
        <v>CEMENTO</v>
      </c>
      <c r="F718" s="28" t="str">
        <f>IFERROR(VLOOKUP(Tabla2[[#This Row],[CODIGO]],Tabla1[],5,0),"")</f>
        <v>ALMACEN TICAPAMPA</v>
      </c>
      <c r="G718" s="26" t="str">
        <f>IFERROR(VLOOKUP(Tabla2[[#This Row],[CODIGO]],Tabla1[],6,0),"")</f>
        <v>UNI</v>
      </c>
      <c r="H718" s="26">
        <f>IFERROR(VLOOKUP(Tabla2[[#This Row],[CODIGO]],Tabla1[],10,0),"")</f>
        <v>1545</v>
      </c>
      <c r="I718" s="7">
        <v>50</v>
      </c>
      <c r="J718" s="29" t="s">
        <v>542</v>
      </c>
      <c r="K718" s="26" t="str">
        <f>IFERROR(VLOOKUP(Tabla2[[#This Row],[CODIGO]],Tabla1[],11,0),"")</f>
        <v>COMPRA</v>
      </c>
      <c r="L718" s="67" t="s">
        <v>265</v>
      </c>
      <c r="M718" s="67" t="s">
        <v>236</v>
      </c>
      <c r="N718" s="70">
        <v>23</v>
      </c>
      <c r="O718" s="70">
        <f>Tabla2[[#This Row],[CANTIDAD]]*Tabla2[[#This Row],[PREC. UNITARIO]]</f>
        <v>1150</v>
      </c>
      <c r="R718" t="str">
        <f>Tabla2[[#This Row],[QUIEN RECIBE]]&amp;"-"&amp;TEXT(Tabla2[[#This Row],[FECHA]],"dd/mm/yyyy")</f>
        <v>NAVARRO LOZANO, ANGEL JAROL-14/10/2025</v>
      </c>
    </row>
    <row r="719" spans="2:18" ht="20.45" hidden="1" customHeight="1" x14ac:dyDescent="0.25">
      <c r="B719" s="5">
        <v>45940</v>
      </c>
      <c r="C719" s="2" t="str">
        <f>IFERROR(_xlfn.XLOOKUP(Tabla2[[#This Row],[PRODUCTO]],Tabla1[PRODUCTO],Tabla1[CODIGO]),"")</f>
        <v>CEM-1</v>
      </c>
      <c r="D719" s="31" t="s">
        <v>485</v>
      </c>
      <c r="E719" s="31" t="str">
        <f>IFERROR(VLOOKUP(Tabla2[[#This Row],[CODIGO]],Tabla1[],3,0),"")</f>
        <v>CEMENTO</v>
      </c>
      <c r="F719" s="28" t="str">
        <f>IFERROR(VLOOKUP(Tabla2[[#This Row],[CODIGO]],Tabla1[],5,0),"")</f>
        <v>ALMACEN TICAPAMPA</v>
      </c>
      <c r="G719" s="26" t="str">
        <f>IFERROR(VLOOKUP(Tabla2[[#This Row],[CODIGO]],Tabla1[],6,0),"")</f>
        <v>UNI</v>
      </c>
      <c r="H719" s="26">
        <f>IFERROR(VLOOKUP(Tabla2[[#This Row],[CODIGO]],Tabla1[],10,0),"")</f>
        <v>1545</v>
      </c>
      <c r="I719" s="7">
        <v>-21</v>
      </c>
      <c r="J719" s="29" t="s">
        <v>543</v>
      </c>
      <c r="K719" s="26" t="str">
        <f>IFERROR(VLOOKUP(Tabla2[[#This Row],[CODIGO]],Tabla1[],11,0),"")</f>
        <v>COMPRA</v>
      </c>
      <c r="L719" s="67" t="s">
        <v>236</v>
      </c>
      <c r="M719" s="67" t="s">
        <v>494</v>
      </c>
      <c r="N719" s="70">
        <v>23</v>
      </c>
      <c r="O719" s="70">
        <f>Tabla2[[#This Row],[CANTIDAD]]*Tabla2[[#This Row],[PREC. UNITARIO]]</f>
        <v>-483</v>
      </c>
      <c r="R719" t="str">
        <f>Tabla2[[#This Row],[QUIEN RECIBE]]&amp;"-"&amp;TEXT(Tabla2[[#This Row],[FECHA]],"dd/mm/yyyy")</f>
        <v>ROSAS WILSON-10/10/2025</v>
      </c>
    </row>
    <row r="720" spans="2:18" ht="20.45" hidden="1" customHeight="1" x14ac:dyDescent="0.25">
      <c r="B720" s="5">
        <v>45944</v>
      </c>
      <c r="C720" s="2" t="str">
        <f>IFERROR(_xlfn.XLOOKUP(Tabla2[[#This Row],[PRODUCTO]],Tabla1[PRODUCTO],Tabla1[CODIGO]),"")</f>
        <v>CEM-1</v>
      </c>
      <c r="D720" s="31" t="s">
        <v>485</v>
      </c>
      <c r="E720" s="31" t="str">
        <f>IFERROR(VLOOKUP(Tabla2[[#This Row],[CODIGO]],Tabla1[],3,0),"")</f>
        <v>CEMENTO</v>
      </c>
      <c r="F720" s="28" t="str">
        <f>IFERROR(VLOOKUP(Tabla2[[#This Row],[CODIGO]],Tabla1[],5,0),"")</f>
        <v>ALMACEN TICAPAMPA</v>
      </c>
      <c r="G720" s="26" t="str">
        <f>IFERROR(VLOOKUP(Tabla2[[#This Row],[CODIGO]],Tabla1[],6,0),"")</f>
        <v>UNI</v>
      </c>
      <c r="H720" s="26">
        <f>IFERROR(VLOOKUP(Tabla2[[#This Row],[CODIGO]],Tabla1[],10,0),"")</f>
        <v>1545</v>
      </c>
      <c r="I720" s="7">
        <v>-80</v>
      </c>
      <c r="J720" s="29" t="s">
        <v>544</v>
      </c>
      <c r="K720" s="26" t="str">
        <f>IFERROR(VLOOKUP(Tabla2[[#This Row],[CODIGO]],Tabla1[],11,0),"")</f>
        <v>COMPRA</v>
      </c>
      <c r="L720" s="67" t="s">
        <v>236</v>
      </c>
      <c r="M720" s="67" t="s">
        <v>148</v>
      </c>
      <c r="N720" s="70">
        <v>23</v>
      </c>
      <c r="O720" s="70">
        <f>Tabla2[[#This Row],[CANTIDAD]]*Tabla2[[#This Row],[PREC. UNITARIO]]</f>
        <v>-1840</v>
      </c>
      <c r="R720" t="str">
        <f>Tabla2[[#This Row],[QUIEN RECIBE]]&amp;"-"&amp;TEXT(Tabla2[[#This Row],[FECHA]],"dd/mm/yyyy")</f>
        <v>OTROS-14/10/2025</v>
      </c>
    </row>
    <row r="721" spans="2:18" ht="20.45" hidden="1" customHeight="1" x14ac:dyDescent="0.25">
      <c r="B721" s="5">
        <v>45943</v>
      </c>
      <c r="C721" s="2" t="str">
        <f>IFERROR(_xlfn.XLOOKUP(Tabla2[[#This Row],[PRODUCTO]],Tabla1[PRODUCTO],Tabla1[CODIGO]),"")</f>
        <v>HM-19</v>
      </c>
      <c r="D721" s="31" t="s">
        <v>385</v>
      </c>
      <c r="E721" s="31" t="str">
        <f>IFERROR(VLOOKUP(Tabla2[[#This Row],[CODIGO]],Tabla1[],3,0),"")</f>
        <v>HERRAMIENTAS</v>
      </c>
      <c r="F721" s="28" t="str">
        <f>IFERROR(VLOOKUP(Tabla2[[#This Row],[CODIGO]],Tabla1[],5,0),"")</f>
        <v>ALMACEN TICAPAMPA</v>
      </c>
      <c r="G721" s="26" t="str">
        <f>IFERROR(VLOOKUP(Tabla2[[#This Row],[CODIGO]],Tabla1[],6,0),"")</f>
        <v>UNI</v>
      </c>
      <c r="H721" s="26">
        <f>IFERROR(VLOOKUP(Tabla2[[#This Row],[CODIGO]],Tabla1[],10,0),"")</f>
        <v>1</v>
      </c>
      <c r="I721" s="7">
        <v>-1</v>
      </c>
      <c r="J721" s="29" t="s">
        <v>350</v>
      </c>
      <c r="K721" s="26" t="str">
        <f>IFERROR(VLOOKUP(Tabla2[[#This Row],[CODIGO]],Tabla1[],11,0),"")</f>
        <v>COMPRA</v>
      </c>
      <c r="L721" s="67" t="s">
        <v>472</v>
      </c>
      <c r="M721" s="67" t="s">
        <v>493</v>
      </c>
      <c r="N721" s="70"/>
      <c r="O721" s="70">
        <f>Tabla2[[#This Row],[CANTIDAD]]*Tabla2[[#This Row],[PREC. UNITARIO]]</f>
        <v>0</v>
      </c>
      <c r="R721" t="str">
        <f>Tabla2[[#This Row],[QUIEN RECIBE]]&amp;"-"&amp;TEXT(Tabla2[[#This Row],[FECHA]],"dd/mm/yyyy")</f>
        <v>TACANAHUI CALISAYA, NESTOR-13/10/2025</v>
      </c>
    </row>
    <row r="722" spans="2:18" ht="20.45" hidden="1" customHeight="1" x14ac:dyDescent="0.25">
      <c r="B722" s="5">
        <v>45944</v>
      </c>
      <c r="C722" s="2" t="str">
        <f>IFERROR(_xlfn.XLOOKUP(Tabla2[[#This Row],[PRODUCTO]],Tabla1[PRODUCTO],Tabla1[CODIGO]),"")</f>
        <v>IS-47</v>
      </c>
      <c r="D722" s="31" t="s">
        <v>501</v>
      </c>
      <c r="E722" s="31" t="str">
        <f>IFERROR(VLOOKUP(Tabla2[[#This Row],[CODIGO]],Tabla1[],3,0),"")</f>
        <v>IMPLEMENTOS DE SEGURIDAD</v>
      </c>
      <c r="F722" s="28" t="str">
        <f>IFERROR(VLOOKUP(Tabla2[[#This Row],[CODIGO]],Tabla1[],5,0),"")</f>
        <v>ALMACEN TICAPAMPA</v>
      </c>
      <c r="G722" s="26" t="str">
        <f>IFERROR(VLOOKUP(Tabla2[[#This Row],[CODIGO]],Tabla1[],6,0),"")</f>
        <v>UNI</v>
      </c>
      <c r="H722" s="26">
        <f>IFERROR(VLOOKUP(Tabla2[[#This Row],[CODIGO]],Tabla1[],10,0),"")</f>
        <v>13</v>
      </c>
      <c r="I722" s="7">
        <v>-1</v>
      </c>
      <c r="J722" s="29" t="s">
        <v>321</v>
      </c>
      <c r="K722" s="26" t="str">
        <f>IFERROR(VLOOKUP(Tabla2[[#This Row],[CODIGO]],Tabla1[],11,0),"")</f>
        <v>COMPRA</v>
      </c>
      <c r="L722" s="67" t="s">
        <v>236</v>
      </c>
      <c r="M722" s="67" t="s">
        <v>242</v>
      </c>
      <c r="N722" s="70"/>
      <c r="O722" s="70">
        <f>Tabla2[[#This Row],[CANTIDAD]]*Tabla2[[#This Row],[PREC. UNITARIO]]</f>
        <v>0</v>
      </c>
      <c r="R722" t="str">
        <f>Tabla2[[#This Row],[QUIEN RECIBE]]&amp;"-"&amp;TEXT(Tabla2[[#This Row],[FECHA]],"dd/mm/yyyy")</f>
        <v>MAYTAHUARI ACOSTA, SAMMER AXEL-14/10/2025</v>
      </c>
    </row>
    <row r="723" spans="2:18" ht="20.45" hidden="1" customHeight="1" x14ac:dyDescent="0.25">
      <c r="B723" s="5">
        <v>45944</v>
      </c>
      <c r="C723" s="2" t="str">
        <f>IFERROR(_xlfn.XLOOKUP(Tabla2[[#This Row],[PRODUCTO]],Tabla1[PRODUCTO],Tabla1[CODIGO]),"")</f>
        <v>IS-47</v>
      </c>
      <c r="D723" s="31" t="s">
        <v>501</v>
      </c>
      <c r="E723" s="31" t="str">
        <f>IFERROR(VLOOKUP(Tabla2[[#This Row],[CODIGO]],Tabla1[],3,0),"")</f>
        <v>IMPLEMENTOS DE SEGURIDAD</v>
      </c>
      <c r="F723" s="28" t="str">
        <f>IFERROR(VLOOKUP(Tabla2[[#This Row],[CODIGO]],Tabla1[],5,0),"")</f>
        <v>ALMACEN TICAPAMPA</v>
      </c>
      <c r="G723" s="26" t="str">
        <f>IFERROR(VLOOKUP(Tabla2[[#This Row],[CODIGO]],Tabla1[],6,0),"")</f>
        <v>UNI</v>
      </c>
      <c r="H723" s="26">
        <f>IFERROR(VLOOKUP(Tabla2[[#This Row],[CODIGO]],Tabla1[],10,0),"")</f>
        <v>13</v>
      </c>
      <c r="I723" s="7">
        <v>-1</v>
      </c>
      <c r="J723" s="29" t="s">
        <v>321</v>
      </c>
      <c r="K723" s="26" t="str">
        <f>IFERROR(VLOOKUP(Tabla2[[#This Row],[CODIGO]],Tabla1[],11,0),"")</f>
        <v>COMPRA</v>
      </c>
      <c r="L723" s="67" t="s">
        <v>236</v>
      </c>
      <c r="M723" s="67" t="s">
        <v>239</v>
      </c>
      <c r="N723" s="70"/>
      <c r="O723" s="70">
        <f>Tabla2[[#This Row],[CANTIDAD]]*Tabla2[[#This Row],[PREC. UNITARIO]]</f>
        <v>0</v>
      </c>
      <c r="R723" t="str">
        <f>Tabla2[[#This Row],[QUIEN RECIBE]]&amp;"-"&amp;TEXT(Tabla2[[#This Row],[FECHA]],"dd/mm/yyyy")</f>
        <v>JEREMIAS PALOMINO, NORBERTO LEONCIO-14/10/2025</v>
      </c>
    </row>
    <row r="724" spans="2:18" ht="20.45" hidden="1" customHeight="1" x14ac:dyDescent="0.25">
      <c r="B724" s="5">
        <v>45944</v>
      </c>
      <c r="C724" s="2" t="str">
        <f>IFERROR(_xlfn.XLOOKUP(Tabla2[[#This Row],[PRODUCTO]],Tabla1[PRODUCTO],Tabla1[CODIGO]),"")</f>
        <v>IS-47</v>
      </c>
      <c r="D724" s="31" t="s">
        <v>501</v>
      </c>
      <c r="E724" s="31" t="str">
        <f>IFERROR(VLOOKUP(Tabla2[[#This Row],[CODIGO]],Tabla1[],3,0),"")</f>
        <v>IMPLEMENTOS DE SEGURIDAD</v>
      </c>
      <c r="F724" s="28" t="str">
        <f>IFERROR(VLOOKUP(Tabla2[[#This Row],[CODIGO]],Tabla1[],5,0),"")</f>
        <v>ALMACEN TICAPAMPA</v>
      </c>
      <c r="G724" s="26" t="str">
        <f>IFERROR(VLOOKUP(Tabla2[[#This Row],[CODIGO]],Tabla1[],6,0),"")</f>
        <v>UNI</v>
      </c>
      <c r="H724" s="26">
        <f>IFERROR(VLOOKUP(Tabla2[[#This Row],[CODIGO]],Tabla1[],10,0),"")</f>
        <v>13</v>
      </c>
      <c r="I724" s="7">
        <v>-1</v>
      </c>
      <c r="J724" s="29" t="s">
        <v>321</v>
      </c>
      <c r="K724" s="26" t="str">
        <f>IFERROR(VLOOKUP(Tabla2[[#This Row],[CODIGO]],Tabla1[],11,0),"")</f>
        <v>COMPRA</v>
      </c>
      <c r="L724" s="67" t="s">
        <v>236</v>
      </c>
      <c r="M724" s="67" t="s">
        <v>240</v>
      </c>
      <c r="N724" s="70"/>
      <c r="O724" s="70">
        <f>Tabla2[[#This Row],[CANTIDAD]]*Tabla2[[#This Row],[PREC. UNITARIO]]</f>
        <v>0</v>
      </c>
      <c r="R724" t="str">
        <f>Tabla2[[#This Row],[QUIEN RECIBE]]&amp;"-"&amp;TEXT(Tabla2[[#This Row],[FECHA]],"dd/mm/yyyy")</f>
        <v>LOZANO MALDONADO, HERNAN-14/10/2025</v>
      </c>
    </row>
    <row r="725" spans="2:18" ht="20.45" hidden="1" customHeight="1" x14ac:dyDescent="0.25">
      <c r="B725" s="5">
        <v>45944</v>
      </c>
      <c r="C725" s="2" t="str">
        <f>IFERROR(_xlfn.XLOOKUP(Tabla2[[#This Row],[PRODUCTO]],Tabla1[PRODUCTO],Tabla1[CODIGO]),"")</f>
        <v>IS-47</v>
      </c>
      <c r="D725" s="31" t="s">
        <v>501</v>
      </c>
      <c r="E725" s="31" t="str">
        <f>IFERROR(VLOOKUP(Tabla2[[#This Row],[CODIGO]],Tabla1[],3,0),"")</f>
        <v>IMPLEMENTOS DE SEGURIDAD</v>
      </c>
      <c r="F725" s="28" t="str">
        <f>IFERROR(VLOOKUP(Tabla2[[#This Row],[CODIGO]],Tabla1[],5,0),"")</f>
        <v>ALMACEN TICAPAMPA</v>
      </c>
      <c r="G725" s="26" t="str">
        <f>IFERROR(VLOOKUP(Tabla2[[#This Row],[CODIGO]],Tabla1[],6,0),"")</f>
        <v>UNI</v>
      </c>
      <c r="H725" s="26">
        <f>IFERROR(VLOOKUP(Tabla2[[#This Row],[CODIGO]],Tabla1[],10,0),"")</f>
        <v>13</v>
      </c>
      <c r="I725" s="7">
        <v>-1</v>
      </c>
      <c r="J725" s="29" t="s">
        <v>321</v>
      </c>
      <c r="K725" s="26" t="str">
        <f>IFERROR(VLOOKUP(Tabla2[[#This Row],[CODIGO]],Tabla1[],11,0),"")</f>
        <v>COMPRA</v>
      </c>
      <c r="L725" s="67" t="s">
        <v>236</v>
      </c>
      <c r="M725" s="67" t="s">
        <v>241</v>
      </c>
      <c r="N725" s="70"/>
      <c r="O725" s="70">
        <f>Tabla2[[#This Row],[CANTIDAD]]*Tabla2[[#This Row],[PREC. UNITARIO]]</f>
        <v>0</v>
      </c>
      <c r="R725" t="str">
        <f>Tabla2[[#This Row],[QUIEN RECIBE]]&amp;"-"&amp;TEXT(Tabla2[[#This Row],[FECHA]],"dd/mm/yyyy")</f>
        <v>PIÑA CHUJANDAMA, KEVIN-14/10/2025</v>
      </c>
    </row>
    <row r="726" spans="2:18" ht="20.45" hidden="1" customHeight="1" x14ac:dyDescent="0.25">
      <c r="B726" s="5">
        <v>45944</v>
      </c>
      <c r="C726" s="2" t="str">
        <f>IFERROR(_xlfn.XLOOKUP(Tabla2[[#This Row],[PRODUCTO]],Tabla1[PRODUCTO],Tabla1[CODIGO]),"")</f>
        <v>IS-47</v>
      </c>
      <c r="D726" s="31" t="s">
        <v>501</v>
      </c>
      <c r="E726" s="31" t="str">
        <f>IFERROR(VLOOKUP(Tabla2[[#This Row],[CODIGO]],Tabla1[],3,0),"")</f>
        <v>IMPLEMENTOS DE SEGURIDAD</v>
      </c>
      <c r="F726" s="28" t="str">
        <f>IFERROR(VLOOKUP(Tabla2[[#This Row],[CODIGO]],Tabla1[],5,0),"")</f>
        <v>ALMACEN TICAPAMPA</v>
      </c>
      <c r="G726" s="26" t="str">
        <f>IFERROR(VLOOKUP(Tabla2[[#This Row],[CODIGO]],Tabla1[],6,0),"")</f>
        <v>UNI</v>
      </c>
      <c r="H726" s="26">
        <f>IFERROR(VLOOKUP(Tabla2[[#This Row],[CODIGO]],Tabla1[],10,0),"")</f>
        <v>13</v>
      </c>
      <c r="I726" s="7">
        <v>-1</v>
      </c>
      <c r="J726" s="29" t="s">
        <v>321</v>
      </c>
      <c r="K726" s="26" t="str">
        <f>IFERROR(VLOOKUP(Tabla2[[#This Row],[CODIGO]],Tabla1[],11,0),"")</f>
        <v>COMPRA</v>
      </c>
      <c r="L726" s="67" t="s">
        <v>236</v>
      </c>
      <c r="M726" s="67" t="s">
        <v>244</v>
      </c>
      <c r="N726" s="70"/>
      <c r="O726" s="70">
        <f>Tabla2[[#This Row],[CANTIDAD]]*Tabla2[[#This Row],[PREC. UNITARIO]]</f>
        <v>0</v>
      </c>
      <c r="R726" t="str">
        <f>Tabla2[[#This Row],[QUIEN RECIBE]]&amp;"-"&amp;TEXT(Tabla2[[#This Row],[FECHA]],"dd/mm/yyyy")</f>
        <v>CORDOVA ANGULO, JUAN-14/10/2025</v>
      </c>
    </row>
    <row r="727" spans="2:18" ht="20.45" hidden="1" customHeight="1" x14ac:dyDescent="0.25">
      <c r="B727" s="5">
        <v>45944</v>
      </c>
      <c r="C727" s="2" t="str">
        <f>IFERROR(_xlfn.XLOOKUP(Tabla2[[#This Row],[PRODUCTO]],Tabla1[PRODUCTO],Tabla1[CODIGO]),"")</f>
        <v>IS-47</v>
      </c>
      <c r="D727" s="31" t="s">
        <v>501</v>
      </c>
      <c r="E727" s="31" t="str">
        <f>IFERROR(VLOOKUP(Tabla2[[#This Row],[CODIGO]],Tabla1[],3,0),"")</f>
        <v>IMPLEMENTOS DE SEGURIDAD</v>
      </c>
      <c r="F727" s="28" t="str">
        <f>IFERROR(VLOOKUP(Tabla2[[#This Row],[CODIGO]],Tabla1[],5,0),"")</f>
        <v>ALMACEN TICAPAMPA</v>
      </c>
      <c r="G727" s="26" t="str">
        <f>IFERROR(VLOOKUP(Tabla2[[#This Row],[CODIGO]],Tabla1[],6,0),"")</f>
        <v>UNI</v>
      </c>
      <c r="H727" s="26">
        <f>IFERROR(VLOOKUP(Tabla2[[#This Row],[CODIGO]],Tabla1[],10,0),"")</f>
        <v>13</v>
      </c>
      <c r="I727" s="7">
        <v>-1</v>
      </c>
      <c r="J727" s="29" t="s">
        <v>321</v>
      </c>
      <c r="K727" s="26" t="str">
        <f>IFERROR(VLOOKUP(Tabla2[[#This Row],[CODIGO]],Tabla1[],11,0),"")</f>
        <v>COMPRA</v>
      </c>
      <c r="L727" s="67" t="s">
        <v>236</v>
      </c>
      <c r="M727" s="67" t="s">
        <v>258</v>
      </c>
      <c r="N727" s="70"/>
      <c r="O727" s="70">
        <f>Tabla2[[#This Row],[CANTIDAD]]*Tabla2[[#This Row],[PREC. UNITARIO]]</f>
        <v>0</v>
      </c>
      <c r="R727" t="str">
        <f>Tabla2[[#This Row],[QUIEN RECIBE]]&amp;"-"&amp;TEXT(Tabla2[[#This Row],[FECHA]],"dd/mm/yyyy")</f>
        <v>ADUVIRE ARGUATA, MARIO ARTURO-14/10/2025</v>
      </c>
    </row>
    <row r="728" spans="2:18" ht="20.45" hidden="1" customHeight="1" x14ac:dyDescent="0.25">
      <c r="B728" s="5">
        <v>45944</v>
      </c>
      <c r="C728" s="2" t="str">
        <f>IFERROR(_xlfn.XLOOKUP(Tabla2[[#This Row],[PRODUCTO]],Tabla1[PRODUCTO],Tabla1[CODIGO]),"")</f>
        <v>IS-47</v>
      </c>
      <c r="D728" s="31" t="s">
        <v>501</v>
      </c>
      <c r="E728" s="31" t="str">
        <f>IFERROR(VLOOKUP(Tabla2[[#This Row],[CODIGO]],Tabla1[],3,0),"")</f>
        <v>IMPLEMENTOS DE SEGURIDAD</v>
      </c>
      <c r="F728" s="28" t="str">
        <f>IFERROR(VLOOKUP(Tabla2[[#This Row],[CODIGO]],Tabla1[],5,0),"")</f>
        <v>ALMACEN TICAPAMPA</v>
      </c>
      <c r="G728" s="26" t="str">
        <f>IFERROR(VLOOKUP(Tabla2[[#This Row],[CODIGO]],Tabla1[],6,0),"")</f>
        <v>UNI</v>
      </c>
      <c r="H728" s="26">
        <f>IFERROR(VLOOKUP(Tabla2[[#This Row],[CODIGO]],Tabla1[],10,0),"")</f>
        <v>13</v>
      </c>
      <c r="I728" s="7">
        <v>-1</v>
      </c>
      <c r="J728" s="29" t="s">
        <v>321</v>
      </c>
      <c r="K728" s="26" t="str">
        <f>IFERROR(VLOOKUP(Tabla2[[#This Row],[CODIGO]],Tabla1[],11,0),"")</f>
        <v>COMPRA</v>
      </c>
      <c r="L728" s="67" t="s">
        <v>236</v>
      </c>
      <c r="M728" s="67" t="s">
        <v>262</v>
      </c>
      <c r="N728" s="70"/>
      <c r="O728" s="70">
        <f>Tabla2[[#This Row],[CANTIDAD]]*Tabla2[[#This Row],[PREC. UNITARIO]]</f>
        <v>0</v>
      </c>
      <c r="R728" t="str">
        <f>Tabla2[[#This Row],[QUIEN RECIBE]]&amp;"-"&amp;TEXT(Tabla2[[#This Row],[FECHA]],"dd/mm/yyyy")</f>
        <v>CHACON ORTIZ, JOSE ANTONIO-14/10/2025</v>
      </c>
    </row>
    <row r="729" spans="2:18" ht="20.45" hidden="1" customHeight="1" x14ac:dyDescent="0.25">
      <c r="B729" s="5">
        <v>45944</v>
      </c>
      <c r="C729" s="2" t="str">
        <f>IFERROR(_xlfn.XLOOKUP(Tabla2[[#This Row],[PRODUCTO]],Tabla1[PRODUCTO],Tabla1[CODIGO]),"")</f>
        <v>IS-47</v>
      </c>
      <c r="D729" s="31" t="s">
        <v>501</v>
      </c>
      <c r="E729" s="31" t="str">
        <f>IFERROR(VLOOKUP(Tabla2[[#This Row],[CODIGO]],Tabla1[],3,0),"")</f>
        <v>IMPLEMENTOS DE SEGURIDAD</v>
      </c>
      <c r="F729" s="28" t="str">
        <f>IFERROR(VLOOKUP(Tabla2[[#This Row],[CODIGO]],Tabla1[],5,0),"")</f>
        <v>ALMACEN TICAPAMPA</v>
      </c>
      <c r="G729" s="26" t="str">
        <f>IFERROR(VLOOKUP(Tabla2[[#This Row],[CODIGO]],Tabla1[],6,0),"")</f>
        <v>UNI</v>
      </c>
      <c r="H729" s="26">
        <f>IFERROR(VLOOKUP(Tabla2[[#This Row],[CODIGO]],Tabla1[],10,0),"")</f>
        <v>13</v>
      </c>
      <c r="I729" s="7">
        <v>-1</v>
      </c>
      <c r="J729" s="29" t="s">
        <v>321</v>
      </c>
      <c r="K729" s="26" t="str">
        <f>IFERROR(VLOOKUP(Tabla2[[#This Row],[CODIGO]],Tabla1[],11,0),"")</f>
        <v>COMPRA</v>
      </c>
      <c r="L729" s="67" t="s">
        <v>236</v>
      </c>
      <c r="M729" s="67" t="s">
        <v>265</v>
      </c>
      <c r="N729" s="70"/>
      <c r="O729" s="70">
        <f>Tabla2[[#This Row],[CANTIDAD]]*Tabla2[[#This Row],[PREC. UNITARIO]]</f>
        <v>0</v>
      </c>
      <c r="R729" t="str">
        <f>Tabla2[[#This Row],[QUIEN RECIBE]]&amp;"-"&amp;TEXT(Tabla2[[#This Row],[FECHA]],"dd/mm/yyyy")</f>
        <v>ORDOÑEZ CONDORI, GILBERTO -14/10/2025</v>
      </c>
    </row>
    <row r="730" spans="2:18" ht="20.45" hidden="1" customHeight="1" x14ac:dyDescent="0.25">
      <c r="B730" s="5">
        <v>45944</v>
      </c>
      <c r="C730" s="2" t="str">
        <f>IFERROR(_xlfn.XLOOKUP(Tabla2[[#This Row],[PRODUCTO]],Tabla1[PRODUCTO],Tabla1[CODIGO]),"")</f>
        <v>IS-47</v>
      </c>
      <c r="D730" s="31" t="s">
        <v>501</v>
      </c>
      <c r="E730" s="31" t="str">
        <f>IFERROR(VLOOKUP(Tabla2[[#This Row],[CODIGO]],Tabla1[],3,0),"")</f>
        <v>IMPLEMENTOS DE SEGURIDAD</v>
      </c>
      <c r="F730" s="28" t="str">
        <f>IFERROR(VLOOKUP(Tabla2[[#This Row],[CODIGO]],Tabla1[],5,0),"")</f>
        <v>ALMACEN TICAPAMPA</v>
      </c>
      <c r="G730" s="26" t="str">
        <f>IFERROR(VLOOKUP(Tabla2[[#This Row],[CODIGO]],Tabla1[],6,0),"")</f>
        <v>UNI</v>
      </c>
      <c r="H730" s="26">
        <f>IFERROR(VLOOKUP(Tabla2[[#This Row],[CODIGO]],Tabla1[],10,0),"")</f>
        <v>13</v>
      </c>
      <c r="I730" s="7">
        <v>-1</v>
      </c>
      <c r="J730" s="29" t="s">
        <v>321</v>
      </c>
      <c r="K730" s="26" t="str">
        <f>IFERROR(VLOOKUP(Tabla2[[#This Row],[CODIGO]],Tabla1[],11,0),"")</f>
        <v>COMPRA</v>
      </c>
      <c r="L730" s="67" t="s">
        <v>236</v>
      </c>
      <c r="M730" s="67" t="s">
        <v>301</v>
      </c>
      <c r="N730" s="70"/>
      <c r="O730" s="70">
        <f>Tabla2[[#This Row],[CANTIDAD]]*Tabla2[[#This Row],[PREC. UNITARIO]]</f>
        <v>0</v>
      </c>
      <c r="R730" t="str">
        <f>Tabla2[[#This Row],[QUIEN RECIBE]]&amp;"-"&amp;TEXT(Tabla2[[#This Row],[FECHA]],"dd/mm/yyyy")</f>
        <v>GUTARATE SABINO, ADRIEL ANTONY-14/10/2025</v>
      </c>
    </row>
    <row r="731" spans="2:18" ht="20.45" hidden="1" customHeight="1" x14ac:dyDescent="0.25">
      <c r="B731" s="5">
        <v>45944</v>
      </c>
      <c r="C731" s="2" t="str">
        <f>IFERROR(_xlfn.XLOOKUP(Tabla2[[#This Row],[PRODUCTO]],Tabla1[PRODUCTO],Tabla1[CODIGO]),"")</f>
        <v>IS-47</v>
      </c>
      <c r="D731" s="31" t="s">
        <v>501</v>
      </c>
      <c r="E731" s="31" t="str">
        <f>IFERROR(VLOOKUP(Tabla2[[#This Row],[CODIGO]],Tabla1[],3,0),"")</f>
        <v>IMPLEMENTOS DE SEGURIDAD</v>
      </c>
      <c r="F731" s="28" t="str">
        <f>IFERROR(VLOOKUP(Tabla2[[#This Row],[CODIGO]],Tabla1[],5,0),"")</f>
        <v>ALMACEN TICAPAMPA</v>
      </c>
      <c r="G731" s="26" t="str">
        <f>IFERROR(VLOOKUP(Tabla2[[#This Row],[CODIGO]],Tabla1[],6,0),"")</f>
        <v>UNI</v>
      </c>
      <c r="H731" s="26">
        <f>IFERROR(VLOOKUP(Tabla2[[#This Row],[CODIGO]],Tabla1[],10,0),"")</f>
        <v>13</v>
      </c>
      <c r="I731" s="7">
        <v>-1</v>
      </c>
      <c r="J731" s="29" t="s">
        <v>321</v>
      </c>
      <c r="K731" s="26" t="str">
        <f>IFERROR(VLOOKUP(Tabla2[[#This Row],[CODIGO]],Tabla1[],11,0),"")</f>
        <v>COMPRA</v>
      </c>
      <c r="L731" s="67" t="s">
        <v>236</v>
      </c>
      <c r="M731" s="67" t="s">
        <v>303</v>
      </c>
      <c r="N731" s="70"/>
      <c r="O731" s="70">
        <f>Tabla2[[#This Row],[CANTIDAD]]*Tabla2[[#This Row],[PREC. UNITARIO]]</f>
        <v>0</v>
      </c>
      <c r="R731" t="str">
        <f>Tabla2[[#This Row],[QUIEN RECIBE]]&amp;"-"&amp;TEXT(Tabla2[[#This Row],[FECHA]],"dd/mm/yyyy")</f>
        <v>APASTEGUI GRANDEZ, LUIS ALFREDO -14/10/2025</v>
      </c>
    </row>
    <row r="732" spans="2:18" ht="20.45" hidden="1" customHeight="1" x14ac:dyDescent="0.25">
      <c r="B732" s="5">
        <v>45944</v>
      </c>
      <c r="C732" s="2" t="str">
        <f>IFERROR(_xlfn.XLOOKUP(Tabla2[[#This Row],[PRODUCTO]],Tabla1[PRODUCTO],Tabla1[CODIGO]),"")</f>
        <v>IS-47</v>
      </c>
      <c r="D732" s="31" t="s">
        <v>501</v>
      </c>
      <c r="E732" s="31" t="str">
        <f>IFERROR(VLOOKUP(Tabla2[[#This Row],[CODIGO]],Tabla1[],3,0),"")</f>
        <v>IMPLEMENTOS DE SEGURIDAD</v>
      </c>
      <c r="F732" s="28" t="str">
        <f>IFERROR(VLOOKUP(Tabla2[[#This Row],[CODIGO]],Tabla1[],5,0),"")</f>
        <v>ALMACEN TICAPAMPA</v>
      </c>
      <c r="G732" s="26" t="str">
        <f>IFERROR(VLOOKUP(Tabla2[[#This Row],[CODIGO]],Tabla1[],6,0),"")</f>
        <v>UNI</v>
      </c>
      <c r="H732" s="26">
        <f>IFERROR(VLOOKUP(Tabla2[[#This Row],[CODIGO]],Tabla1[],10,0),"")</f>
        <v>13</v>
      </c>
      <c r="I732" s="7">
        <v>-1</v>
      </c>
      <c r="J732" s="29" t="s">
        <v>321</v>
      </c>
      <c r="K732" s="26" t="str">
        <f>IFERROR(VLOOKUP(Tabla2[[#This Row],[CODIGO]],Tabla1[],11,0),"")</f>
        <v>COMPRA</v>
      </c>
      <c r="L732" s="67" t="s">
        <v>236</v>
      </c>
      <c r="M732" s="67" t="s">
        <v>307</v>
      </c>
      <c r="N732" s="70"/>
      <c r="O732" s="70">
        <f>Tabla2[[#This Row],[CANTIDAD]]*Tabla2[[#This Row],[PREC. UNITARIO]]</f>
        <v>0</v>
      </c>
      <c r="R732" t="str">
        <f>Tabla2[[#This Row],[QUIEN RECIBE]]&amp;"-"&amp;TEXT(Tabla2[[#This Row],[FECHA]],"dd/mm/yyyy")</f>
        <v>CACERES CALACHUA, YEYSON JORGE-14/10/2025</v>
      </c>
    </row>
    <row r="733" spans="2:18" ht="20.45" hidden="1" customHeight="1" x14ac:dyDescent="0.25">
      <c r="B733" s="5">
        <v>45944</v>
      </c>
      <c r="C733" s="2" t="str">
        <f>IFERROR(_xlfn.XLOOKUP(Tabla2[[#This Row],[PRODUCTO]],Tabla1[PRODUCTO],Tabla1[CODIGO]),"")</f>
        <v>IS-47</v>
      </c>
      <c r="D733" s="31" t="s">
        <v>501</v>
      </c>
      <c r="E733" s="31" t="str">
        <f>IFERROR(VLOOKUP(Tabla2[[#This Row],[CODIGO]],Tabla1[],3,0),"")</f>
        <v>IMPLEMENTOS DE SEGURIDAD</v>
      </c>
      <c r="F733" s="28" t="str">
        <f>IFERROR(VLOOKUP(Tabla2[[#This Row],[CODIGO]],Tabla1[],5,0),"")</f>
        <v>ALMACEN TICAPAMPA</v>
      </c>
      <c r="G733" s="26" t="str">
        <f>IFERROR(VLOOKUP(Tabla2[[#This Row],[CODIGO]],Tabla1[],6,0),"")</f>
        <v>UNI</v>
      </c>
      <c r="H733" s="26">
        <f>IFERROR(VLOOKUP(Tabla2[[#This Row],[CODIGO]],Tabla1[],10,0),"")</f>
        <v>13</v>
      </c>
      <c r="I733" s="7">
        <v>-1</v>
      </c>
      <c r="J733" s="29" t="s">
        <v>321</v>
      </c>
      <c r="K733" s="26" t="str">
        <f>IFERROR(VLOOKUP(Tabla2[[#This Row],[CODIGO]],Tabla1[],11,0),"")</f>
        <v>COMPRA</v>
      </c>
      <c r="L733" s="67" t="s">
        <v>236</v>
      </c>
      <c r="M733" s="67" t="s">
        <v>323</v>
      </c>
      <c r="N733" s="70"/>
      <c r="O733" s="70">
        <f>Tabla2[[#This Row],[CANTIDAD]]*Tabla2[[#This Row],[PREC. UNITARIO]]</f>
        <v>0</v>
      </c>
      <c r="R733" t="str">
        <f>Tabla2[[#This Row],[QUIEN RECIBE]]&amp;"-"&amp;TEXT(Tabla2[[#This Row],[FECHA]],"dd/mm/yyyy")</f>
        <v>TUANAMA PILCO, CRHIS-14/10/2025</v>
      </c>
    </row>
    <row r="734" spans="2:18" ht="20.45" hidden="1" customHeight="1" x14ac:dyDescent="0.25">
      <c r="B734" s="5">
        <v>45944</v>
      </c>
      <c r="C734" s="2" t="str">
        <f>IFERROR(_xlfn.XLOOKUP(Tabla2[[#This Row],[PRODUCTO]],Tabla1[PRODUCTO],Tabla1[CODIGO]),"")</f>
        <v>IS-47</v>
      </c>
      <c r="D734" s="31" t="s">
        <v>501</v>
      </c>
      <c r="E734" s="31" t="str">
        <f>IFERROR(VLOOKUP(Tabla2[[#This Row],[CODIGO]],Tabla1[],3,0),"")</f>
        <v>IMPLEMENTOS DE SEGURIDAD</v>
      </c>
      <c r="F734" s="28" t="str">
        <f>IFERROR(VLOOKUP(Tabla2[[#This Row],[CODIGO]],Tabla1[],5,0),"")</f>
        <v>ALMACEN TICAPAMPA</v>
      </c>
      <c r="G734" s="26" t="str">
        <f>IFERROR(VLOOKUP(Tabla2[[#This Row],[CODIGO]],Tabla1[],6,0),"")</f>
        <v>UNI</v>
      </c>
      <c r="H734" s="26">
        <f>IFERROR(VLOOKUP(Tabla2[[#This Row],[CODIGO]],Tabla1[],10,0),"")</f>
        <v>13</v>
      </c>
      <c r="I734" s="7">
        <v>-1</v>
      </c>
      <c r="J734" s="29" t="s">
        <v>321</v>
      </c>
      <c r="K734" s="26" t="str">
        <f>IFERROR(VLOOKUP(Tabla2[[#This Row],[CODIGO]],Tabla1[],11,0),"")</f>
        <v>COMPRA</v>
      </c>
      <c r="L734" s="67" t="s">
        <v>236</v>
      </c>
      <c r="M734" s="67" t="s">
        <v>450</v>
      </c>
      <c r="N734" s="70"/>
      <c r="O734" s="70">
        <f>Tabla2[[#This Row],[CANTIDAD]]*Tabla2[[#This Row],[PREC. UNITARIO]]</f>
        <v>0</v>
      </c>
      <c r="R734" t="str">
        <f>Tabla2[[#This Row],[QUIEN RECIBE]]&amp;"-"&amp;TEXT(Tabla2[[#This Row],[FECHA]],"dd/mm/yyyy")</f>
        <v>MAQUERA QUISPE, LEONIDAS EDWIN-14/10/2025</v>
      </c>
    </row>
    <row r="735" spans="2:18" ht="20.45" hidden="1" customHeight="1" x14ac:dyDescent="0.25">
      <c r="B735" s="5">
        <v>45944</v>
      </c>
      <c r="C735" s="2" t="str">
        <f>IFERROR(_xlfn.XLOOKUP(Tabla2[[#This Row],[PRODUCTO]],Tabla1[PRODUCTO],Tabla1[CODIGO]),"")</f>
        <v>IS-47</v>
      </c>
      <c r="D735" s="31" t="s">
        <v>501</v>
      </c>
      <c r="E735" s="31" t="str">
        <f>IFERROR(VLOOKUP(Tabla2[[#This Row],[CODIGO]],Tabla1[],3,0),"")</f>
        <v>IMPLEMENTOS DE SEGURIDAD</v>
      </c>
      <c r="F735" s="28" t="str">
        <f>IFERROR(VLOOKUP(Tabla2[[#This Row],[CODIGO]],Tabla1[],5,0),"")</f>
        <v>ALMACEN TICAPAMPA</v>
      </c>
      <c r="G735" s="26" t="str">
        <f>IFERROR(VLOOKUP(Tabla2[[#This Row],[CODIGO]],Tabla1[],6,0),"")</f>
        <v>UNI</v>
      </c>
      <c r="H735" s="26">
        <f>IFERROR(VLOOKUP(Tabla2[[#This Row],[CODIGO]],Tabla1[],10,0),"")</f>
        <v>13</v>
      </c>
      <c r="I735" s="7">
        <v>-1</v>
      </c>
      <c r="J735" s="29" t="s">
        <v>321</v>
      </c>
      <c r="K735" s="26" t="str">
        <f>IFERROR(VLOOKUP(Tabla2[[#This Row],[CODIGO]],Tabla1[],11,0),"")</f>
        <v>COMPRA</v>
      </c>
      <c r="L735" s="67" t="s">
        <v>236</v>
      </c>
      <c r="M735" s="67" t="s">
        <v>492</v>
      </c>
      <c r="N735" s="70"/>
      <c r="O735" s="70">
        <f>Tabla2[[#This Row],[CANTIDAD]]*Tabla2[[#This Row],[PREC. UNITARIO]]</f>
        <v>0</v>
      </c>
      <c r="R735" t="str">
        <f>Tabla2[[#This Row],[QUIEN RECIBE]]&amp;"-"&amp;TEXT(Tabla2[[#This Row],[FECHA]],"dd/mm/yyyy")</f>
        <v>GUTARATE SABINO, RONEL-14/10/2025</v>
      </c>
    </row>
    <row r="736" spans="2:18" ht="20.45" hidden="1" customHeight="1" x14ac:dyDescent="0.25">
      <c r="B736" s="5">
        <v>45944</v>
      </c>
      <c r="C736" s="2" t="str">
        <f>IFERROR(_xlfn.XLOOKUP(Tabla2[[#This Row],[PRODUCTO]],Tabla1[PRODUCTO],Tabla1[CODIGO]),"")</f>
        <v>IS-47</v>
      </c>
      <c r="D736" s="31" t="s">
        <v>501</v>
      </c>
      <c r="E736" s="31" t="str">
        <f>IFERROR(VLOOKUP(Tabla2[[#This Row],[CODIGO]],Tabla1[],3,0),"")</f>
        <v>IMPLEMENTOS DE SEGURIDAD</v>
      </c>
      <c r="F736" s="28" t="str">
        <f>IFERROR(VLOOKUP(Tabla2[[#This Row],[CODIGO]],Tabla1[],5,0),"")</f>
        <v>ALMACEN TICAPAMPA</v>
      </c>
      <c r="G736" s="26" t="str">
        <f>IFERROR(VLOOKUP(Tabla2[[#This Row],[CODIGO]],Tabla1[],6,0),"")</f>
        <v>UNI</v>
      </c>
      <c r="H736" s="26">
        <f>IFERROR(VLOOKUP(Tabla2[[#This Row],[CODIGO]],Tabla1[],10,0),"")</f>
        <v>13</v>
      </c>
      <c r="I736" s="7">
        <v>-1</v>
      </c>
      <c r="J736" s="29" t="s">
        <v>321</v>
      </c>
      <c r="K736" s="26" t="str">
        <f>IFERROR(VLOOKUP(Tabla2[[#This Row],[CODIGO]],Tabla1[],11,0),"")</f>
        <v>COMPRA</v>
      </c>
      <c r="L736" s="67" t="s">
        <v>236</v>
      </c>
      <c r="M736" s="67" t="s">
        <v>493</v>
      </c>
      <c r="N736" s="70"/>
      <c r="O736" s="70">
        <f>Tabla2[[#This Row],[CANTIDAD]]*Tabla2[[#This Row],[PREC. UNITARIO]]</f>
        <v>0</v>
      </c>
      <c r="R736" t="str">
        <f>Tabla2[[#This Row],[QUIEN RECIBE]]&amp;"-"&amp;TEXT(Tabla2[[#This Row],[FECHA]],"dd/mm/yyyy")</f>
        <v>TACANAHUI CALISAYA, NESTOR-14/10/2025</v>
      </c>
    </row>
    <row r="737" spans="2:18" ht="20.45" hidden="1" customHeight="1" x14ac:dyDescent="0.25">
      <c r="B737" s="5">
        <v>45944</v>
      </c>
      <c r="C737" s="2" t="str">
        <f>IFERROR(_xlfn.XLOOKUP(Tabla2[[#This Row],[PRODUCTO]],Tabla1[PRODUCTO],Tabla1[CODIGO]),"")</f>
        <v>IS-47</v>
      </c>
      <c r="D737" s="31" t="s">
        <v>501</v>
      </c>
      <c r="E737" s="31" t="str">
        <f>IFERROR(VLOOKUP(Tabla2[[#This Row],[CODIGO]],Tabla1[],3,0),"")</f>
        <v>IMPLEMENTOS DE SEGURIDAD</v>
      </c>
      <c r="F737" s="28" t="str">
        <f>IFERROR(VLOOKUP(Tabla2[[#This Row],[CODIGO]],Tabla1[],5,0),"")</f>
        <v>ALMACEN TICAPAMPA</v>
      </c>
      <c r="G737" s="26" t="str">
        <f>IFERROR(VLOOKUP(Tabla2[[#This Row],[CODIGO]],Tabla1[],6,0),"")</f>
        <v>UNI</v>
      </c>
      <c r="H737" s="26">
        <f>IFERROR(VLOOKUP(Tabla2[[#This Row],[CODIGO]],Tabla1[],10,0),"")</f>
        <v>13</v>
      </c>
      <c r="I737" s="7">
        <v>-1</v>
      </c>
      <c r="J737" s="29" t="s">
        <v>321</v>
      </c>
      <c r="K737" s="26" t="str">
        <f>IFERROR(VLOOKUP(Tabla2[[#This Row],[CODIGO]],Tabla1[],11,0),"")</f>
        <v>COMPRA</v>
      </c>
      <c r="L737" s="67" t="s">
        <v>236</v>
      </c>
      <c r="M737" s="67" t="s">
        <v>545</v>
      </c>
      <c r="N737" s="70"/>
      <c r="O737" s="70">
        <f>Tabla2[[#This Row],[CANTIDAD]]*Tabla2[[#This Row],[PREC. UNITARIO]]</f>
        <v>0</v>
      </c>
      <c r="R737" t="str">
        <f>Tabla2[[#This Row],[QUIEN RECIBE]]&amp;"-"&amp;TEXT(Tabla2[[#This Row],[FECHA]],"dd/mm/yyyy")</f>
        <v>ROSAS CHACHAQUE, WILSON JHONY-14/10/2025</v>
      </c>
    </row>
    <row r="738" spans="2:18" ht="20.45" hidden="1" customHeight="1" x14ac:dyDescent="0.25">
      <c r="B738" s="5">
        <v>45944</v>
      </c>
      <c r="C738" s="2" t="str">
        <f>IFERROR(_xlfn.XLOOKUP(Tabla2[[#This Row],[PRODUCTO]],Tabla1[PRODUCTO],Tabla1[CODIGO]),"")</f>
        <v>AGU-1</v>
      </c>
      <c r="D738" s="31" t="s">
        <v>357</v>
      </c>
      <c r="E738" s="31" t="str">
        <f>IFERROR(VLOOKUP(Tabla2[[#This Row],[CODIGO]],Tabla1[],3,0),"")</f>
        <v>AGUA</v>
      </c>
      <c r="F738" s="28" t="str">
        <f>IFERROR(VLOOKUP(Tabla2[[#This Row],[CODIGO]],Tabla1[],5,0),"")</f>
        <v>ALMACEN TICAPAMPA</v>
      </c>
      <c r="G738" s="26" t="str">
        <f>IFERROR(VLOOKUP(Tabla2[[#This Row],[CODIGO]],Tabla1[],6,0),"")</f>
        <v>UNI</v>
      </c>
      <c r="H738" s="26">
        <f>IFERROR(VLOOKUP(Tabla2[[#This Row],[CODIGO]],Tabla1[],10,0),"")</f>
        <v>9</v>
      </c>
      <c r="I738" s="7">
        <v>-1</v>
      </c>
      <c r="J738" s="29" t="s">
        <v>350</v>
      </c>
      <c r="K738" s="26" t="str">
        <f>IFERROR(VLOOKUP(Tabla2[[#This Row],[CODIGO]],Tabla1[],11,0),"")</f>
        <v>COMPRA</v>
      </c>
      <c r="L738" s="67" t="s">
        <v>236</v>
      </c>
      <c r="M738" s="67" t="s">
        <v>240</v>
      </c>
      <c r="N738" s="70">
        <v>8</v>
      </c>
      <c r="O738" s="70">
        <f>Tabla2[[#This Row],[CANTIDAD]]*Tabla2[[#This Row],[PREC. UNITARIO]]</f>
        <v>-8</v>
      </c>
      <c r="R738" t="str">
        <f>Tabla2[[#This Row],[QUIEN RECIBE]]&amp;"-"&amp;TEXT(Tabla2[[#This Row],[FECHA]],"dd/mm/yyyy")</f>
        <v>LOZANO MALDONADO, HERNAN-14/10/2025</v>
      </c>
    </row>
    <row r="739" spans="2:18" ht="20.45" hidden="1" customHeight="1" x14ac:dyDescent="0.25">
      <c r="B739" s="5">
        <v>45944</v>
      </c>
      <c r="C739" s="2" t="str">
        <f>IFERROR(_xlfn.XLOOKUP(Tabla2[[#This Row],[PRODUCTO]],Tabla1[PRODUCTO],Tabla1[CODIGO]),"")</f>
        <v>AGU-1</v>
      </c>
      <c r="D739" s="31" t="s">
        <v>357</v>
      </c>
      <c r="E739" s="31" t="str">
        <f>IFERROR(VLOOKUP(Tabla2[[#This Row],[CODIGO]],Tabla1[],3,0),"")</f>
        <v>AGUA</v>
      </c>
      <c r="F739" s="28" t="str">
        <f>IFERROR(VLOOKUP(Tabla2[[#This Row],[CODIGO]],Tabla1[],5,0),"")</f>
        <v>ALMACEN TICAPAMPA</v>
      </c>
      <c r="G739" s="26" t="str">
        <f>IFERROR(VLOOKUP(Tabla2[[#This Row],[CODIGO]],Tabla1[],6,0),"")</f>
        <v>UNI</v>
      </c>
      <c r="H739" s="26">
        <f>IFERROR(VLOOKUP(Tabla2[[#This Row],[CODIGO]],Tabla1[],10,0),"")</f>
        <v>9</v>
      </c>
      <c r="I739" s="7">
        <v>-1</v>
      </c>
      <c r="J739" s="29" t="s">
        <v>386</v>
      </c>
      <c r="K739" s="26" t="str">
        <f>IFERROR(VLOOKUP(Tabla2[[#This Row],[CODIGO]],Tabla1[],11,0),"")</f>
        <v>COMPRA</v>
      </c>
      <c r="L739" s="67" t="s">
        <v>236</v>
      </c>
      <c r="M739" s="67" t="s">
        <v>265</v>
      </c>
      <c r="N739" s="70">
        <v>8</v>
      </c>
      <c r="O739" s="70">
        <f>Tabla2[[#This Row],[CANTIDAD]]*Tabla2[[#This Row],[PREC. UNITARIO]]</f>
        <v>-8</v>
      </c>
      <c r="R739" t="str">
        <f>Tabla2[[#This Row],[QUIEN RECIBE]]&amp;"-"&amp;TEXT(Tabla2[[#This Row],[FECHA]],"dd/mm/yyyy")</f>
        <v>ORDOÑEZ CONDORI, GILBERTO -14/10/2025</v>
      </c>
    </row>
    <row r="740" spans="2:18" ht="20.45" hidden="1" customHeight="1" x14ac:dyDescent="0.25">
      <c r="B740" s="5">
        <v>45945</v>
      </c>
      <c r="C740" s="2" t="str">
        <f>IFERROR(_xlfn.XLOOKUP(Tabla2[[#This Row],[PRODUCTO]],Tabla1[PRODUCTO],Tabla1[CODIGO]),"")</f>
        <v>AGU-1</v>
      </c>
      <c r="D740" s="31" t="s">
        <v>357</v>
      </c>
      <c r="E740" s="31" t="str">
        <f>IFERROR(VLOOKUP(Tabla2[[#This Row],[CODIGO]],Tabla1[],3,0),"")</f>
        <v>AGUA</v>
      </c>
      <c r="F740" s="28" t="str">
        <f>IFERROR(VLOOKUP(Tabla2[[#This Row],[CODIGO]],Tabla1[],5,0),"")</f>
        <v>ALMACEN TICAPAMPA</v>
      </c>
      <c r="G740" s="26" t="str">
        <f>IFERROR(VLOOKUP(Tabla2[[#This Row],[CODIGO]],Tabla1[],6,0),"")</f>
        <v>UNI</v>
      </c>
      <c r="H740" s="26">
        <f>IFERROR(VLOOKUP(Tabla2[[#This Row],[CODIGO]],Tabla1[],10,0),"")</f>
        <v>9</v>
      </c>
      <c r="I740" s="7">
        <v>14</v>
      </c>
      <c r="J740" s="29" t="s">
        <v>546</v>
      </c>
      <c r="K740" s="26" t="str">
        <f>IFERROR(VLOOKUP(Tabla2[[#This Row],[CODIGO]],Tabla1[],11,0),"")</f>
        <v>COMPRA</v>
      </c>
      <c r="L740" s="67" t="s">
        <v>148</v>
      </c>
      <c r="M740" s="67" t="s">
        <v>236</v>
      </c>
      <c r="N740" s="70">
        <v>8</v>
      </c>
      <c r="O740" s="70">
        <f>Tabla2[[#This Row],[CANTIDAD]]*Tabla2[[#This Row],[PREC. UNITARIO]]</f>
        <v>112</v>
      </c>
      <c r="R740" t="str">
        <f>Tabla2[[#This Row],[QUIEN RECIBE]]&amp;"-"&amp;TEXT(Tabla2[[#This Row],[FECHA]],"dd/mm/yyyy")</f>
        <v>NAVARRO LOZANO, ANGEL JAROL-15/10/2025</v>
      </c>
    </row>
    <row r="741" spans="2:18" ht="20.45" hidden="1" customHeight="1" x14ac:dyDescent="0.25">
      <c r="B741" s="5">
        <v>45945</v>
      </c>
      <c r="C741" s="2" t="str">
        <f>IFERROR(_xlfn.XLOOKUP(Tabla2[[#This Row],[PRODUCTO]],Tabla1[PRODUCTO],Tabla1[CODIGO]),"")</f>
        <v>IS-44</v>
      </c>
      <c r="D741" s="31" t="s">
        <v>479</v>
      </c>
      <c r="E741" s="31" t="str">
        <f>IFERROR(VLOOKUP(Tabla2[[#This Row],[CODIGO]],Tabla1[],3,0),"")</f>
        <v>IMPLEMENTOS DE SEGURIDAD</v>
      </c>
      <c r="F741" s="28" t="str">
        <f>IFERROR(VLOOKUP(Tabla2[[#This Row],[CODIGO]],Tabla1[],5,0),"")</f>
        <v>ALMACEN TICAPAMPA</v>
      </c>
      <c r="G741" s="26" t="str">
        <f>IFERROR(VLOOKUP(Tabla2[[#This Row],[CODIGO]],Tabla1[],6,0),"")</f>
        <v>UNI</v>
      </c>
      <c r="H741" s="26">
        <f>IFERROR(VLOOKUP(Tabla2[[#This Row],[CODIGO]],Tabla1[],10,0),"")</f>
        <v>6</v>
      </c>
      <c r="I741" s="7">
        <v>-1</v>
      </c>
      <c r="J741" s="29" t="s">
        <v>490</v>
      </c>
      <c r="K741" s="26" t="str">
        <f>IFERROR(VLOOKUP(Tabla2[[#This Row],[CODIGO]],Tabla1[],11,0),"")</f>
        <v>ALMACEN CENTRAL</v>
      </c>
      <c r="L741" s="67" t="s">
        <v>236</v>
      </c>
      <c r="M741" s="67"/>
      <c r="N741" s="70"/>
      <c r="O741" s="70">
        <f>Tabla2[[#This Row],[CANTIDAD]]*Tabla2[[#This Row],[PREC. UNITARIO]]</f>
        <v>0</v>
      </c>
      <c r="R741" t="str">
        <f>Tabla2[[#This Row],[QUIEN RECIBE]]&amp;"-"&amp;TEXT(Tabla2[[#This Row],[FECHA]],"dd/mm/yyyy")</f>
        <v>-15/10/2025</v>
      </c>
    </row>
    <row r="742" spans="2:18" ht="20.45" hidden="1" customHeight="1" x14ac:dyDescent="0.25">
      <c r="B742" s="5">
        <v>45945</v>
      </c>
      <c r="C742" s="2" t="str">
        <f>IFERROR(_xlfn.XLOOKUP(Tabla2[[#This Row],[PRODUCTO]],Tabla1[PRODUCTO],Tabla1[CODIGO]),"")</f>
        <v>IS-44</v>
      </c>
      <c r="D742" s="31" t="s">
        <v>479</v>
      </c>
      <c r="E742" s="31" t="str">
        <f>IFERROR(VLOOKUP(Tabla2[[#This Row],[CODIGO]],Tabla1[],3,0),"")</f>
        <v>IMPLEMENTOS DE SEGURIDAD</v>
      </c>
      <c r="F742" s="28" t="str">
        <f>IFERROR(VLOOKUP(Tabla2[[#This Row],[CODIGO]],Tabla1[],5,0),"")</f>
        <v>ALMACEN TICAPAMPA</v>
      </c>
      <c r="G742" s="26" t="str">
        <f>IFERROR(VLOOKUP(Tabla2[[#This Row],[CODIGO]],Tabla1[],6,0),"")</f>
        <v>UNI</v>
      </c>
      <c r="H742" s="26">
        <f>IFERROR(VLOOKUP(Tabla2[[#This Row],[CODIGO]],Tabla1[],10,0),"")</f>
        <v>6</v>
      </c>
      <c r="I742" s="7">
        <v>-1</v>
      </c>
      <c r="J742" s="29" t="s">
        <v>490</v>
      </c>
      <c r="K742" s="26" t="str">
        <f>IFERROR(VLOOKUP(Tabla2[[#This Row],[CODIGO]],Tabla1[],11,0),"")</f>
        <v>ALMACEN CENTRAL</v>
      </c>
      <c r="L742" s="67" t="s">
        <v>236</v>
      </c>
      <c r="M742" s="67"/>
      <c r="N742" s="70"/>
      <c r="O742" s="70">
        <f>Tabla2[[#This Row],[CANTIDAD]]*Tabla2[[#This Row],[PREC. UNITARIO]]</f>
        <v>0</v>
      </c>
      <c r="R742" t="str">
        <f>Tabla2[[#This Row],[QUIEN RECIBE]]&amp;"-"&amp;TEXT(Tabla2[[#This Row],[FECHA]],"dd/mm/yyyy")</f>
        <v>-15/10/2025</v>
      </c>
    </row>
    <row r="743" spans="2:18" ht="20.45" hidden="1" customHeight="1" x14ac:dyDescent="0.25">
      <c r="B743" s="5">
        <v>45945</v>
      </c>
      <c r="C743" s="2" t="str">
        <f>IFERROR(_xlfn.XLOOKUP(Tabla2[[#This Row],[PRODUCTO]],Tabla1[PRODUCTO],Tabla1[CODIGO]),"")</f>
        <v>IS-32</v>
      </c>
      <c r="D743" s="31" t="s">
        <v>83</v>
      </c>
      <c r="E743" s="31" t="str">
        <f>IFERROR(VLOOKUP(Tabla2[[#This Row],[CODIGO]],Tabla1[],3,0),"")</f>
        <v>IMPLEMENTOS DE SEGURIDAD</v>
      </c>
      <c r="F743" s="28" t="str">
        <f>IFERROR(VLOOKUP(Tabla2[[#This Row],[CODIGO]],Tabla1[],5,0),"")</f>
        <v>ALMACEN TICAPAMPA</v>
      </c>
      <c r="G743" s="26" t="str">
        <f>IFERROR(VLOOKUP(Tabla2[[#This Row],[CODIGO]],Tabla1[],6,0),"")</f>
        <v>UNI</v>
      </c>
      <c r="H743" s="26">
        <f>IFERROR(VLOOKUP(Tabla2[[#This Row],[CODIGO]],Tabla1[],10,0),"")</f>
        <v>5</v>
      </c>
      <c r="I743" s="7">
        <v>-1</v>
      </c>
      <c r="J743" s="29" t="s">
        <v>321</v>
      </c>
      <c r="K743" s="26" t="str">
        <f>IFERROR(VLOOKUP(Tabla2[[#This Row],[CODIGO]],Tabla1[],11,0),"")</f>
        <v>COMPRA</v>
      </c>
      <c r="L743" s="67" t="s">
        <v>236</v>
      </c>
      <c r="M743" s="67" t="s">
        <v>552</v>
      </c>
      <c r="N743" s="70">
        <v>22</v>
      </c>
      <c r="O743" s="70">
        <f>Tabla2[[#This Row],[CANTIDAD]]*Tabla2[[#This Row],[PREC. UNITARIO]]</f>
        <v>-22</v>
      </c>
      <c r="R743" t="str">
        <f>Tabla2[[#This Row],[QUIEN RECIBE]]&amp;"-"&amp;TEXT(Tabla2[[#This Row],[FECHA]],"dd/mm/yyyy")</f>
        <v>QUISPE MAQUERA, MARCO ANTONIO-15/10/2025</v>
      </c>
    </row>
    <row r="744" spans="2:18" ht="20.45" hidden="1" customHeight="1" x14ac:dyDescent="0.25">
      <c r="B744" s="5">
        <v>45945</v>
      </c>
      <c r="C744" s="2" t="str">
        <f>IFERROR(_xlfn.XLOOKUP(Tabla2[[#This Row],[PRODUCTO]],Tabla1[PRODUCTO],Tabla1[CODIGO]),"")</f>
        <v>IS-32</v>
      </c>
      <c r="D744" s="31" t="s">
        <v>83</v>
      </c>
      <c r="E744" s="31" t="str">
        <f>IFERROR(VLOOKUP(Tabla2[[#This Row],[CODIGO]],Tabla1[],3,0),"")</f>
        <v>IMPLEMENTOS DE SEGURIDAD</v>
      </c>
      <c r="F744" s="28" t="str">
        <f>IFERROR(VLOOKUP(Tabla2[[#This Row],[CODIGO]],Tabla1[],5,0),"")</f>
        <v>ALMACEN TICAPAMPA</v>
      </c>
      <c r="G744" s="26" t="str">
        <f>IFERROR(VLOOKUP(Tabla2[[#This Row],[CODIGO]],Tabla1[],6,0),"")</f>
        <v>UNI</v>
      </c>
      <c r="H744" s="26">
        <f>IFERROR(VLOOKUP(Tabla2[[#This Row],[CODIGO]],Tabla1[],10,0),"")</f>
        <v>5</v>
      </c>
      <c r="I744" s="7">
        <v>-1</v>
      </c>
      <c r="J744" s="29" t="s">
        <v>321</v>
      </c>
      <c r="K744" s="26" t="str">
        <f>IFERROR(VLOOKUP(Tabla2[[#This Row],[CODIGO]],Tabla1[],11,0),"")</f>
        <v>COMPRA</v>
      </c>
      <c r="L744" s="67" t="s">
        <v>236</v>
      </c>
      <c r="M744" s="67" t="s">
        <v>553</v>
      </c>
      <c r="N744" s="70">
        <v>22</v>
      </c>
      <c r="O744" s="70">
        <f>Tabla2[[#This Row],[CANTIDAD]]*Tabla2[[#This Row],[PREC. UNITARIO]]</f>
        <v>-22</v>
      </c>
      <c r="R744" t="str">
        <f>Tabla2[[#This Row],[QUIEN RECIBE]]&amp;"-"&amp;TEXT(Tabla2[[#This Row],[FECHA]],"dd/mm/yyyy")</f>
        <v>PUMAYALLI LICONA, ENOCH-15/10/2025</v>
      </c>
    </row>
    <row r="745" spans="2:18" ht="20.45" hidden="1" customHeight="1" x14ac:dyDescent="0.25">
      <c r="B745" s="5">
        <v>45945</v>
      </c>
      <c r="C745" s="2" t="str">
        <f>IFERROR(_xlfn.XLOOKUP(Tabla2[[#This Row],[PRODUCTO]],Tabla1[PRODUCTO],Tabla1[CODIGO]),"")</f>
        <v>IS-32</v>
      </c>
      <c r="D745" s="31" t="s">
        <v>83</v>
      </c>
      <c r="E745" s="31" t="str">
        <f>IFERROR(VLOOKUP(Tabla2[[#This Row],[CODIGO]],Tabla1[],3,0),"")</f>
        <v>IMPLEMENTOS DE SEGURIDAD</v>
      </c>
      <c r="F745" s="28" t="str">
        <f>IFERROR(VLOOKUP(Tabla2[[#This Row],[CODIGO]],Tabla1[],5,0),"")</f>
        <v>ALMACEN TICAPAMPA</v>
      </c>
      <c r="G745" s="26" t="str">
        <f>IFERROR(VLOOKUP(Tabla2[[#This Row],[CODIGO]],Tabla1[],6,0),"")</f>
        <v>UNI</v>
      </c>
      <c r="H745" s="26">
        <f>IFERROR(VLOOKUP(Tabla2[[#This Row],[CODIGO]],Tabla1[],10,0),"")</f>
        <v>5</v>
      </c>
      <c r="I745" s="7">
        <v>-1</v>
      </c>
      <c r="J745" s="29" t="s">
        <v>321</v>
      </c>
      <c r="K745" s="26" t="str">
        <f>IFERROR(VLOOKUP(Tabla2[[#This Row],[CODIGO]],Tabla1[],11,0),"")</f>
        <v>COMPRA</v>
      </c>
      <c r="L745" s="67" t="s">
        <v>236</v>
      </c>
      <c r="M745" s="67" t="s">
        <v>554</v>
      </c>
      <c r="N745" s="70">
        <v>22</v>
      </c>
      <c r="O745" s="70">
        <f>Tabla2[[#This Row],[CANTIDAD]]*Tabla2[[#This Row],[PREC. UNITARIO]]</f>
        <v>-22</v>
      </c>
      <c r="R745" t="str">
        <f>Tabla2[[#This Row],[QUIEN RECIBE]]&amp;"-"&amp;TEXT(Tabla2[[#This Row],[FECHA]],"dd/mm/yyyy")</f>
        <v>CURMAYARI MANUYAMA, VICTOR RAUL-15/10/2025</v>
      </c>
    </row>
    <row r="746" spans="2:18" ht="20.45" hidden="1" customHeight="1" x14ac:dyDescent="0.25">
      <c r="B746" s="5">
        <v>45945</v>
      </c>
      <c r="C746" s="2" t="str">
        <f>IFERROR(_xlfn.XLOOKUP(Tabla2[[#This Row],[PRODUCTO]],Tabla1[PRODUCTO],Tabla1[CODIGO]),"")</f>
        <v>IS-32</v>
      </c>
      <c r="D746" s="31" t="s">
        <v>83</v>
      </c>
      <c r="E746" s="31" t="str">
        <f>IFERROR(VLOOKUP(Tabla2[[#This Row],[CODIGO]],Tabla1[],3,0),"")</f>
        <v>IMPLEMENTOS DE SEGURIDAD</v>
      </c>
      <c r="F746" s="28" t="str">
        <f>IFERROR(VLOOKUP(Tabla2[[#This Row],[CODIGO]],Tabla1[],5,0),"")</f>
        <v>ALMACEN TICAPAMPA</v>
      </c>
      <c r="G746" s="26" t="str">
        <f>IFERROR(VLOOKUP(Tabla2[[#This Row],[CODIGO]],Tabla1[],6,0),"")</f>
        <v>UNI</v>
      </c>
      <c r="H746" s="26">
        <f>IFERROR(VLOOKUP(Tabla2[[#This Row],[CODIGO]],Tabla1[],10,0),"")</f>
        <v>5</v>
      </c>
      <c r="I746" s="7">
        <v>-1</v>
      </c>
      <c r="J746" s="29" t="s">
        <v>321</v>
      </c>
      <c r="K746" s="26" t="str">
        <f>IFERROR(VLOOKUP(Tabla2[[#This Row],[CODIGO]],Tabla1[],11,0),"")</f>
        <v>COMPRA</v>
      </c>
      <c r="L746" s="67" t="s">
        <v>236</v>
      </c>
      <c r="M746" s="67"/>
      <c r="N746" s="70">
        <v>22</v>
      </c>
      <c r="O746" s="70">
        <f>Tabla2[[#This Row],[CANTIDAD]]*Tabla2[[#This Row],[PREC. UNITARIO]]</f>
        <v>-22</v>
      </c>
      <c r="R746" t="str">
        <f>Tabla2[[#This Row],[QUIEN RECIBE]]&amp;"-"&amp;TEXT(Tabla2[[#This Row],[FECHA]],"dd/mm/yyyy")</f>
        <v>-15/10/2025</v>
      </c>
    </row>
    <row r="747" spans="2:18" ht="20.45" hidden="1" customHeight="1" x14ac:dyDescent="0.25">
      <c r="B747" s="5">
        <v>45945</v>
      </c>
      <c r="C747" s="2" t="str">
        <f>IFERROR(_xlfn.XLOOKUP(Tabla2[[#This Row],[PRODUCTO]],Tabla1[PRODUCTO],Tabla1[CODIGO]),"")</f>
        <v>IS-14</v>
      </c>
      <c r="D747" s="31" t="s">
        <v>271</v>
      </c>
      <c r="E747" s="31" t="str">
        <f>IFERROR(VLOOKUP(Tabla2[[#This Row],[CODIGO]],Tabla1[],3,0),"")</f>
        <v>IMPLEMENTOS DE SEGURIDAD</v>
      </c>
      <c r="F747" s="28" t="str">
        <f>IFERROR(VLOOKUP(Tabla2[[#This Row],[CODIGO]],Tabla1[],5,0),"")</f>
        <v>ALMACEN TICAPAMPA</v>
      </c>
      <c r="G747" s="26" t="str">
        <f>IFERROR(VLOOKUP(Tabla2[[#This Row],[CODIGO]],Tabla1[],6,0),"")</f>
        <v>UNI</v>
      </c>
      <c r="H747" s="26">
        <f>IFERROR(VLOOKUP(Tabla2[[#This Row],[CODIGO]],Tabla1[],10,0),"")</f>
        <v>1</v>
      </c>
      <c r="I747" s="7">
        <v>-1</v>
      </c>
      <c r="J747" s="29" t="s">
        <v>321</v>
      </c>
      <c r="K747" s="26" t="str">
        <f>IFERROR(VLOOKUP(Tabla2[[#This Row],[CODIGO]],Tabla1[],11,0),"")</f>
        <v>COMPRA</v>
      </c>
      <c r="L747" s="67" t="s">
        <v>236</v>
      </c>
      <c r="M747" s="67" t="s">
        <v>553</v>
      </c>
      <c r="N747" s="70">
        <v>4</v>
      </c>
      <c r="O747" s="70">
        <f>Tabla2[[#This Row],[CANTIDAD]]*Tabla2[[#This Row],[PREC. UNITARIO]]</f>
        <v>-4</v>
      </c>
      <c r="R747" t="str">
        <f>Tabla2[[#This Row],[QUIEN RECIBE]]&amp;"-"&amp;TEXT(Tabla2[[#This Row],[FECHA]],"dd/mm/yyyy")</f>
        <v>PUMAYALLI LICONA, ENOCH-15/10/2025</v>
      </c>
    </row>
    <row r="748" spans="2:18" ht="20.45" hidden="1" customHeight="1" x14ac:dyDescent="0.25">
      <c r="B748" s="5">
        <v>45945</v>
      </c>
      <c r="C748" s="2" t="str">
        <f>IFERROR(_xlfn.XLOOKUP(Tabla2[[#This Row],[PRODUCTO]],Tabla1[PRODUCTO],Tabla1[CODIGO]),"")</f>
        <v>IS-14</v>
      </c>
      <c r="D748" s="31" t="s">
        <v>271</v>
      </c>
      <c r="E748" s="31" t="str">
        <f>IFERROR(VLOOKUP(Tabla2[[#This Row],[CODIGO]],Tabla1[],3,0),"")</f>
        <v>IMPLEMENTOS DE SEGURIDAD</v>
      </c>
      <c r="F748" s="28" t="str">
        <f>IFERROR(VLOOKUP(Tabla2[[#This Row],[CODIGO]],Tabla1[],5,0),"")</f>
        <v>ALMACEN TICAPAMPA</v>
      </c>
      <c r="G748" s="26" t="str">
        <f>IFERROR(VLOOKUP(Tabla2[[#This Row],[CODIGO]],Tabla1[],6,0),"")</f>
        <v>UNI</v>
      </c>
      <c r="H748" s="26">
        <f>IFERROR(VLOOKUP(Tabla2[[#This Row],[CODIGO]],Tabla1[],10,0),"")</f>
        <v>1</v>
      </c>
      <c r="I748" s="7">
        <v>-1</v>
      </c>
      <c r="J748" s="29" t="s">
        <v>321</v>
      </c>
      <c r="K748" s="26" t="str">
        <f>IFERROR(VLOOKUP(Tabla2[[#This Row],[CODIGO]],Tabla1[],11,0),"")</f>
        <v>COMPRA</v>
      </c>
      <c r="L748" s="67" t="s">
        <v>236</v>
      </c>
      <c r="M748" s="67" t="s">
        <v>554</v>
      </c>
      <c r="N748" s="70">
        <v>4</v>
      </c>
      <c r="O748" s="70">
        <f>Tabla2[[#This Row],[CANTIDAD]]*Tabla2[[#This Row],[PREC. UNITARIO]]</f>
        <v>-4</v>
      </c>
      <c r="R748" t="str">
        <f>Tabla2[[#This Row],[QUIEN RECIBE]]&amp;"-"&amp;TEXT(Tabla2[[#This Row],[FECHA]],"dd/mm/yyyy")</f>
        <v>CURMAYARI MANUYAMA, VICTOR RAUL-15/10/2025</v>
      </c>
    </row>
    <row r="749" spans="2:18" ht="20.45" hidden="1" customHeight="1" x14ac:dyDescent="0.25">
      <c r="B749" s="5">
        <v>45945</v>
      </c>
      <c r="C749" s="2" t="str">
        <f>IFERROR(_xlfn.XLOOKUP(Tabla2[[#This Row],[PRODUCTO]],Tabla1[PRODUCTO],Tabla1[CODIGO]),"")</f>
        <v>IS-14</v>
      </c>
      <c r="D749" s="31" t="s">
        <v>271</v>
      </c>
      <c r="E749" s="31" t="str">
        <f>IFERROR(VLOOKUP(Tabla2[[#This Row],[CODIGO]],Tabla1[],3,0),"")</f>
        <v>IMPLEMENTOS DE SEGURIDAD</v>
      </c>
      <c r="F749" s="28" t="str">
        <f>IFERROR(VLOOKUP(Tabla2[[#This Row],[CODIGO]],Tabla1[],5,0),"")</f>
        <v>ALMACEN TICAPAMPA</v>
      </c>
      <c r="G749" s="26" t="str">
        <f>IFERROR(VLOOKUP(Tabla2[[#This Row],[CODIGO]],Tabla1[],6,0),"")</f>
        <v>UNI</v>
      </c>
      <c r="H749" s="26">
        <f>IFERROR(VLOOKUP(Tabla2[[#This Row],[CODIGO]],Tabla1[],10,0),"")</f>
        <v>1</v>
      </c>
      <c r="I749" s="7">
        <v>-1</v>
      </c>
      <c r="J749" s="29" t="s">
        <v>321</v>
      </c>
      <c r="K749" s="26" t="str">
        <f>IFERROR(VLOOKUP(Tabla2[[#This Row],[CODIGO]],Tabla1[],11,0),"")</f>
        <v>COMPRA</v>
      </c>
      <c r="L749" s="67" t="s">
        <v>236</v>
      </c>
      <c r="M749" s="67"/>
      <c r="N749" s="70">
        <v>4</v>
      </c>
      <c r="O749" s="70">
        <f>Tabla2[[#This Row],[CANTIDAD]]*Tabla2[[#This Row],[PREC. UNITARIO]]</f>
        <v>-4</v>
      </c>
      <c r="R749" t="str">
        <f>Tabla2[[#This Row],[QUIEN RECIBE]]&amp;"-"&amp;TEXT(Tabla2[[#This Row],[FECHA]],"dd/mm/yyyy")</f>
        <v>-15/10/2025</v>
      </c>
    </row>
    <row r="750" spans="2:18" ht="20.45" hidden="1" customHeight="1" x14ac:dyDescent="0.25">
      <c r="B750" s="5">
        <v>45945</v>
      </c>
      <c r="C750" s="2" t="str">
        <f>IFERROR(_xlfn.XLOOKUP(Tabla2[[#This Row],[PRODUCTO]],Tabla1[PRODUCTO],Tabla1[CODIGO]),"")</f>
        <v>IS-28</v>
      </c>
      <c r="D750" s="31" t="s">
        <v>79</v>
      </c>
      <c r="E750" s="31" t="str">
        <f>IFERROR(VLOOKUP(Tabla2[[#This Row],[CODIGO]],Tabla1[],3,0),"")</f>
        <v>IMPLEMENTOS DE SEGURIDAD</v>
      </c>
      <c r="F750" s="28" t="str">
        <f>IFERROR(VLOOKUP(Tabla2[[#This Row],[CODIGO]],Tabla1[],5,0),"")</f>
        <v>ALMACEN TICAPAMPA</v>
      </c>
      <c r="G750" s="26" t="str">
        <f>IFERROR(VLOOKUP(Tabla2[[#This Row],[CODIGO]],Tabla1[],6,0),"")</f>
        <v>UNI</v>
      </c>
      <c r="H750" s="26">
        <f>IFERROR(VLOOKUP(Tabla2[[#This Row],[CODIGO]],Tabla1[],10,0),"")</f>
        <v>32</v>
      </c>
      <c r="I750" s="7">
        <v>-1</v>
      </c>
      <c r="J750" s="29" t="s">
        <v>321</v>
      </c>
      <c r="K750" s="26" t="str">
        <f>IFERROR(VLOOKUP(Tabla2[[#This Row],[CODIGO]],Tabla1[],11,0),"")</f>
        <v>COMPRA</v>
      </c>
      <c r="L750" s="67" t="s">
        <v>236</v>
      </c>
      <c r="M750" s="67" t="s">
        <v>552</v>
      </c>
      <c r="N750" s="70">
        <v>4</v>
      </c>
      <c r="O750" s="70">
        <f>Tabla2[[#This Row],[CANTIDAD]]*Tabla2[[#This Row],[PREC. UNITARIO]]</f>
        <v>-4</v>
      </c>
      <c r="R750" t="str">
        <f>Tabla2[[#This Row],[QUIEN RECIBE]]&amp;"-"&amp;TEXT(Tabla2[[#This Row],[FECHA]],"dd/mm/yyyy")</f>
        <v>QUISPE MAQUERA, MARCO ANTONIO-15/10/2025</v>
      </c>
    </row>
    <row r="751" spans="2:18" ht="20.45" hidden="1" customHeight="1" x14ac:dyDescent="0.25">
      <c r="B751" s="5">
        <v>45945</v>
      </c>
      <c r="C751" s="2" t="str">
        <f>IFERROR(_xlfn.XLOOKUP(Tabla2[[#This Row],[PRODUCTO]],Tabla1[PRODUCTO],Tabla1[CODIGO]),"")</f>
        <v>IS-28</v>
      </c>
      <c r="D751" s="31" t="s">
        <v>79</v>
      </c>
      <c r="E751" s="31" t="str">
        <f>IFERROR(VLOOKUP(Tabla2[[#This Row],[CODIGO]],Tabla1[],3,0),"")</f>
        <v>IMPLEMENTOS DE SEGURIDAD</v>
      </c>
      <c r="F751" s="28" t="str">
        <f>IFERROR(VLOOKUP(Tabla2[[#This Row],[CODIGO]],Tabla1[],5,0),"")</f>
        <v>ALMACEN TICAPAMPA</v>
      </c>
      <c r="G751" s="26" t="str">
        <f>IFERROR(VLOOKUP(Tabla2[[#This Row],[CODIGO]],Tabla1[],6,0),"")</f>
        <v>UNI</v>
      </c>
      <c r="H751" s="26">
        <f>IFERROR(VLOOKUP(Tabla2[[#This Row],[CODIGO]],Tabla1[],10,0),"")</f>
        <v>32</v>
      </c>
      <c r="I751" s="7">
        <v>-1</v>
      </c>
      <c r="J751" s="29" t="s">
        <v>321</v>
      </c>
      <c r="K751" s="26" t="str">
        <f>IFERROR(VLOOKUP(Tabla2[[#This Row],[CODIGO]],Tabla1[],11,0),"")</f>
        <v>COMPRA</v>
      </c>
      <c r="L751" s="67" t="s">
        <v>236</v>
      </c>
      <c r="M751" s="67" t="s">
        <v>553</v>
      </c>
      <c r="N751" s="70">
        <v>4</v>
      </c>
      <c r="O751" s="70">
        <f>Tabla2[[#This Row],[CANTIDAD]]*Tabla2[[#This Row],[PREC. UNITARIO]]</f>
        <v>-4</v>
      </c>
      <c r="R751" t="str">
        <f>Tabla2[[#This Row],[QUIEN RECIBE]]&amp;"-"&amp;TEXT(Tabla2[[#This Row],[FECHA]],"dd/mm/yyyy")</f>
        <v>PUMAYALLI LICONA, ENOCH-15/10/2025</v>
      </c>
    </row>
    <row r="752" spans="2:18" ht="20.45" hidden="1" customHeight="1" x14ac:dyDescent="0.25">
      <c r="B752" s="5">
        <v>45945</v>
      </c>
      <c r="C752" s="2" t="str">
        <f>IFERROR(_xlfn.XLOOKUP(Tabla2[[#This Row],[PRODUCTO]],Tabla1[PRODUCTO],Tabla1[CODIGO]),"")</f>
        <v>IS-28</v>
      </c>
      <c r="D752" s="31" t="s">
        <v>79</v>
      </c>
      <c r="E752" s="31" t="str">
        <f>IFERROR(VLOOKUP(Tabla2[[#This Row],[CODIGO]],Tabla1[],3,0),"")</f>
        <v>IMPLEMENTOS DE SEGURIDAD</v>
      </c>
      <c r="F752" s="28" t="str">
        <f>IFERROR(VLOOKUP(Tabla2[[#This Row],[CODIGO]],Tabla1[],5,0),"")</f>
        <v>ALMACEN TICAPAMPA</v>
      </c>
      <c r="G752" s="26" t="str">
        <f>IFERROR(VLOOKUP(Tabla2[[#This Row],[CODIGO]],Tabla1[],6,0),"")</f>
        <v>UNI</v>
      </c>
      <c r="H752" s="26">
        <f>IFERROR(VLOOKUP(Tabla2[[#This Row],[CODIGO]],Tabla1[],10,0),"")</f>
        <v>32</v>
      </c>
      <c r="I752" s="7">
        <v>-1</v>
      </c>
      <c r="J752" s="29" t="s">
        <v>321</v>
      </c>
      <c r="K752" s="26" t="str">
        <f>IFERROR(VLOOKUP(Tabla2[[#This Row],[CODIGO]],Tabla1[],11,0),"")</f>
        <v>COMPRA</v>
      </c>
      <c r="L752" s="67" t="s">
        <v>236</v>
      </c>
      <c r="M752" s="67" t="s">
        <v>554</v>
      </c>
      <c r="N752" s="70">
        <v>4</v>
      </c>
      <c r="O752" s="70">
        <f>Tabla2[[#This Row],[CANTIDAD]]*Tabla2[[#This Row],[PREC. UNITARIO]]</f>
        <v>-4</v>
      </c>
      <c r="R752" t="str">
        <f>Tabla2[[#This Row],[QUIEN RECIBE]]&amp;"-"&amp;TEXT(Tabla2[[#This Row],[FECHA]],"dd/mm/yyyy")</f>
        <v>CURMAYARI MANUYAMA, VICTOR RAUL-15/10/2025</v>
      </c>
    </row>
    <row r="753" spans="2:18" ht="20.45" hidden="1" customHeight="1" x14ac:dyDescent="0.25">
      <c r="B753" s="5">
        <v>45945</v>
      </c>
      <c r="C753" s="2" t="str">
        <f>IFERROR(_xlfn.XLOOKUP(Tabla2[[#This Row],[PRODUCTO]],Tabla1[PRODUCTO],Tabla1[CODIGO]),"")</f>
        <v>IS-28</v>
      </c>
      <c r="D753" s="31" t="s">
        <v>79</v>
      </c>
      <c r="E753" s="31" t="str">
        <f>IFERROR(VLOOKUP(Tabla2[[#This Row],[CODIGO]],Tabla1[],3,0),"")</f>
        <v>IMPLEMENTOS DE SEGURIDAD</v>
      </c>
      <c r="F753" s="28" t="str">
        <f>IFERROR(VLOOKUP(Tabla2[[#This Row],[CODIGO]],Tabla1[],5,0),"")</f>
        <v>ALMACEN TICAPAMPA</v>
      </c>
      <c r="G753" s="26" t="str">
        <f>IFERROR(VLOOKUP(Tabla2[[#This Row],[CODIGO]],Tabla1[],6,0),"")</f>
        <v>UNI</v>
      </c>
      <c r="H753" s="26">
        <f>IFERROR(VLOOKUP(Tabla2[[#This Row],[CODIGO]],Tabla1[],10,0),"")</f>
        <v>32</v>
      </c>
      <c r="I753" s="7">
        <v>-1</v>
      </c>
      <c r="J753" s="29" t="s">
        <v>321</v>
      </c>
      <c r="K753" s="26" t="str">
        <f>IFERROR(VLOOKUP(Tabla2[[#This Row],[CODIGO]],Tabla1[],11,0),"")</f>
        <v>COMPRA</v>
      </c>
      <c r="L753" s="67" t="s">
        <v>236</v>
      </c>
      <c r="M753" s="67"/>
      <c r="N753" s="70">
        <v>4</v>
      </c>
      <c r="O753" s="70">
        <f>Tabla2[[#This Row],[CANTIDAD]]*Tabla2[[#This Row],[PREC. UNITARIO]]</f>
        <v>-4</v>
      </c>
      <c r="R753" t="str">
        <f>Tabla2[[#This Row],[QUIEN RECIBE]]&amp;"-"&amp;TEXT(Tabla2[[#This Row],[FECHA]],"dd/mm/yyyy")</f>
        <v>-15/10/2025</v>
      </c>
    </row>
    <row r="754" spans="2:18" ht="20.45" hidden="1" customHeight="1" x14ac:dyDescent="0.25">
      <c r="B754" s="5">
        <v>45945</v>
      </c>
      <c r="C754" s="2" t="str">
        <f>IFERROR(_xlfn.XLOOKUP(Tabla2[[#This Row],[PRODUCTO]],Tabla1[PRODUCTO],Tabla1[CODIGO]),"")</f>
        <v>IS-30</v>
      </c>
      <c r="D754" s="31" t="s">
        <v>81</v>
      </c>
      <c r="E754" s="31" t="str">
        <f>IFERROR(VLOOKUP(Tabla2[[#This Row],[CODIGO]],Tabla1[],3,0),"")</f>
        <v>IMPLEMENTOS DE SEGURIDAD</v>
      </c>
      <c r="F754" s="28" t="str">
        <f>IFERROR(VLOOKUP(Tabla2[[#This Row],[CODIGO]],Tabla1[],5,0),"")</f>
        <v>ALMACEN TICAPAMPA</v>
      </c>
      <c r="G754" s="26" t="str">
        <f>IFERROR(VLOOKUP(Tabla2[[#This Row],[CODIGO]],Tabla1[],6,0),"")</f>
        <v>UNI</v>
      </c>
      <c r="H754" s="26">
        <f>IFERROR(VLOOKUP(Tabla2[[#This Row],[CODIGO]],Tabla1[],10,0),"")</f>
        <v>99</v>
      </c>
      <c r="I754" s="7">
        <v>-1</v>
      </c>
      <c r="J754" s="29" t="s">
        <v>321</v>
      </c>
      <c r="K754" s="26" t="str">
        <f>IFERROR(VLOOKUP(Tabla2[[#This Row],[CODIGO]],Tabla1[],11,0),"")</f>
        <v>COMPRA</v>
      </c>
      <c r="L754" s="67" t="s">
        <v>236</v>
      </c>
      <c r="M754" s="67" t="s">
        <v>552</v>
      </c>
      <c r="N754" s="70">
        <v>8</v>
      </c>
      <c r="O754" s="70">
        <f>Tabla2[[#This Row],[CANTIDAD]]*Tabla2[[#This Row],[PREC. UNITARIO]]</f>
        <v>-8</v>
      </c>
      <c r="R754" t="str">
        <f>Tabla2[[#This Row],[QUIEN RECIBE]]&amp;"-"&amp;TEXT(Tabla2[[#This Row],[FECHA]],"dd/mm/yyyy")</f>
        <v>QUISPE MAQUERA, MARCO ANTONIO-15/10/2025</v>
      </c>
    </row>
    <row r="755" spans="2:18" ht="20.45" hidden="1" customHeight="1" x14ac:dyDescent="0.25">
      <c r="B755" s="5">
        <v>45945</v>
      </c>
      <c r="C755" s="2" t="str">
        <f>IFERROR(_xlfn.XLOOKUP(Tabla2[[#This Row],[PRODUCTO]],Tabla1[PRODUCTO],Tabla1[CODIGO]),"")</f>
        <v>IS-30</v>
      </c>
      <c r="D755" s="31" t="s">
        <v>81</v>
      </c>
      <c r="E755" s="31" t="str">
        <f>IFERROR(VLOOKUP(Tabla2[[#This Row],[CODIGO]],Tabla1[],3,0),"")</f>
        <v>IMPLEMENTOS DE SEGURIDAD</v>
      </c>
      <c r="F755" s="28" t="str">
        <f>IFERROR(VLOOKUP(Tabla2[[#This Row],[CODIGO]],Tabla1[],5,0),"")</f>
        <v>ALMACEN TICAPAMPA</v>
      </c>
      <c r="G755" s="26" t="str">
        <f>IFERROR(VLOOKUP(Tabla2[[#This Row],[CODIGO]],Tabla1[],6,0),"")</f>
        <v>UNI</v>
      </c>
      <c r="H755" s="26">
        <f>IFERROR(VLOOKUP(Tabla2[[#This Row],[CODIGO]],Tabla1[],10,0),"")</f>
        <v>99</v>
      </c>
      <c r="I755" s="7">
        <v>-1</v>
      </c>
      <c r="J755" s="29" t="s">
        <v>321</v>
      </c>
      <c r="K755" s="26" t="str">
        <f>IFERROR(VLOOKUP(Tabla2[[#This Row],[CODIGO]],Tabla1[],11,0),"")</f>
        <v>COMPRA</v>
      </c>
      <c r="L755" s="67" t="s">
        <v>236</v>
      </c>
      <c r="M755" s="67" t="s">
        <v>553</v>
      </c>
      <c r="N755" s="70">
        <v>8</v>
      </c>
      <c r="O755" s="70">
        <f>Tabla2[[#This Row],[CANTIDAD]]*Tabla2[[#This Row],[PREC. UNITARIO]]</f>
        <v>-8</v>
      </c>
      <c r="R755" t="str">
        <f>Tabla2[[#This Row],[QUIEN RECIBE]]&amp;"-"&amp;TEXT(Tabla2[[#This Row],[FECHA]],"dd/mm/yyyy")</f>
        <v>PUMAYALLI LICONA, ENOCH-15/10/2025</v>
      </c>
    </row>
    <row r="756" spans="2:18" ht="20.45" hidden="1" customHeight="1" x14ac:dyDescent="0.25">
      <c r="B756" s="5">
        <v>45945</v>
      </c>
      <c r="C756" s="2" t="str">
        <f>IFERROR(_xlfn.XLOOKUP(Tabla2[[#This Row],[PRODUCTO]],Tabla1[PRODUCTO],Tabla1[CODIGO]),"")</f>
        <v>IS-30</v>
      </c>
      <c r="D756" s="31" t="s">
        <v>81</v>
      </c>
      <c r="E756" s="31" t="str">
        <f>IFERROR(VLOOKUP(Tabla2[[#This Row],[CODIGO]],Tabla1[],3,0),"")</f>
        <v>IMPLEMENTOS DE SEGURIDAD</v>
      </c>
      <c r="F756" s="28" t="str">
        <f>IFERROR(VLOOKUP(Tabla2[[#This Row],[CODIGO]],Tabla1[],5,0),"")</f>
        <v>ALMACEN TICAPAMPA</v>
      </c>
      <c r="G756" s="26" t="str">
        <f>IFERROR(VLOOKUP(Tabla2[[#This Row],[CODIGO]],Tabla1[],6,0),"")</f>
        <v>UNI</v>
      </c>
      <c r="H756" s="26">
        <f>IFERROR(VLOOKUP(Tabla2[[#This Row],[CODIGO]],Tabla1[],10,0),"")</f>
        <v>99</v>
      </c>
      <c r="I756" s="7">
        <v>-1</v>
      </c>
      <c r="J756" s="29" t="s">
        <v>321</v>
      </c>
      <c r="K756" s="26" t="str">
        <f>IFERROR(VLOOKUP(Tabla2[[#This Row],[CODIGO]],Tabla1[],11,0),"")</f>
        <v>COMPRA</v>
      </c>
      <c r="L756" s="67" t="s">
        <v>236</v>
      </c>
      <c r="M756" s="67" t="s">
        <v>554</v>
      </c>
      <c r="N756" s="70">
        <v>8</v>
      </c>
      <c r="O756" s="70">
        <f>Tabla2[[#This Row],[CANTIDAD]]*Tabla2[[#This Row],[PREC. UNITARIO]]</f>
        <v>-8</v>
      </c>
      <c r="R756" t="str">
        <f>Tabla2[[#This Row],[QUIEN RECIBE]]&amp;"-"&amp;TEXT(Tabla2[[#This Row],[FECHA]],"dd/mm/yyyy")</f>
        <v>CURMAYARI MANUYAMA, VICTOR RAUL-15/10/2025</v>
      </c>
    </row>
    <row r="757" spans="2:18" ht="20.45" hidden="1" customHeight="1" x14ac:dyDescent="0.25">
      <c r="B757" s="5">
        <v>45945</v>
      </c>
      <c r="C757" s="2" t="str">
        <f>IFERROR(_xlfn.XLOOKUP(Tabla2[[#This Row],[PRODUCTO]],Tabla1[PRODUCTO],Tabla1[CODIGO]),"")</f>
        <v>IS-30</v>
      </c>
      <c r="D757" s="31" t="s">
        <v>81</v>
      </c>
      <c r="E757" s="31" t="str">
        <f>IFERROR(VLOOKUP(Tabla2[[#This Row],[CODIGO]],Tabla1[],3,0),"")</f>
        <v>IMPLEMENTOS DE SEGURIDAD</v>
      </c>
      <c r="F757" s="28" t="str">
        <f>IFERROR(VLOOKUP(Tabla2[[#This Row],[CODIGO]],Tabla1[],5,0),"")</f>
        <v>ALMACEN TICAPAMPA</v>
      </c>
      <c r="G757" s="26" t="str">
        <f>IFERROR(VLOOKUP(Tabla2[[#This Row],[CODIGO]],Tabla1[],6,0),"")</f>
        <v>UNI</v>
      </c>
      <c r="H757" s="26">
        <f>IFERROR(VLOOKUP(Tabla2[[#This Row],[CODIGO]],Tabla1[],10,0),"")</f>
        <v>99</v>
      </c>
      <c r="I757" s="7">
        <v>-1</v>
      </c>
      <c r="J757" s="29" t="s">
        <v>321</v>
      </c>
      <c r="K757" s="26" t="str">
        <f>IFERROR(VLOOKUP(Tabla2[[#This Row],[CODIGO]],Tabla1[],11,0),"")</f>
        <v>COMPRA</v>
      </c>
      <c r="L757" s="67" t="s">
        <v>236</v>
      </c>
      <c r="M757" s="67"/>
      <c r="N757" s="70">
        <v>8</v>
      </c>
      <c r="O757" s="70">
        <f>Tabla2[[#This Row],[CANTIDAD]]*Tabla2[[#This Row],[PREC. UNITARIO]]</f>
        <v>-8</v>
      </c>
      <c r="R757" t="str">
        <f>Tabla2[[#This Row],[QUIEN RECIBE]]&amp;"-"&amp;TEXT(Tabla2[[#This Row],[FECHA]],"dd/mm/yyyy")</f>
        <v>-15/10/2025</v>
      </c>
    </row>
    <row r="758" spans="2:18" ht="20.45" hidden="1" customHeight="1" x14ac:dyDescent="0.25">
      <c r="B758" s="5">
        <v>45945</v>
      </c>
      <c r="C758" s="2" t="str">
        <f>IFERROR(_xlfn.XLOOKUP(Tabla2[[#This Row],[PRODUCTO]],Tabla1[PRODUCTO],Tabla1[CODIGO]),"")</f>
        <v>IS-26</v>
      </c>
      <c r="D758" s="31" t="s">
        <v>86</v>
      </c>
      <c r="E758" s="31" t="str">
        <f>IFERROR(VLOOKUP(Tabla2[[#This Row],[CODIGO]],Tabla1[],3,0),"")</f>
        <v>IMPLEMENTOS DE SEGURIDAD</v>
      </c>
      <c r="F758" s="28" t="str">
        <f>IFERROR(VLOOKUP(Tabla2[[#This Row],[CODIGO]],Tabla1[],5,0),"")</f>
        <v>ALMACEN TICAPAMPA</v>
      </c>
      <c r="G758" s="26" t="str">
        <f>IFERROR(VLOOKUP(Tabla2[[#This Row],[CODIGO]],Tabla1[],6,0),"")</f>
        <v>UNI</v>
      </c>
      <c r="H758" s="26">
        <f>IFERROR(VLOOKUP(Tabla2[[#This Row],[CODIGO]],Tabla1[],10,0),"")</f>
        <v>16</v>
      </c>
      <c r="I758" s="7">
        <v>-1</v>
      </c>
      <c r="J758" s="29" t="s">
        <v>321</v>
      </c>
      <c r="K758" s="26" t="str">
        <f>IFERROR(VLOOKUP(Tabla2[[#This Row],[CODIGO]],Tabla1[],11,0),"")</f>
        <v>COMPRA</v>
      </c>
      <c r="L758" s="67" t="s">
        <v>236</v>
      </c>
      <c r="M758" s="67" t="s">
        <v>554</v>
      </c>
      <c r="N758" s="70"/>
      <c r="O758" s="70">
        <f>Tabla2[[#This Row],[CANTIDAD]]*Tabla2[[#This Row],[PREC. UNITARIO]]</f>
        <v>0</v>
      </c>
      <c r="R758" t="str">
        <f>Tabla2[[#This Row],[QUIEN RECIBE]]&amp;"-"&amp;TEXT(Tabla2[[#This Row],[FECHA]],"dd/mm/yyyy")</f>
        <v>CURMAYARI MANUYAMA, VICTOR RAUL-15/10/2025</v>
      </c>
    </row>
    <row r="759" spans="2:18" ht="20.45" hidden="1" customHeight="1" x14ac:dyDescent="0.25">
      <c r="B759" s="5">
        <v>45944</v>
      </c>
      <c r="C759" s="2" t="str">
        <f>IFERROR(_xlfn.XLOOKUP(Tabla2[[#This Row],[PRODUCTO]],Tabla1[PRODUCTO],Tabla1[CODIGO]),"")</f>
        <v>SOL-2</v>
      </c>
      <c r="D759" s="31" t="s">
        <v>502</v>
      </c>
      <c r="E759" s="31" t="str">
        <f>IFERROR(VLOOKUP(Tabla2[[#This Row],[CODIGO]],Tabla1[],3,0),"")</f>
        <v>SOLDADURA</v>
      </c>
      <c r="F759" s="28" t="str">
        <f>IFERROR(VLOOKUP(Tabla2[[#This Row],[CODIGO]],Tabla1[],5,0),"")</f>
        <v>ALMACEN TICAPAMPA</v>
      </c>
      <c r="G759" s="26" t="str">
        <f>IFERROR(VLOOKUP(Tabla2[[#This Row],[CODIGO]],Tabla1[],6,0),"")</f>
        <v>kg</v>
      </c>
      <c r="H759" s="26">
        <f>IFERROR(VLOOKUP(Tabla2[[#This Row],[CODIGO]],Tabla1[],10,0),"")</f>
        <v>2.5</v>
      </c>
      <c r="I759" s="7">
        <v>-2</v>
      </c>
      <c r="J759" s="29" t="s">
        <v>540</v>
      </c>
      <c r="K759" s="26" t="str">
        <f>IFERROR(VLOOKUP(Tabla2[[#This Row],[CODIGO]],Tabla1[],11,0),"")</f>
        <v>COMPRA</v>
      </c>
      <c r="L759" s="67" t="s">
        <v>236</v>
      </c>
      <c r="M759" s="67" t="s">
        <v>493</v>
      </c>
      <c r="N759" s="70">
        <v>16</v>
      </c>
      <c r="O759" s="70">
        <f>Tabla2[[#This Row],[CANTIDAD]]*Tabla2[[#This Row],[PREC. UNITARIO]]</f>
        <v>-32</v>
      </c>
      <c r="R759" t="str">
        <f>Tabla2[[#This Row],[QUIEN RECIBE]]&amp;"-"&amp;TEXT(Tabla2[[#This Row],[FECHA]],"dd/mm/yyyy")</f>
        <v>TACANAHUI CALISAYA, NESTOR-14/10/2025</v>
      </c>
    </row>
    <row r="760" spans="2:18" ht="20.45" hidden="1" customHeight="1" x14ac:dyDescent="0.25">
      <c r="B760" s="5">
        <v>45945</v>
      </c>
      <c r="C760" s="2" t="str">
        <f>IFERROR(_xlfn.XLOOKUP(Tabla2[[#This Row],[PRODUCTO]],Tabla1[PRODUCTO],Tabla1[CODIGO]),"")</f>
        <v>SOL-2</v>
      </c>
      <c r="D760" s="31" t="s">
        <v>502</v>
      </c>
      <c r="E760" s="31" t="str">
        <f>IFERROR(VLOOKUP(Tabla2[[#This Row],[CODIGO]],Tabla1[],3,0),"")</f>
        <v>SOLDADURA</v>
      </c>
      <c r="F760" s="28" t="str">
        <f>IFERROR(VLOOKUP(Tabla2[[#This Row],[CODIGO]],Tabla1[],5,0),"")</f>
        <v>ALMACEN TICAPAMPA</v>
      </c>
      <c r="G760" s="26" t="str">
        <f>IFERROR(VLOOKUP(Tabla2[[#This Row],[CODIGO]],Tabla1[],6,0),"")</f>
        <v>kg</v>
      </c>
      <c r="H760" s="26">
        <f>IFERROR(VLOOKUP(Tabla2[[#This Row],[CODIGO]],Tabla1[],10,0),"")</f>
        <v>2.5</v>
      </c>
      <c r="I760" s="7">
        <v>-2.5</v>
      </c>
      <c r="J760" s="29" t="s">
        <v>540</v>
      </c>
      <c r="K760" s="26" t="str">
        <f>IFERROR(VLOOKUP(Tabla2[[#This Row],[CODIGO]],Tabla1[],11,0),"")</f>
        <v>COMPRA</v>
      </c>
      <c r="L760" s="67" t="s">
        <v>236</v>
      </c>
      <c r="M760" s="67" t="s">
        <v>493</v>
      </c>
      <c r="N760" s="70">
        <v>16</v>
      </c>
      <c r="O760" s="70">
        <f>Tabla2[[#This Row],[CANTIDAD]]*Tabla2[[#This Row],[PREC. UNITARIO]]</f>
        <v>-40</v>
      </c>
      <c r="R760" t="str">
        <f>Tabla2[[#This Row],[QUIEN RECIBE]]&amp;"-"&amp;TEXT(Tabla2[[#This Row],[FECHA]],"dd/mm/yyyy")</f>
        <v>TACANAHUI CALISAYA, NESTOR-15/10/2025</v>
      </c>
    </row>
    <row r="761" spans="2:18" ht="20.45" hidden="1" customHeight="1" x14ac:dyDescent="0.25">
      <c r="B761" s="5">
        <v>45945</v>
      </c>
      <c r="C761" s="2" t="str">
        <f>IFERROR(_xlfn.XLOOKUP(Tabla2[[#This Row],[PRODUCTO]],Tabla1[PRODUCTO],Tabla1[CODIGO]),"")</f>
        <v>HM-18</v>
      </c>
      <c r="D761" s="31" t="s">
        <v>384</v>
      </c>
      <c r="E761" s="31" t="str">
        <f>IFERROR(VLOOKUP(Tabla2[[#This Row],[CODIGO]],Tabla1[],3,0),"")</f>
        <v>HERRAMIENTAS</v>
      </c>
      <c r="F761" s="28" t="str">
        <f>IFERROR(VLOOKUP(Tabla2[[#This Row],[CODIGO]],Tabla1[],5,0),"")</f>
        <v>ALMACEN TICAPAMPA</v>
      </c>
      <c r="G761" s="26" t="str">
        <f>IFERROR(VLOOKUP(Tabla2[[#This Row],[CODIGO]],Tabla1[],6,0),"")</f>
        <v>UNI</v>
      </c>
      <c r="H761" s="26">
        <f>IFERROR(VLOOKUP(Tabla2[[#This Row],[CODIGO]],Tabla1[],10,0),"")</f>
        <v>22</v>
      </c>
      <c r="I761" s="7">
        <v>-2</v>
      </c>
      <c r="J761" s="29" t="s">
        <v>350</v>
      </c>
      <c r="K761" s="26" t="str">
        <f>IFERROR(VLOOKUP(Tabla2[[#This Row],[CODIGO]],Tabla1[],11,0),"")</f>
        <v>COMPRA</v>
      </c>
      <c r="L761" s="67" t="s">
        <v>236</v>
      </c>
      <c r="M761" s="67" t="s">
        <v>240</v>
      </c>
      <c r="N761" s="70"/>
      <c r="O761" s="70">
        <f>Tabla2[[#This Row],[CANTIDAD]]*Tabla2[[#This Row],[PREC. UNITARIO]]</f>
        <v>0</v>
      </c>
      <c r="R761" t="str">
        <f>Tabla2[[#This Row],[QUIEN RECIBE]]&amp;"-"&amp;TEXT(Tabla2[[#This Row],[FECHA]],"dd/mm/yyyy")</f>
        <v>LOZANO MALDONADO, HERNAN-15/10/2025</v>
      </c>
    </row>
    <row r="762" spans="2:18" ht="20.45" hidden="1" customHeight="1" x14ac:dyDescent="0.25">
      <c r="B762" s="5">
        <v>45945</v>
      </c>
      <c r="C762" s="2" t="str">
        <f>IFERROR(_xlfn.XLOOKUP(Tabla2[[#This Row],[PRODUCTO]],Tabla1[PRODUCTO],Tabla1[CODIGO]),"")</f>
        <v>UE-58</v>
      </c>
      <c r="D762" s="31" t="s">
        <v>421</v>
      </c>
      <c r="E762" s="31" t="str">
        <f>IFERROR(VLOOKUP(Tabla2[[#This Row],[CODIGO]],Tabla1[],3,0),"")</f>
        <v>UTILES DE ESCRITORIO</v>
      </c>
      <c r="F762" s="28" t="str">
        <f>IFERROR(VLOOKUP(Tabla2[[#This Row],[CODIGO]],Tabla1[],5,0),"")</f>
        <v>ALMACEN TICAPAMPA</v>
      </c>
      <c r="G762" s="26" t="str">
        <f>IFERROR(VLOOKUP(Tabla2[[#This Row],[CODIGO]],Tabla1[],6,0),"")</f>
        <v>UNI</v>
      </c>
      <c r="H762" s="26">
        <f>IFERROR(VLOOKUP(Tabla2[[#This Row],[CODIGO]],Tabla1[],10,0),"")</f>
        <v>28</v>
      </c>
      <c r="I762" s="7">
        <v>-2</v>
      </c>
      <c r="J762" s="29" t="s">
        <v>350</v>
      </c>
      <c r="K762" s="26" t="str">
        <f>IFERROR(VLOOKUP(Tabla2[[#This Row],[CODIGO]],Tabla1[],11,0),"")</f>
        <v>COMPRA</v>
      </c>
      <c r="L762" s="67" t="s">
        <v>236</v>
      </c>
      <c r="M762" s="67" t="s">
        <v>239</v>
      </c>
      <c r="N762" s="70"/>
      <c r="O762" s="70">
        <f>Tabla2[[#This Row],[CANTIDAD]]*Tabla2[[#This Row],[PREC. UNITARIO]]</f>
        <v>0</v>
      </c>
      <c r="R762" t="str">
        <f>Tabla2[[#This Row],[QUIEN RECIBE]]&amp;"-"&amp;TEXT(Tabla2[[#This Row],[FECHA]],"dd/mm/yyyy")</f>
        <v>JEREMIAS PALOMINO, NORBERTO LEONCIO-15/10/2025</v>
      </c>
    </row>
    <row r="763" spans="2:18" ht="20.45" hidden="1" customHeight="1" x14ac:dyDescent="0.25">
      <c r="B763" s="5">
        <v>45946</v>
      </c>
      <c r="C763" s="2" t="str">
        <f>IFERROR(_xlfn.XLOOKUP(Tabla2[[#This Row],[PRODUCTO]],Tabla1[PRODUCTO],Tabla1[CODIGO]),"")</f>
        <v>AGU-1</v>
      </c>
      <c r="D763" s="31" t="s">
        <v>357</v>
      </c>
      <c r="E763" s="31" t="str">
        <f>IFERROR(VLOOKUP(Tabla2[[#This Row],[CODIGO]],Tabla1[],3,0),"")</f>
        <v>AGUA</v>
      </c>
      <c r="F763" s="28" t="str">
        <f>IFERROR(VLOOKUP(Tabla2[[#This Row],[CODIGO]],Tabla1[],5,0),"")</f>
        <v>ALMACEN TICAPAMPA</v>
      </c>
      <c r="G763" s="26" t="str">
        <f>IFERROR(VLOOKUP(Tabla2[[#This Row],[CODIGO]],Tabla1[],6,0),"")</f>
        <v>UNI</v>
      </c>
      <c r="H763" s="26">
        <f>IFERROR(VLOOKUP(Tabla2[[#This Row],[CODIGO]],Tabla1[],10,0),"")</f>
        <v>9</v>
      </c>
      <c r="I763" s="7">
        <v>-1</v>
      </c>
      <c r="J763" s="29" t="s">
        <v>350</v>
      </c>
      <c r="K763" s="26" t="str">
        <f>IFERROR(VLOOKUP(Tabla2[[#This Row],[CODIGO]],Tabla1[],11,0),"")</f>
        <v>COMPRA</v>
      </c>
      <c r="L763" s="67" t="s">
        <v>236</v>
      </c>
      <c r="M763" s="67" t="s">
        <v>240</v>
      </c>
      <c r="N763" s="70">
        <v>8</v>
      </c>
      <c r="O763" s="70">
        <f>Tabla2[[#This Row],[CANTIDAD]]*Tabla2[[#This Row],[PREC. UNITARIO]]</f>
        <v>-8</v>
      </c>
      <c r="R763" t="str">
        <f>Tabla2[[#This Row],[QUIEN RECIBE]]&amp;"-"&amp;TEXT(Tabla2[[#This Row],[FECHA]],"dd/mm/yyyy")</f>
        <v>LOZANO MALDONADO, HERNAN-16/10/2025</v>
      </c>
    </row>
    <row r="764" spans="2:18" ht="20.45" hidden="1" customHeight="1" x14ac:dyDescent="0.25">
      <c r="B764" s="5">
        <v>45946</v>
      </c>
      <c r="C764" s="2" t="str">
        <f>IFERROR(_xlfn.XLOOKUP(Tabla2[[#This Row],[PRODUCTO]],Tabla1[PRODUCTO],Tabla1[CODIGO]),"")</f>
        <v>IS-57</v>
      </c>
      <c r="D764" s="31" t="s">
        <v>538</v>
      </c>
      <c r="E764" s="31" t="str">
        <f>IFERROR(VLOOKUP(Tabla2[[#This Row],[CODIGO]],Tabla1[],3,0),"")</f>
        <v>IMPLEMENTOS DE SEGURIDAD</v>
      </c>
      <c r="F764" s="28" t="str">
        <f>IFERROR(VLOOKUP(Tabla2[[#This Row],[CODIGO]],Tabla1[],5,0),"")</f>
        <v>ALMACEN TICAPAMPA</v>
      </c>
      <c r="G764" s="26" t="str">
        <f>IFERROR(VLOOKUP(Tabla2[[#This Row],[CODIGO]],Tabla1[],6,0),"")</f>
        <v>UNI</v>
      </c>
      <c r="H764" s="26">
        <f>IFERROR(VLOOKUP(Tabla2[[#This Row],[CODIGO]],Tabla1[],10,0),"")</f>
        <v>70</v>
      </c>
      <c r="I764" s="7">
        <v>-1</v>
      </c>
      <c r="J764" s="29" t="s">
        <v>321</v>
      </c>
      <c r="K764" s="26" t="str">
        <f>IFERROR(VLOOKUP(Tabla2[[#This Row],[CODIGO]],Tabla1[],11,0),"")</f>
        <v>COMPRA</v>
      </c>
      <c r="L764" s="67" t="s">
        <v>236</v>
      </c>
      <c r="M764" s="67" t="s">
        <v>301</v>
      </c>
      <c r="N764" s="70"/>
      <c r="O764" s="70">
        <f>Tabla2[[#This Row],[CANTIDAD]]*Tabla2[[#This Row],[PREC. UNITARIO]]</f>
        <v>0</v>
      </c>
      <c r="R764" t="str">
        <f>Tabla2[[#This Row],[QUIEN RECIBE]]&amp;"-"&amp;TEXT(Tabla2[[#This Row],[FECHA]],"dd/mm/yyyy")</f>
        <v>GUTARATE SABINO, ADRIEL ANTONY-16/10/2025</v>
      </c>
    </row>
    <row r="765" spans="2:18" ht="20.45" hidden="1" customHeight="1" x14ac:dyDescent="0.25">
      <c r="B765" s="5">
        <v>45946</v>
      </c>
      <c r="C765" s="2" t="str">
        <f>IFERROR(_xlfn.XLOOKUP(Tabla2[[#This Row],[PRODUCTO]],Tabla1[PRODUCTO],Tabla1[CODIGO]),"")</f>
        <v>UE-58</v>
      </c>
      <c r="D765" s="31" t="s">
        <v>421</v>
      </c>
      <c r="E765" s="31" t="str">
        <f>IFERROR(VLOOKUP(Tabla2[[#This Row],[CODIGO]],Tabla1[],3,0),"")</f>
        <v>UTILES DE ESCRITORIO</v>
      </c>
      <c r="F765" s="28" t="str">
        <f>IFERROR(VLOOKUP(Tabla2[[#This Row],[CODIGO]],Tabla1[],5,0),"")</f>
        <v>ALMACEN TICAPAMPA</v>
      </c>
      <c r="G765" s="26" t="str">
        <f>IFERROR(VLOOKUP(Tabla2[[#This Row],[CODIGO]],Tabla1[],6,0),"")</f>
        <v>UNI</v>
      </c>
      <c r="H765" s="26">
        <f>IFERROR(VLOOKUP(Tabla2[[#This Row],[CODIGO]],Tabla1[],10,0),"")</f>
        <v>28</v>
      </c>
      <c r="I765" s="7">
        <v>-2</v>
      </c>
      <c r="J765" s="29" t="s">
        <v>350</v>
      </c>
      <c r="K765" s="26" t="str">
        <f>IFERROR(VLOOKUP(Tabla2[[#This Row],[CODIGO]],Tabla1[],11,0),"")</f>
        <v>COMPRA</v>
      </c>
      <c r="L765" s="67" t="s">
        <v>236</v>
      </c>
      <c r="M765" s="67" t="s">
        <v>323</v>
      </c>
      <c r="N765" s="70"/>
      <c r="O765" s="70">
        <f>Tabla2[[#This Row],[CANTIDAD]]*Tabla2[[#This Row],[PREC. UNITARIO]]</f>
        <v>0</v>
      </c>
      <c r="R765" t="str">
        <f>Tabla2[[#This Row],[QUIEN RECIBE]]&amp;"-"&amp;TEXT(Tabla2[[#This Row],[FECHA]],"dd/mm/yyyy")</f>
        <v>TUANAMA PILCO, CRHIS-16/10/2025</v>
      </c>
    </row>
    <row r="766" spans="2:18" ht="20.45" hidden="1" customHeight="1" x14ac:dyDescent="0.25">
      <c r="B766" s="5">
        <v>45946</v>
      </c>
      <c r="C766" s="2" t="str">
        <f>IFERROR(_xlfn.XLOOKUP(Tabla2[[#This Row],[PRODUCTO]],Tabla1[PRODUCTO],Tabla1[CODIGO]),"")</f>
        <v>IS-43</v>
      </c>
      <c r="D766" s="31" t="s">
        <v>477</v>
      </c>
      <c r="E766" s="31" t="str">
        <f>IFERROR(VLOOKUP(Tabla2[[#This Row],[CODIGO]],Tabla1[],3,0),"")</f>
        <v>IMPLEMENTOS DE SEGURIDAD</v>
      </c>
      <c r="F766" s="28" t="str">
        <f>IFERROR(VLOOKUP(Tabla2[[#This Row],[CODIGO]],Tabla1[],5,0),"")</f>
        <v>ALMACEN TICAPAMPA</v>
      </c>
      <c r="G766" s="26" t="str">
        <f>IFERROR(VLOOKUP(Tabla2[[#This Row],[CODIGO]],Tabla1[],6,0),"")</f>
        <v>UNI</v>
      </c>
      <c r="H766" s="26">
        <f>IFERROR(VLOOKUP(Tabla2[[#This Row],[CODIGO]],Tabla1[],10,0),"")</f>
        <v>3</v>
      </c>
      <c r="I766" s="7">
        <v>-1</v>
      </c>
      <c r="J766" s="29" t="s">
        <v>551</v>
      </c>
      <c r="K766" s="26" t="str">
        <f>IFERROR(VLOOKUP(Tabla2[[#This Row],[CODIGO]],Tabla1[],11,0),"")</f>
        <v>COMPRA</v>
      </c>
      <c r="L766" s="67" t="s">
        <v>236</v>
      </c>
      <c r="M766" s="67" t="s">
        <v>554</v>
      </c>
      <c r="N766" s="70"/>
      <c r="O766" s="70">
        <f>Tabla2[[#This Row],[CANTIDAD]]*Tabla2[[#This Row],[PREC. UNITARIO]]</f>
        <v>0</v>
      </c>
      <c r="R766" t="str">
        <f>Tabla2[[#This Row],[QUIEN RECIBE]]&amp;"-"&amp;TEXT(Tabla2[[#This Row],[FECHA]],"dd/mm/yyyy")</f>
        <v>CURMAYARI MANUYAMA, VICTOR RAUL-16/10/2025</v>
      </c>
    </row>
    <row r="767" spans="2:18" ht="20.45" hidden="1" customHeight="1" x14ac:dyDescent="0.25">
      <c r="B767" s="5">
        <v>45946</v>
      </c>
      <c r="C767" s="2" t="str">
        <f>IFERROR(_xlfn.XLOOKUP(Tabla2[[#This Row],[PRODUCTO]],Tabla1[PRODUCTO],Tabla1[CODIGO]),"")</f>
        <v>CEM-1</v>
      </c>
      <c r="D767" s="31" t="s">
        <v>485</v>
      </c>
      <c r="E767" s="31" t="str">
        <f>IFERROR(VLOOKUP(Tabla2[[#This Row],[CODIGO]],Tabla1[],3,0),"")</f>
        <v>CEMENTO</v>
      </c>
      <c r="F767" s="28" t="str">
        <f>IFERROR(VLOOKUP(Tabla2[[#This Row],[CODIGO]],Tabla1[],5,0),"")</f>
        <v>ALMACEN TICAPAMPA</v>
      </c>
      <c r="G767" s="26" t="str">
        <f>IFERROR(VLOOKUP(Tabla2[[#This Row],[CODIGO]],Tabla1[],6,0),"")</f>
        <v>UNI</v>
      </c>
      <c r="H767" s="26">
        <f>IFERROR(VLOOKUP(Tabla2[[#This Row],[CODIGO]],Tabla1[],10,0),"")</f>
        <v>1545</v>
      </c>
      <c r="I767" s="7">
        <v>-150</v>
      </c>
      <c r="J767" s="29" t="s">
        <v>556</v>
      </c>
      <c r="K767" s="26" t="str">
        <f>IFERROR(VLOOKUP(Tabla2[[#This Row],[CODIGO]],Tabla1[],11,0),"")</f>
        <v>COMPRA</v>
      </c>
      <c r="L767" s="67" t="s">
        <v>236</v>
      </c>
      <c r="M767" s="67" t="s">
        <v>148</v>
      </c>
      <c r="N767" s="70">
        <v>23</v>
      </c>
      <c r="O767" s="70">
        <f>Tabla2[[#This Row],[CANTIDAD]]*Tabla2[[#This Row],[PREC. UNITARIO]]</f>
        <v>-3450</v>
      </c>
      <c r="R767" t="str">
        <f>Tabla2[[#This Row],[QUIEN RECIBE]]&amp;"-"&amp;TEXT(Tabla2[[#This Row],[FECHA]],"dd/mm/yyyy")</f>
        <v>OTROS-16/10/2025</v>
      </c>
    </row>
    <row r="768" spans="2:18" ht="20.45" hidden="1" customHeight="1" x14ac:dyDescent="0.25">
      <c r="B768" s="5">
        <v>45946</v>
      </c>
      <c r="C768" s="2" t="str">
        <f>IFERROR(_xlfn.XLOOKUP(Tabla2[[#This Row],[PRODUCTO]],Tabla1[PRODUCTO],Tabla1[CODIGO]),"")</f>
        <v>CEM-1</v>
      </c>
      <c r="D768" s="31" t="s">
        <v>485</v>
      </c>
      <c r="E768" s="31" t="str">
        <f>IFERROR(VLOOKUP(Tabla2[[#This Row],[CODIGO]],Tabla1[],3,0),"")</f>
        <v>CEMENTO</v>
      </c>
      <c r="F768" s="28" t="str">
        <f>IFERROR(VLOOKUP(Tabla2[[#This Row],[CODIGO]],Tabla1[],5,0),"")</f>
        <v>ALMACEN TICAPAMPA</v>
      </c>
      <c r="G768" s="26" t="str">
        <f>IFERROR(VLOOKUP(Tabla2[[#This Row],[CODIGO]],Tabla1[],6,0),"")</f>
        <v>UNI</v>
      </c>
      <c r="H768" s="26">
        <f>IFERROR(VLOOKUP(Tabla2[[#This Row],[CODIGO]],Tabla1[],10,0),"")</f>
        <v>1545</v>
      </c>
      <c r="I768" s="7">
        <v>720</v>
      </c>
      <c r="J768" s="29" t="s">
        <v>546</v>
      </c>
      <c r="K768" s="26" t="str">
        <f>IFERROR(VLOOKUP(Tabla2[[#This Row],[CODIGO]],Tabla1[],11,0),"")</f>
        <v>COMPRA</v>
      </c>
      <c r="L768" s="67" t="s">
        <v>148</v>
      </c>
      <c r="M768" s="67" t="s">
        <v>236</v>
      </c>
      <c r="N768" s="70">
        <v>23</v>
      </c>
      <c r="O768" s="70">
        <f>Tabla2[[#This Row],[CANTIDAD]]*Tabla2[[#This Row],[PREC. UNITARIO]]</f>
        <v>16560</v>
      </c>
      <c r="R768" t="str">
        <f>Tabla2[[#This Row],[QUIEN RECIBE]]&amp;"-"&amp;TEXT(Tabla2[[#This Row],[FECHA]],"dd/mm/yyyy")</f>
        <v>NAVARRO LOZANO, ANGEL JAROL-16/10/2025</v>
      </c>
    </row>
    <row r="769" spans="2:18" ht="20.45" hidden="1" customHeight="1" x14ac:dyDescent="0.25">
      <c r="B769" s="5">
        <v>45946</v>
      </c>
      <c r="C769" s="2" t="str">
        <f>IFERROR(_xlfn.XLOOKUP(Tabla2[[#This Row],[PRODUCTO]],Tabla1[PRODUCTO],Tabla1[CODIGO]),"")</f>
        <v>UE-58</v>
      </c>
      <c r="D769" s="31" t="s">
        <v>421</v>
      </c>
      <c r="E769" s="31" t="str">
        <f>IFERROR(VLOOKUP(Tabla2[[#This Row],[CODIGO]],Tabla1[],3,0),"")</f>
        <v>UTILES DE ESCRITORIO</v>
      </c>
      <c r="F769" s="28" t="str">
        <f>IFERROR(VLOOKUP(Tabla2[[#This Row],[CODIGO]],Tabla1[],5,0),"")</f>
        <v>ALMACEN TICAPAMPA</v>
      </c>
      <c r="G769" s="26" t="str">
        <f>IFERROR(VLOOKUP(Tabla2[[#This Row],[CODIGO]],Tabla1[],6,0),"")</f>
        <v>UNI</v>
      </c>
      <c r="H769" s="26">
        <f>IFERROR(VLOOKUP(Tabla2[[#This Row],[CODIGO]],Tabla1[],10,0),"")</f>
        <v>28</v>
      </c>
      <c r="I769" s="7">
        <v>-2</v>
      </c>
      <c r="J769" s="29" t="s">
        <v>350</v>
      </c>
      <c r="K769" s="26" t="str">
        <f>IFERROR(VLOOKUP(Tabla2[[#This Row],[CODIGO]],Tabla1[],11,0),"")</f>
        <v>COMPRA</v>
      </c>
      <c r="L769" s="67" t="s">
        <v>236</v>
      </c>
      <c r="M769" s="67" t="s">
        <v>265</v>
      </c>
      <c r="N769" s="70"/>
      <c r="O769" s="70">
        <f>Tabla2[[#This Row],[CANTIDAD]]*Tabla2[[#This Row],[PREC. UNITARIO]]</f>
        <v>0</v>
      </c>
      <c r="R769" t="str">
        <f>Tabla2[[#This Row],[QUIEN RECIBE]]&amp;"-"&amp;TEXT(Tabla2[[#This Row],[FECHA]],"dd/mm/yyyy")</f>
        <v>ORDOÑEZ CONDORI, GILBERTO -16/10/2025</v>
      </c>
    </row>
    <row r="770" spans="2:18" ht="20.45" hidden="1" customHeight="1" x14ac:dyDescent="0.25">
      <c r="B770" s="5">
        <v>45946</v>
      </c>
      <c r="C770" s="2" t="str">
        <f>IFERROR(_xlfn.XLOOKUP(Tabla2[[#This Row],[PRODUCTO]],Tabla1[PRODUCTO],Tabla1[CODIGO]),"")</f>
        <v>UE-58</v>
      </c>
      <c r="D770" s="31" t="s">
        <v>421</v>
      </c>
      <c r="E770" s="31" t="str">
        <f>IFERROR(VLOOKUP(Tabla2[[#This Row],[CODIGO]],Tabla1[],3,0),"")</f>
        <v>UTILES DE ESCRITORIO</v>
      </c>
      <c r="F770" s="28" t="str">
        <f>IFERROR(VLOOKUP(Tabla2[[#This Row],[CODIGO]],Tabla1[],5,0),"")</f>
        <v>ALMACEN TICAPAMPA</v>
      </c>
      <c r="G770" s="26" t="str">
        <f>IFERROR(VLOOKUP(Tabla2[[#This Row],[CODIGO]],Tabla1[],6,0),"")</f>
        <v>UNI</v>
      </c>
      <c r="H770" s="26">
        <f>IFERROR(VLOOKUP(Tabla2[[#This Row],[CODIGO]],Tabla1[],10,0),"")</f>
        <v>28</v>
      </c>
      <c r="I770" s="7">
        <v>-2</v>
      </c>
      <c r="J770" s="29" t="s">
        <v>350</v>
      </c>
      <c r="K770" s="26" t="str">
        <f>IFERROR(VLOOKUP(Tabla2[[#This Row],[CODIGO]],Tabla1[],11,0),"")</f>
        <v>COMPRA</v>
      </c>
      <c r="L770" s="67" t="s">
        <v>236</v>
      </c>
      <c r="M770" s="67" t="s">
        <v>262</v>
      </c>
      <c r="N770" s="70"/>
      <c r="O770" s="70">
        <f>Tabla2[[#This Row],[CANTIDAD]]*Tabla2[[#This Row],[PREC. UNITARIO]]</f>
        <v>0</v>
      </c>
      <c r="R770" t="str">
        <f>Tabla2[[#This Row],[QUIEN RECIBE]]&amp;"-"&amp;TEXT(Tabla2[[#This Row],[FECHA]],"dd/mm/yyyy")</f>
        <v>CHACON ORTIZ, JOSE ANTONIO-16/10/2025</v>
      </c>
    </row>
    <row r="771" spans="2:18" ht="20.45" hidden="1" customHeight="1" x14ac:dyDescent="0.25">
      <c r="B771" s="5">
        <v>45946</v>
      </c>
      <c r="C771" s="2" t="str">
        <f>IFERROR(_xlfn.XLOOKUP(Tabla2[[#This Row],[PRODUCTO]],Tabla1[PRODUCTO],Tabla1[CODIGO]),"")</f>
        <v>UE-58</v>
      </c>
      <c r="D771" s="31" t="s">
        <v>421</v>
      </c>
      <c r="E771" s="31" t="str">
        <f>IFERROR(VLOOKUP(Tabla2[[#This Row],[CODIGO]],Tabla1[],3,0),"")</f>
        <v>UTILES DE ESCRITORIO</v>
      </c>
      <c r="F771" s="28" t="str">
        <f>IFERROR(VLOOKUP(Tabla2[[#This Row],[CODIGO]],Tabla1[],5,0),"")</f>
        <v>ALMACEN TICAPAMPA</v>
      </c>
      <c r="G771" s="26" t="str">
        <f>IFERROR(VLOOKUP(Tabla2[[#This Row],[CODIGO]],Tabla1[],6,0),"")</f>
        <v>UNI</v>
      </c>
      <c r="H771" s="26">
        <f>IFERROR(VLOOKUP(Tabla2[[#This Row],[CODIGO]],Tabla1[],10,0),"")</f>
        <v>28</v>
      </c>
      <c r="I771" s="7">
        <v>-2</v>
      </c>
      <c r="J771" s="29" t="s">
        <v>350</v>
      </c>
      <c r="K771" s="26" t="str">
        <f>IFERROR(VLOOKUP(Tabla2[[#This Row],[CODIGO]],Tabla1[],11,0),"")</f>
        <v>COMPRA</v>
      </c>
      <c r="L771" s="67" t="s">
        <v>236</v>
      </c>
      <c r="M771" s="67" t="s">
        <v>450</v>
      </c>
      <c r="N771" s="70"/>
      <c r="O771" s="70">
        <f>Tabla2[[#This Row],[CANTIDAD]]*Tabla2[[#This Row],[PREC. UNITARIO]]</f>
        <v>0</v>
      </c>
      <c r="R771" t="str">
        <f>Tabla2[[#This Row],[QUIEN RECIBE]]&amp;"-"&amp;TEXT(Tabla2[[#This Row],[FECHA]],"dd/mm/yyyy")</f>
        <v>MAQUERA QUISPE, LEONIDAS EDWIN-16/10/2025</v>
      </c>
    </row>
    <row r="772" spans="2:18" ht="20.45" hidden="1" customHeight="1" x14ac:dyDescent="0.25">
      <c r="B772" s="5">
        <v>45946</v>
      </c>
      <c r="C772" s="2" t="str">
        <f>IFERROR(_xlfn.XLOOKUP(Tabla2[[#This Row],[PRODUCTO]],Tabla1[PRODUCTO],Tabla1[CODIGO]),"")</f>
        <v>IS-57</v>
      </c>
      <c r="D772" s="31" t="s">
        <v>538</v>
      </c>
      <c r="E772" s="31" t="str">
        <f>IFERROR(VLOOKUP(Tabla2[[#This Row],[CODIGO]],Tabla1[],3,0),"")</f>
        <v>IMPLEMENTOS DE SEGURIDAD</v>
      </c>
      <c r="F772" s="28" t="str">
        <f>IFERROR(VLOOKUP(Tabla2[[#This Row],[CODIGO]],Tabla1[],5,0),"")</f>
        <v>ALMACEN TICAPAMPA</v>
      </c>
      <c r="G772" s="26" t="str">
        <f>IFERROR(VLOOKUP(Tabla2[[#This Row],[CODIGO]],Tabla1[],6,0),"")</f>
        <v>UNI</v>
      </c>
      <c r="H772" s="26">
        <f>IFERROR(VLOOKUP(Tabla2[[#This Row],[CODIGO]],Tabla1[],10,0),"")</f>
        <v>70</v>
      </c>
      <c r="I772" s="7">
        <v>-1</v>
      </c>
      <c r="J772" s="29" t="s">
        <v>321</v>
      </c>
      <c r="K772" s="26" t="str">
        <f>IFERROR(VLOOKUP(Tabla2[[#This Row],[CODIGO]],Tabla1[],11,0),"")</f>
        <v>COMPRA</v>
      </c>
      <c r="L772" s="67" t="s">
        <v>236</v>
      </c>
      <c r="M772" s="67" t="s">
        <v>303</v>
      </c>
      <c r="N772" s="70"/>
      <c r="O772" s="70">
        <f>Tabla2[[#This Row],[CANTIDAD]]*Tabla2[[#This Row],[PREC. UNITARIO]]</f>
        <v>0</v>
      </c>
      <c r="R772" t="str">
        <f>Tabla2[[#This Row],[QUIEN RECIBE]]&amp;"-"&amp;TEXT(Tabla2[[#This Row],[FECHA]],"dd/mm/yyyy")</f>
        <v>APASTEGUI GRANDEZ, LUIS ALFREDO -16/10/2025</v>
      </c>
    </row>
    <row r="773" spans="2:18" ht="20.45" hidden="1" customHeight="1" x14ac:dyDescent="0.25">
      <c r="B773" s="5">
        <v>45946</v>
      </c>
      <c r="C773" s="2" t="str">
        <f>IFERROR(_xlfn.XLOOKUP(Tabla2[[#This Row],[PRODUCTO]],Tabla1[PRODUCTO],Tabla1[CODIGO]),"")</f>
        <v>IS-57</v>
      </c>
      <c r="D773" s="31" t="s">
        <v>538</v>
      </c>
      <c r="E773" s="31" t="str">
        <f>IFERROR(VLOOKUP(Tabla2[[#This Row],[CODIGO]],Tabla1[],3,0),"")</f>
        <v>IMPLEMENTOS DE SEGURIDAD</v>
      </c>
      <c r="F773" s="28" t="str">
        <f>IFERROR(VLOOKUP(Tabla2[[#This Row],[CODIGO]],Tabla1[],5,0),"")</f>
        <v>ALMACEN TICAPAMPA</v>
      </c>
      <c r="G773" s="26" t="str">
        <f>IFERROR(VLOOKUP(Tabla2[[#This Row],[CODIGO]],Tabla1[],6,0),"")</f>
        <v>UNI</v>
      </c>
      <c r="H773" s="26">
        <f>IFERROR(VLOOKUP(Tabla2[[#This Row],[CODIGO]],Tabla1[],10,0),"")</f>
        <v>70</v>
      </c>
      <c r="I773" s="7">
        <v>-1</v>
      </c>
      <c r="J773" s="29" t="s">
        <v>321</v>
      </c>
      <c r="K773" s="26" t="str">
        <f>IFERROR(VLOOKUP(Tabla2[[#This Row],[CODIGO]],Tabla1[],11,0),"")</f>
        <v>COMPRA</v>
      </c>
      <c r="L773" s="67" t="s">
        <v>236</v>
      </c>
      <c r="M773" s="67" t="s">
        <v>508</v>
      </c>
      <c r="N773" s="70"/>
      <c r="O773" s="70">
        <f>Tabla2[[#This Row],[CANTIDAD]]*Tabla2[[#This Row],[PREC. UNITARIO]]</f>
        <v>0</v>
      </c>
      <c r="R773" t="str">
        <f>Tabla2[[#This Row],[QUIEN RECIBE]]&amp;"-"&amp;TEXT(Tabla2[[#This Row],[FECHA]],"dd/mm/yyyy")</f>
        <v>MOGROVEJO FALCON, OSMAR ADOLFO-16/10/2025</v>
      </c>
    </row>
    <row r="774" spans="2:18" ht="20.45" hidden="1" customHeight="1" x14ac:dyDescent="0.25">
      <c r="B774" s="5">
        <v>45946</v>
      </c>
      <c r="C774" s="2" t="str">
        <f>IFERROR(_xlfn.XLOOKUP(Tabla2[[#This Row],[PRODUCTO]],Tabla1[PRODUCTO],Tabla1[CODIGO]),"")</f>
        <v>IS-50</v>
      </c>
      <c r="D774" s="31" t="s">
        <v>522</v>
      </c>
      <c r="E774" s="31" t="str">
        <f>IFERROR(VLOOKUP(Tabla2[[#This Row],[CODIGO]],Tabla1[],3,0),"")</f>
        <v>IMPLEMENTOS DE SEGURIDAD</v>
      </c>
      <c r="F774" s="28" t="str">
        <f>IFERROR(VLOOKUP(Tabla2[[#This Row],[CODIGO]],Tabla1[],5,0),"")</f>
        <v>ALMACEN TICAPAMPA</v>
      </c>
      <c r="G774" s="26" t="str">
        <f>IFERROR(VLOOKUP(Tabla2[[#This Row],[CODIGO]],Tabla1[],6,0),"")</f>
        <v>UNI</v>
      </c>
      <c r="H774" s="26">
        <f>IFERROR(VLOOKUP(Tabla2[[#This Row],[CODIGO]],Tabla1[],10,0),"")</f>
        <v>7</v>
      </c>
      <c r="I774" s="7">
        <v>-3</v>
      </c>
      <c r="J774" s="29" t="s">
        <v>557</v>
      </c>
      <c r="K774" s="26" t="str">
        <f>IFERROR(VLOOKUP(Tabla2[[#This Row],[CODIGO]],Tabla1[],11,0),"")</f>
        <v>COMPRA</v>
      </c>
      <c r="L774" s="67" t="s">
        <v>236</v>
      </c>
      <c r="M774" s="67" t="s">
        <v>508</v>
      </c>
      <c r="N774" s="70"/>
      <c r="O774" s="70">
        <f>Tabla2[[#This Row],[CANTIDAD]]*Tabla2[[#This Row],[PREC. UNITARIO]]</f>
        <v>0</v>
      </c>
      <c r="R774" t="str">
        <f>Tabla2[[#This Row],[QUIEN RECIBE]]&amp;"-"&amp;TEXT(Tabla2[[#This Row],[FECHA]],"dd/mm/yyyy")</f>
        <v>MOGROVEJO FALCON, OSMAR ADOLFO-16/10/2025</v>
      </c>
    </row>
    <row r="775" spans="2:18" ht="20.45" hidden="1" customHeight="1" x14ac:dyDescent="0.25">
      <c r="B775" s="5">
        <v>45946</v>
      </c>
      <c r="C775" s="2" t="str">
        <f>IFERROR(_xlfn.XLOOKUP(Tabla2[[#This Row],[PRODUCTO]],Tabla1[PRODUCTO],Tabla1[CODIGO]),"")</f>
        <v>AGU-1</v>
      </c>
      <c r="D775" s="31" t="s">
        <v>357</v>
      </c>
      <c r="E775" s="31" t="str">
        <f>IFERROR(VLOOKUP(Tabla2[[#This Row],[CODIGO]],Tabla1[],3,0),"")</f>
        <v>AGUA</v>
      </c>
      <c r="F775" s="28" t="str">
        <f>IFERROR(VLOOKUP(Tabla2[[#This Row],[CODIGO]],Tabla1[],5,0),"")</f>
        <v>ALMACEN TICAPAMPA</v>
      </c>
      <c r="G775" s="26" t="str">
        <f>IFERROR(VLOOKUP(Tabla2[[#This Row],[CODIGO]],Tabla1[],6,0),"")</f>
        <v>UNI</v>
      </c>
      <c r="H775" s="26">
        <f>IFERROR(VLOOKUP(Tabla2[[#This Row],[CODIGO]],Tabla1[],10,0),"")</f>
        <v>9</v>
      </c>
      <c r="I775" s="7">
        <v>-1</v>
      </c>
      <c r="J775" s="29" t="s">
        <v>558</v>
      </c>
      <c r="K775" s="26" t="str">
        <f>IFERROR(VLOOKUP(Tabla2[[#This Row],[CODIGO]],Tabla1[],11,0),"")</f>
        <v>COMPRA</v>
      </c>
      <c r="L775" s="67" t="s">
        <v>236</v>
      </c>
      <c r="M775" s="67" t="s">
        <v>244</v>
      </c>
      <c r="N775" s="70">
        <v>8</v>
      </c>
      <c r="O775" s="70">
        <f>Tabla2[[#This Row],[CANTIDAD]]*Tabla2[[#This Row],[PREC. UNITARIO]]</f>
        <v>-8</v>
      </c>
      <c r="R775" t="str">
        <f>Tabla2[[#This Row],[QUIEN RECIBE]]&amp;"-"&amp;TEXT(Tabla2[[#This Row],[FECHA]],"dd/mm/yyyy")</f>
        <v>CORDOVA ANGULO, JUAN-16/10/2025</v>
      </c>
    </row>
    <row r="776" spans="2:18" ht="20.45" hidden="1" customHeight="1" x14ac:dyDescent="0.25">
      <c r="B776" s="5">
        <v>45947</v>
      </c>
      <c r="C776" s="2" t="str">
        <f>IFERROR(_xlfn.XLOOKUP(Tabla2[[#This Row],[PRODUCTO]],Tabla1[PRODUCTO],Tabla1[CODIGO]),"")</f>
        <v>HM-19</v>
      </c>
      <c r="D776" s="31" t="s">
        <v>385</v>
      </c>
      <c r="E776" s="31" t="str">
        <f>IFERROR(VLOOKUP(Tabla2[[#This Row],[CODIGO]],Tabla1[],3,0),"")</f>
        <v>HERRAMIENTAS</v>
      </c>
      <c r="F776" s="28" t="str">
        <f>IFERROR(VLOOKUP(Tabla2[[#This Row],[CODIGO]],Tabla1[],5,0),"")</f>
        <v>ALMACEN TICAPAMPA</v>
      </c>
      <c r="G776" s="26" t="str">
        <f>IFERROR(VLOOKUP(Tabla2[[#This Row],[CODIGO]],Tabla1[],6,0),"")</f>
        <v>UNI</v>
      </c>
      <c r="H776" s="26">
        <f>IFERROR(VLOOKUP(Tabla2[[#This Row],[CODIGO]],Tabla1[],10,0),"")</f>
        <v>1</v>
      </c>
      <c r="I776" s="7">
        <v>-2</v>
      </c>
      <c r="J776" s="29" t="s">
        <v>350</v>
      </c>
      <c r="K776" s="26" t="str">
        <f>IFERROR(VLOOKUP(Tabla2[[#This Row],[CODIGO]],Tabla1[],11,0),"")</f>
        <v>COMPRA</v>
      </c>
      <c r="L776" s="67" t="s">
        <v>472</v>
      </c>
      <c r="M776" s="67" t="s">
        <v>493</v>
      </c>
      <c r="N776" s="70"/>
      <c r="O776" s="70">
        <f>Tabla2[[#This Row],[CANTIDAD]]*Tabla2[[#This Row],[PREC. UNITARIO]]</f>
        <v>0</v>
      </c>
      <c r="R776" t="str">
        <f>Tabla2[[#This Row],[QUIEN RECIBE]]&amp;"-"&amp;TEXT(Tabla2[[#This Row],[FECHA]],"dd/mm/yyyy")</f>
        <v>TACANAHUI CALISAYA, NESTOR-17/10/2025</v>
      </c>
    </row>
    <row r="777" spans="2:18" ht="20.45" hidden="1" customHeight="1" x14ac:dyDescent="0.25">
      <c r="B777" s="5">
        <v>45947</v>
      </c>
      <c r="C777" s="2" t="str">
        <f>IFERROR(_xlfn.XLOOKUP(Tabla2[[#This Row],[PRODUCTO]],Tabla1[PRODUCTO],Tabla1[CODIGO]),"")</f>
        <v>HM-17</v>
      </c>
      <c r="D777" s="31" t="s">
        <v>377</v>
      </c>
      <c r="E777" s="31" t="str">
        <f>IFERROR(VLOOKUP(Tabla2[[#This Row],[CODIGO]],Tabla1[],3,0),"")</f>
        <v>HERRAMIENTAS</v>
      </c>
      <c r="F777" s="28" t="str">
        <f>IFERROR(VLOOKUP(Tabla2[[#This Row],[CODIGO]],Tabla1[],5,0),"")</f>
        <v>ALMACEN TICAPAMPA</v>
      </c>
      <c r="G777" s="26" t="str">
        <f>IFERROR(VLOOKUP(Tabla2[[#This Row],[CODIGO]],Tabla1[],6,0),"")</f>
        <v>UNI</v>
      </c>
      <c r="H777" s="26">
        <f>IFERROR(VLOOKUP(Tabla2[[#This Row],[CODIGO]],Tabla1[],10,0),"")</f>
        <v>6</v>
      </c>
      <c r="I777" s="7">
        <v>-1</v>
      </c>
      <c r="J777" s="29" t="s">
        <v>350</v>
      </c>
      <c r="K777" s="26" t="str">
        <f>IFERROR(VLOOKUP(Tabla2[[#This Row],[CODIGO]],Tabla1[],11,0),"")</f>
        <v>COMPRA</v>
      </c>
      <c r="L777" s="67" t="s">
        <v>472</v>
      </c>
      <c r="M777" s="67" t="s">
        <v>242</v>
      </c>
      <c r="N777" s="70"/>
      <c r="O777" s="70">
        <f>Tabla2[[#This Row],[CANTIDAD]]*Tabla2[[#This Row],[PREC. UNITARIO]]</f>
        <v>0</v>
      </c>
      <c r="R777" t="str">
        <f>Tabla2[[#This Row],[QUIEN RECIBE]]&amp;"-"&amp;TEXT(Tabla2[[#This Row],[FECHA]],"dd/mm/yyyy")</f>
        <v>MAYTAHUARI ACOSTA, SAMMER AXEL-17/10/2025</v>
      </c>
    </row>
    <row r="778" spans="2:18" ht="20.45" hidden="1" customHeight="1" x14ac:dyDescent="0.25">
      <c r="B778" s="5">
        <v>45947</v>
      </c>
      <c r="C778" s="2" t="str">
        <f>IFERROR(_xlfn.XLOOKUP(Tabla2[[#This Row],[PRODUCTO]],Tabla1[PRODUCTO],Tabla1[CODIGO]),"")</f>
        <v>IS-57</v>
      </c>
      <c r="D778" s="31" t="s">
        <v>538</v>
      </c>
      <c r="E778" s="31" t="str">
        <f>IFERROR(VLOOKUP(Tabla2[[#This Row],[CODIGO]],Tabla1[],3,0),"")</f>
        <v>IMPLEMENTOS DE SEGURIDAD</v>
      </c>
      <c r="F778" s="28" t="str">
        <f>IFERROR(VLOOKUP(Tabla2[[#This Row],[CODIGO]],Tabla1[],5,0),"")</f>
        <v>ALMACEN TICAPAMPA</v>
      </c>
      <c r="G778" s="26" t="str">
        <f>IFERROR(VLOOKUP(Tabla2[[#This Row],[CODIGO]],Tabla1[],6,0),"")</f>
        <v>UNI</v>
      </c>
      <c r="H778" s="26">
        <f>IFERROR(VLOOKUP(Tabla2[[#This Row],[CODIGO]],Tabla1[],10,0),"")</f>
        <v>70</v>
      </c>
      <c r="I778" s="7">
        <v>-1</v>
      </c>
      <c r="J778" s="29" t="s">
        <v>350</v>
      </c>
      <c r="K778" s="26" t="str">
        <f>IFERROR(VLOOKUP(Tabla2[[#This Row],[CODIGO]],Tabla1[],11,0),"")</f>
        <v>COMPRA</v>
      </c>
      <c r="L778" s="67" t="s">
        <v>472</v>
      </c>
      <c r="M778" s="67" t="s">
        <v>492</v>
      </c>
      <c r="N778" s="70"/>
      <c r="O778" s="70">
        <f>Tabla2[[#This Row],[CANTIDAD]]*Tabla2[[#This Row],[PREC. UNITARIO]]</f>
        <v>0</v>
      </c>
      <c r="R778" t="str">
        <f>Tabla2[[#This Row],[QUIEN RECIBE]]&amp;"-"&amp;TEXT(Tabla2[[#This Row],[FECHA]],"dd/mm/yyyy")</f>
        <v>GUTARATE SABINO, RONEL-17/10/2025</v>
      </c>
    </row>
    <row r="779" spans="2:18" ht="20.45" hidden="1" customHeight="1" x14ac:dyDescent="0.25">
      <c r="B779" s="5">
        <v>45947</v>
      </c>
      <c r="C779" s="2" t="str">
        <f>IFERROR(_xlfn.XLOOKUP(Tabla2[[#This Row],[PRODUCTO]],Tabla1[PRODUCTO],Tabla1[CODIGO]),"")</f>
        <v>IS-57</v>
      </c>
      <c r="D779" s="31" t="s">
        <v>538</v>
      </c>
      <c r="E779" s="31" t="str">
        <f>IFERROR(VLOOKUP(Tabla2[[#This Row],[CODIGO]],Tabla1[],3,0),"")</f>
        <v>IMPLEMENTOS DE SEGURIDAD</v>
      </c>
      <c r="F779" s="28" t="str">
        <f>IFERROR(VLOOKUP(Tabla2[[#This Row],[CODIGO]],Tabla1[],5,0),"")</f>
        <v>ALMACEN TICAPAMPA</v>
      </c>
      <c r="G779" s="26" t="str">
        <f>IFERROR(VLOOKUP(Tabla2[[#This Row],[CODIGO]],Tabla1[],6,0),"")</f>
        <v>UNI</v>
      </c>
      <c r="H779" s="26">
        <f>IFERROR(VLOOKUP(Tabla2[[#This Row],[CODIGO]],Tabla1[],10,0),"")</f>
        <v>70</v>
      </c>
      <c r="I779" s="7">
        <v>-1</v>
      </c>
      <c r="J779" s="29" t="s">
        <v>350</v>
      </c>
      <c r="K779" s="26" t="str">
        <f>IFERROR(VLOOKUP(Tabla2[[#This Row],[CODIGO]],Tabla1[],11,0),"")</f>
        <v>COMPRA</v>
      </c>
      <c r="L779" s="67" t="s">
        <v>472</v>
      </c>
      <c r="M779" s="67" t="s">
        <v>242</v>
      </c>
      <c r="N779" s="70"/>
      <c r="O779" s="70">
        <f>Tabla2[[#This Row],[CANTIDAD]]*Tabla2[[#This Row],[PREC. UNITARIO]]</f>
        <v>0</v>
      </c>
      <c r="R779" t="str">
        <f>Tabla2[[#This Row],[QUIEN RECIBE]]&amp;"-"&amp;TEXT(Tabla2[[#This Row],[FECHA]],"dd/mm/yyyy")</f>
        <v>MAYTAHUARI ACOSTA, SAMMER AXEL-17/10/2025</v>
      </c>
    </row>
    <row r="780" spans="2:18" ht="20.45" hidden="1" customHeight="1" x14ac:dyDescent="0.25">
      <c r="B780" s="5">
        <v>45947</v>
      </c>
      <c r="C780" s="2" t="str">
        <f>IFERROR(_xlfn.XLOOKUP(Tabla2[[#This Row],[PRODUCTO]],Tabla1[PRODUCTO],Tabla1[CODIGO]),"")</f>
        <v>IS-55</v>
      </c>
      <c r="D780" s="31" t="s">
        <v>532</v>
      </c>
      <c r="E780" s="31" t="str">
        <f>IFERROR(VLOOKUP(Tabla2[[#This Row],[CODIGO]],Tabla1[],3,0),"")</f>
        <v>IMPLEMENTOS DE SEGURIDAD</v>
      </c>
      <c r="F780" s="28" t="str">
        <f>IFERROR(VLOOKUP(Tabla2[[#This Row],[CODIGO]],Tabla1[],5,0),"")</f>
        <v>ALMACEN TICAPAMPA</v>
      </c>
      <c r="G780" s="26" t="str">
        <f>IFERROR(VLOOKUP(Tabla2[[#This Row],[CODIGO]],Tabla1[],6,0),"")</f>
        <v>UNI</v>
      </c>
      <c r="H780" s="26">
        <f>IFERROR(VLOOKUP(Tabla2[[#This Row],[CODIGO]],Tabla1[],10,0),"")</f>
        <v>3</v>
      </c>
      <c r="I780" s="7">
        <v>-1</v>
      </c>
      <c r="J780" s="29" t="s">
        <v>321</v>
      </c>
      <c r="K780" s="26" t="str">
        <f>IFERROR(VLOOKUP(Tabla2[[#This Row],[CODIGO]],Tabla1[],11,0),"")</f>
        <v>COMPRA</v>
      </c>
      <c r="L780" s="67" t="s">
        <v>472</v>
      </c>
      <c r="M780" s="67" t="s">
        <v>493</v>
      </c>
      <c r="N780" s="70"/>
      <c r="O780" s="70">
        <f>Tabla2[[#This Row],[CANTIDAD]]*Tabla2[[#This Row],[PREC. UNITARIO]]</f>
        <v>0</v>
      </c>
      <c r="R780" t="str">
        <f>Tabla2[[#This Row],[QUIEN RECIBE]]&amp;"-"&amp;TEXT(Tabla2[[#This Row],[FECHA]],"dd/mm/yyyy")</f>
        <v>TACANAHUI CALISAYA, NESTOR-17/10/2025</v>
      </c>
    </row>
    <row r="781" spans="2:18" ht="20.45" hidden="1" customHeight="1" x14ac:dyDescent="0.25">
      <c r="B781" s="5">
        <v>45947</v>
      </c>
      <c r="C781" s="2" t="str">
        <f>IFERROR(_xlfn.XLOOKUP(Tabla2[[#This Row],[PRODUCTO]],Tabla1[PRODUCTO],Tabla1[CODIGO]),"")</f>
        <v>IS-1</v>
      </c>
      <c r="D781" s="31" t="s">
        <v>50</v>
      </c>
      <c r="E781" s="31" t="str">
        <f>IFERROR(VLOOKUP(Tabla2[[#This Row],[CODIGO]],Tabla1[],3,0),"")</f>
        <v>IMPLEMENTOS DE SEGURIDAD</v>
      </c>
      <c r="F781" s="28" t="str">
        <f>IFERROR(VLOOKUP(Tabla2[[#This Row],[CODIGO]],Tabla1[],5,0),"")</f>
        <v>ALMACEN TICAPAMPA</v>
      </c>
      <c r="G781" s="26" t="str">
        <f>IFERROR(VLOOKUP(Tabla2[[#This Row],[CODIGO]],Tabla1[],6,0),"")</f>
        <v>UNI</v>
      </c>
      <c r="H781" s="26">
        <f>IFERROR(VLOOKUP(Tabla2[[#This Row],[CODIGO]],Tabla1[],10,0),"")</f>
        <v>4</v>
      </c>
      <c r="I781" s="7">
        <v>-1</v>
      </c>
      <c r="J781" s="29" t="s">
        <v>321</v>
      </c>
      <c r="K781" s="26" t="str">
        <f>IFERROR(VLOOKUP(Tabla2[[#This Row],[CODIGO]],Tabla1[],11,0),"")</f>
        <v>COMPRA</v>
      </c>
      <c r="L781" s="67" t="s">
        <v>472</v>
      </c>
      <c r="M781" s="67" t="s">
        <v>493</v>
      </c>
      <c r="N781" s="70"/>
      <c r="O781" s="70">
        <f>Tabla2[[#This Row],[CANTIDAD]]*Tabla2[[#This Row],[PREC. UNITARIO]]</f>
        <v>0</v>
      </c>
      <c r="R781" t="str">
        <f>Tabla2[[#This Row],[QUIEN RECIBE]]&amp;"-"&amp;TEXT(Tabla2[[#This Row],[FECHA]],"dd/mm/yyyy")</f>
        <v>TACANAHUI CALISAYA, NESTOR-17/10/2025</v>
      </c>
    </row>
    <row r="782" spans="2:18" ht="20.45" hidden="1" customHeight="1" x14ac:dyDescent="0.25">
      <c r="B782" s="5">
        <v>45945</v>
      </c>
      <c r="C782" s="2" t="str">
        <f>IFERROR(_xlfn.XLOOKUP(Tabla2[[#This Row],[PRODUCTO]],Tabla1[PRODUCTO],Tabla1[CODIGO]),"")</f>
        <v>IS-36</v>
      </c>
      <c r="D782" s="31" t="s">
        <v>300</v>
      </c>
      <c r="E782" s="31" t="str">
        <f>IFERROR(VLOOKUP(Tabla2[[#This Row],[CODIGO]],Tabla1[],3,0),"")</f>
        <v>IMPLEMENTOS DE SEGURIDAD</v>
      </c>
      <c r="F782" s="28" t="str">
        <f>IFERROR(VLOOKUP(Tabla2[[#This Row],[CODIGO]],Tabla1[],5,0),"")</f>
        <v>ALMACEN TICAPAMPA</v>
      </c>
      <c r="G782" s="26" t="str">
        <f>IFERROR(VLOOKUP(Tabla2[[#This Row],[CODIGO]],Tabla1[],6,0),"")</f>
        <v>UNI</v>
      </c>
      <c r="H782" s="26">
        <f>IFERROR(VLOOKUP(Tabla2[[#This Row],[CODIGO]],Tabla1[],10,0),"")</f>
        <v>4</v>
      </c>
      <c r="I782" s="7">
        <v>6</v>
      </c>
      <c r="J782" s="29" t="s">
        <v>559</v>
      </c>
      <c r="K782" s="26" t="str">
        <f>IFERROR(VLOOKUP(Tabla2[[#This Row],[CODIGO]],Tabla1[],11,0),"")</f>
        <v>COMPRA</v>
      </c>
      <c r="L782" s="67" t="s">
        <v>308</v>
      </c>
      <c r="M782" s="67" t="s">
        <v>472</v>
      </c>
      <c r="N782" s="70"/>
      <c r="O782" s="70">
        <f>Tabla2[[#This Row],[CANTIDAD]]*Tabla2[[#This Row],[PREC. UNITARIO]]</f>
        <v>0</v>
      </c>
      <c r="R782" t="str">
        <f>Tabla2[[#This Row],[QUIEN RECIBE]]&amp;"-"&amp;TEXT(Tabla2[[#This Row],[FECHA]],"dd/mm/yyyy")</f>
        <v>ACUACHI LANCHIPA ERNESTO ALONSO-15/10/2025</v>
      </c>
    </row>
    <row r="783" spans="2:18" ht="20.45" hidden="1" customHeight="1" x14ac:dyDescent="0.25">
      <c r="B783" s="5">
        <v>45945</v>
      </c>
      <c r="C783" s="2" t="str">
        <f>IFERROR(_xlfn.XLOOKUP(Tabla2[[#This Row],[PRODUCTO]],Tabla1[PRODUCTO],Tabla1[CODIGO]),"")</f>
        <v>IS-58</v>
      </c>
      <c r="D783" s="31" t="s">
        <v>560</v>
      </c>
      <c r="E783" s="31" t="str">
        <f>IFERROR(VLOOKUP(Tabla2[[#This Row],[CODIGO]],Tabla1[],3,0),"")</f>
        <v>IMPLEMENTOS DE SEGURIDAD</v>
      </c>
      <c r="F783" s="28" t="str">
        <f>IFERROR(VLOOKUP(Tabla2[[#This Row],[CODIGO]],Tabla1[],5,0),"")</f>
        <v>ALMACEN TICAPAMPA</v>
      </c>
      <c r="G783" s="26" t="str">
        <f>IFERROR(VLOOKUP(Tabla2[[#This Row],[CODIGO]],Tabla1[],6,0),"")</f>
        <v>UNI</v>
      </c>
      <c r="H783" s="26">
        <f>IFERROR(VLOOKUP(Tabla2[[#This Row],[CODIGO]],Tabla1[],10,0),"")</f>
        <v>4</v>
      </c>
      <c r="I783" s="7">
        <v>6</v>
      </c>
      <c r="J783" s="29" t="s">
        <v>559</v>
      </c>
      <c r="K783" s="26" t="str">
        <f>IFERROR(VLOOKUP(Tabla2[[#This Row],[CODIGO]],Tabla1[],11,0),"")</f>
        <v>ALMACEN CENTRAL</v>
      </c>
      <c r="L783" s="67" t="s">
        <v>308</v>
      </c>
      <c r="M783" s="67" t="s">
        <v>472</v>
      </c>
      <c r="N783" s="70"/>
      <c r="O783" s="70">
        <f>Tabla2[[#This Row],[CANTIDAD]]*Tabla2[[#This Row],[PREC. UNITARIO]]</f>
        <v>0</v>
      </c>
      <c r="R783" t="str">
        <f>Tabla2[[#This Row],[QUIEN RECIBE]]&amp;"-"&amp;TEXT(Tabla2[[#This Row],[FECHA]],"dd/mm/yyyy")</f>
        <v>ACUACHI LANCHIPA ERNESTO ALONSO-15/10/2025</v>
      </c>
    </row>
    <row r="784" spans="2:18" ht="20.45" hidden="1" customHeight="1" x14ac:dyDescent="0.25">
      <c r="B784" s="5">
        <v>45947</v>
      </c>
      <c r="C784" s="2" t="str">
        <f>IFERROR(_xlfn.XLOOKUP(Tabla2[[#This Row],[PRODUCTO]],Tabla1[PRODUCTO],Tabla1[CODIGO]),"")</f>
        <v>IS-58</v>
      </c>
      <c r="D784" s="31" t="s">
        <v>560</v>
      </c>
      <c r="E784" s="31" t="str">
        <f>IFERROR(VLOOKUP(Tabla2[[#This Row],[CODIGO]],Tabla1[],3,0),"")</f>
        <v>IMPLEMENTOS DE SEGURIDAD</v>
      </c>
      <c r="F784" s="28" t="str">
        <f>IFERROR(VLOOKUP(Tabla2[[#This Row],[CODIGO]],Tabla1[],5,0),"")</f>
        <v>ALMACEN TICAPAMPA</v>
      </c>
      <c r="G784" s="26" t="str">
        <f>IFERROR(VLOOKUP(Tabla2[[#This Row],[CODIGO]],Tabla1[],6,0),"")</f>
        <v>UNI</v>
      </c>
      <c r="H784" s="26">
        <f>IFERROR(VLOOKUP(Tabla2[[#This Row],[CODIGO]],Tabla1[],10,0),"")</f>
        <v>4</v>
      </c>
      <c r="I784" s="7">
        <v>-1</v>
      </c>
      <c r="J784" s="29" t="s">
        <v>319</v>
      </c>
      <c r="K784" s="26" t="str">
        <f>IFERROR(VLOOKUP(Tabla2[[#This Row],[CODIGO]],Tabla1[],11,0),"")</f>
        <v>ALMACEN CENTRAL</v>
      </c>
      <c r="L784" s="67" t="s">
        <v>472</v>
      </c>
      <c r="M784" s="67" t="s">
        <v>493</v>
      </c>
      <c r="N784" s="70"/>
      <c r="O784" s="70">
        <f>Tabla2[[#This Row],[CANTIDAD]]*Tabla2[[#This Row],[PREC. UNITARIO]]</f>
        <v>0</v>
      </c>
      <c r="R784" t="str">
        <f>Tabla2[[#This Row],[QUIEN RECIBE]]&amp;"-"&amp;TEXT(Tabla2[[#This Row],[FECHA]],"dd/mm/yyyy")</f>
        <v>TACANAHUI CALISAYA, NESTOR-17/10/2025</v>
      </c>
    </row>
    <row r="785" spans="2:18" ht="20.45" hidden="1" customHeight="1" x14ac:dyDescent="0.25">
      <c r="B785" s="5">
        <v>45947</v>
      </c>
      <c r="C785" s="2" t="str">
        <f>IFERROR(_xlfn.XLOOKUP(Tabla2[[#This Row],[PRODUCTO]],Tabla1[PRODUCTO],Tabla1[CODIGO]),"")</f>
        <v>UE-58</v>
      </c>
      <c r="D785" s="31" t="s">
        <v>421</v>
      </c>
      <c r="E785" s="31" t="str">
        <f>IFERROR(VLOOKUP(Tabla2[[#This Row],[CODIGO]],Tabla1[],3,0),"")</f>
        <v>UTILES DE ESCRITORIO</v>
      </c>
      <c r="F785" s="28" t="str">
        <f>IFERROR(VLOOKUP(Tabla2[[#This Row],[CODIGO]],Tabla1[],5,0),"")</f>
        <v>ALMACEN TICAPAMPA</v>
      </c>
      <c r="G785" s="26" t="str">
        <f>IFERROR(VLOOKUP(Tabla2[[#This Row],[CODIGO]],Tabla1[],6,0),"")</f>
        <v>UNI</v>
      </c>
      <c r="H785" s="26">
        <f>IFERROR(VLOOKUP(Tabla2[[#This Row],[CODIGO]],Tabla1[],10,0),"")</f>
        <v>28</v>
      </c>
      <c r="I785" s="7">
        <v>-1</v>
      </c>
      <c r="J785" s="29" t="s">
        <v>429</v>
      </c>
      <c r="K785" s="26" t="str">
        <f>IFERROR(VLOOKUP(Tabla2[[#This Row],[CODIGO]],Tabla1[],11,0),"")</f>
        <v>COMPRA</v>
      </c>
      <c r="L785" s="67" t="s">
        <v>472</v>
      </c>
      <c r="M785" s="67" t="s">
        <v>241</v>
      </c>
      <c r="N785" s="70"/>
      <c r="O785" s="70">
        <f>Tabla2[[#This Row],[CANTIDAD]]*Tabla2[[#This Row],[PREC. UNITARIO]]</f>
        <v>0</v>
      </c>
      <c r="R785" t="str">
        <f>Tabla2[[#This Row],[QUIEN RECIBE]]&amp;"-"&amp;TEXT(Tabla2[[#This Row],[FECHA]],"dd/mm/yyyy")</f>
        <v>PIÑA CHUJANDAMA, KEVIN-17/10/2025</v>
      </c>
    </row>
    <row r="786" spans="2:18" ht="20.45" hidden="1" customHeight="1" x14ac:dyDescent="0.25">
      <c r="B786" s="5">
        <v>45950</v>
      </c>
      <c r="C786" s="2" t="str">
        <f>IFERROR(_xlfn.XLOOKUP(Tabla2[[#This Row],[PRODUCTO]],Tabla1[PRODUCTO],Tabla1[CODIGO]),"")</f>
        <v>IS-57</v>
      </c>
      <c r="D786" s="31" t="s">
        <v>538</v>
      </c>
      <c r="E786" s="31" t="str">
        <f>IFERROR(VLOOKUP(Tabla2[[#This Row],[CODIGO]],Tabla1[],3,0),"")</f>
        <v>IMPLEMENTOS DE SEGURIDAD</v>
      </c>
      <c r="F786" s="28" t="str">
        <f>IFERROR(VLOOKUP(Tabla2[[#This Row],[CODIGO]],Tabla1[],5,0),"")</f>
        <v>ALMACEN TICAPAMPA</v>
      </c>
      <c r="G786" s="26" t="str">
        <f>IFERROR(VLOOKUP(Tabla2[[#This Row],[CODIGO]],Tabla1[],6,0),"")</f>
        <v>UNI</v>
      </c>
      <c r="H786" s="26">
        <f>IFERROR(VLOOKUP(Tabla2[[#This Row],[CODIGO]],Tabla1[],10,0),"")</f>
        <v>70</v>
      </c>
      <c r="I786" s="7">
        <v>-1</v>
      </c>
      <c r="J786" s="29" t="s">
        <v>321</v>
      </c>
      <c r="K786" s="26" t="str">
        <f>IFERROR(VLOOKUP(Tabla2[[#This Row],[CODIGO]],Tabla1[],11,0),"")</f>
        <v>COMPRA</v>
      </c>
      <c r="L786" s="67" t="s">
        <v>236</v>
      </c>
      <c r="M786" s="67" t="s">
        <v>508</v>
      </c>
      <c r="N786" s="70"/>
      <c r="O786" s="70">
        <f>Tabla2[[#This Row],[CANTIDAD]]*Tabla2[[#This Row],[PREC. UNITARIO]]</f>
        <v>0</v>
      </c>
      <c r="R786" t="str">
        <f>Tabla2[[#This Row],[QUIEN RECIBE]]&amp;"-"&amp;TEXT(Tabla2[[#This Row],[FECHA]],"dd/mm/yyyy")</f>
        <v>MOGROVEJO FALCON, OSMAR ADOLFO-20/10/2025</v>
      </c>
    </row>
    <row r="787" spans="2:18" ht="20.45" hidden="1" customHeight="1" x14ac:dyDescent="0.25">
      <c r="B787" s="5">
        <v>45950</v>
      </c>
      <c r="C787" s="2" t="str">
        <f>IFERROR(_xlfn.XLOOKUP(Tabla2[[#This Row],[PRODUCTO]],Tabla1[PRODUCTO],Tabla1[CODIGO]),"")</f>
        <v>IS-57</v>
      </c>
      <c r="D787" s="31" t="s">
        <v>538</v>
      </c>
      <c r="E787" s="31" t="str">
        <f>IFERROR(VLOOKUP(Tabla2[[#This Row],[CODIGO]],Tabla1[],3,0),"")</f>
        <v>IMPLEMENTOS DE SEGURIDAD</v>
      </c>
      <c r="F787" s="28" t="str">
        <f>IFERROR(VLOOKUP(Tabla2[[#This Row],[CODIGO]],Tabla1[],5,0),"")</f>
        <v>ALMACEN TICAPAMPA</v>
      </c>
      <c r="G787" s="26" t="str">
        <f>IFERROR(VLOOKUP(Tabla2[[#This Row],[CODIGO]],Tabla1[],6,0),"")</f>
        <v>UNI</v>
      </c>
      <c r="H787" s="26">
        <f>IFERROR(VLOOKUP(Tabla2[[#This Row],[CODIGO]],Tabla1[],10,0),"")</f>
        <v>70</v>
      </c>
      <c r="I787" s="7">
        <v>-1</v>
      </c>
      <c r="J787" s="29" t="s">
        <v>321</v>
      </c>
      <c r="K787" s="26" t="str">
        <f>IFERROR(VLOOKUP(Tabla2[[#This Row],[CODIGO]],Tabla1[],11,0),"")</f>
        <v>COMPRA</v>
      </c>
      <c r="L787" s="67" t="s">
        <v>236</v>
      </c>
      <c r="M787" s="67" t="s">
        <v>244</v>
      </c>
      <c r="N787" s="70"/>
      <c r="O787" s="70">
        <f>Tabla2[[#This Row],[CANTIDAD]]*Tabla2[[#This Row],[PREC. UNITARIO]]</f>
        <v>0</v>
      </c>
      <c r="R787" t="str">
        <f>Tabla2[[#This Row],[QUIEN RECIBE]]&amp;"-"&amp;TEXT(Tabla2[[#This Row],[FECHA]],"dd/mm/yyyy")</f>
        <v>CORDOVA ANGULO, JUAN-20/10/2025</v>
      </c>
    </row>
    <row r="788" spans="2:18" ht="20.45" hidden="1" customHeight="1" x14ac:dyDescent="0.25">
      <c r="B788" s="5">
        <v>45950</v>
      </c>
      <c r="C788" s="2" t="str">
        <f>IFERROR(_xlfn.XLOOKUP(Tabla2[[#This Row],[PRODUCTO]],Tabla1[PRODUCTO],Tabla1[CODIGO]),"")</f>
        <v>IS-57</v>
      </c>
      <c r="D788" s="31" t="s">
        <v>538</v>
      </c>
      <c r="E788" s="31" t="str">
        <f>IFERROR(VLOOKUP(Tabla2[[#This Row],[CODIGO]],Tabla1[],3,0),"")</f>
        <v>IMPLEMENTOS DE SEGURIDAD</v>
      </c>
      <c r="F788" s="28" t="str">
        <f>IFERROR(VLOOKUP(Tabla2[[#This Row],[CODIGO]],Tabla1[],5,0),"")</f>
        <v>ALMACEN TICAPAMPA</v>
      </c>
      <c r="G788" s="26" t="str">
        <f>IFERROR(VLOOKUP(Tabla2[[#This Row],[CODIGO]],Tabla1[],6,0),"")</f>
        <v>UNI</v>
      </c>
      <c r="H788" s="26">
        <f>IFERROR(VLOOKUP(Tabla2[[#This Row],[CODIGO]],Tabla1[],10,0),"")</f>
        <v>70</v>
      </c>
      <c r="I788" s="7">
        <v>-1</v>
      </c>
      <c r="J788" s="29" t="s">
        <v>321</v>
      </c>
      <c r="K788" s="26" t="str">
        <f>IFERROR(VLOOKUP(Tabla2[[#This Row],[CODIGO]],Tabla1[],11,0),"")</f>
        <v>COMPRA</v>
      </c>
      <c r="L788" s="67" t="s">
        <v>236</v>
      </c>
      <c r="M788" s="67" t="s">
        <v>562</v>
      </c>
      <c r="N788" s="70"/>
      <c r="O788" s="70">
        <f>Tabla2[[#This Row],[CANTIDAD]]*Tabla2[[#This Row],[PREC. UNITARIO]]</f>
        <v>0</v>
      </c>
      <c r="R788" t="str">
        <f>Tabla2[[#This Row],[QUIEN RECIBE]]&amp;"-"&amp;TEXT(Tabla2[[#This Row],[FECHA]],"dd/mm/yyyy")</f>
        <v>MACHUCA NAVARRO, OMAR-20/10/2025</v>
      </c>
    </row>
    <row r="789" spans="2:18" ht="20.45" hidden="1" customHeight="1" x14ac:dyDescent="0.25">
      <c r="B789" s="5">
        <v>45950</v>
      </c>
      <c r="C789" s="2" t="str">
        <f>IFERROR(_xlfn.XLOOKUP(Tabla2[[#This Row],[PRODUCTO]],Tabla1[PRODUCTO],Tabla1[CODIGO]),"")</f>
        <v>IS-21</v>
      </c>
      <c r="D789" s="31" t="s">
        <v>70</v>
      </c>
      <c r="E789" s="31" t="str">
        <f>IFERROR(VLOOKUP(Tabla2[[#This Row],[CODIGO]],Tabla1[],3,0),"")</f>
        <v>IMPLEMENTOS DE SEGURIDAD</v>
      </c>
      <c r="F789" s="28" t="str">
        <f>IFERROR(VLOOKUP(Tabla2[[#This Row],[CODIGO]],Tabla1[],5,0),"")</f>
        <v>ALMACEN TICAPAMPA</v>
      </c>
      <c r="G789" s="26" t="str">
        <f>IFERROR(VLOOKUP(Tabla2[[#This Row],[CODIGO]],Tabla1[],6,0),"")</f>
        <v>UNI</v>
      </c>
      <c r="H789" s="26">
        <f>IFERROR(VLOOKUP(Tabla2[[#This Row],[CODIGO]],Tabla1[],10,0),"")</f>
        <v>13</v>
      </c>
      <c r="I789" s="7">
        <v>-1</v>
      </c>
      <c r="J789" s="29" t="s">
        <v>321</v>
      </c>
      <c r="K789" s="26" t="str">
        <f>IFERROR(VLOOKUP(Tabla2[[#This Row],[CODIGO]],Tabla1[],11,0),"")</f>
        <v>COMPRA</v>
      </c>
      <c r="L789" s="67" t="s">
        <v>236</v>
      </c>
      <c r="M789" s="67" t="s">
        <v>562</v>
      </c>
      <c r="N789" s="70"/>
      <c r="O789" s="70">
        <f>Tabla2[[#This Row],[CANTIDAD]]*Tabla2[[#This Row],[PREC. UNITARIO]]</f>
        <v>0</v>
      </c>
      <c r="R789" t="str">
        <f>Tabla2[[#This Row],[QUIEN RECIBE]]&amp;"-"&amp;TEXT(Tabla2[[#This Row],[FECHA]],"dd/mm/yyyy")</f>
        <v>MACHUCA NAVARRO, OMAR-20/10/2025</v>
      </c>
    </row>
    <row r="790" spans="2:18" ht="20.45" hidden="1" customHeight="1" x14ac:dyDescent="0.25">
      <c r="B790" s="5">
        <v>45950</v>
      </c>
      <c r="C790" s="2" t="str">
        <f>IFERROR(_xlfn.XLOOKUP(Tabla2[[#This Row],[PRODUCTO]],Tabla1[PRODUCTO],Tabla1[CODIGO]),"")</f>
        <v>IS-28</v>
      </c>
      <c r="D790" s="31" t="s">
        <v>79</v>
      </c>
      <c r="E790" s="31" t="str">
        <f>IFERROR(VLOOKUP(Tabla2[[#This Row],[CODIGO]],Tabla1[],3,0),"")</f>
        <v>IMPLEMENTOS DE SEGURIDAD</v>
      </c>
      <c r="F790" s="28" t="str">
        <f>IFERROR(VLOOKUP(Tabla2[[#This Row],[CODIGO]],Tabla1[],5,0),"")</f>
        <v>ALMACEN TICAPAMPA</v>
      </c>
      <c r="G790" s="26" t="str">
        <f>IFERROR(VLOOKUP(Tabla2[[#This Row],[CODIGO]],Tabla1[],6,0),"")</f>
        <v>UNI</v>
      </c>
      <c r="H790" s="26">
        <f>IFERROR(VLOOKUP(Tabla2[[#This Row],[CODIGO]],Tabla1[],10,0),"")</f>
        <v>32</v>
      </c>
      <c r="I790" s="7">
        <v>-1</v>
      </c>
      <c r="J790" s="29" t="s">
        <v>321</v>
      </c>
      <c r="K790" s="26" t="str">
        <f>IFERROR(VLOOKUP(Tabla2[[#This Row],[CODIGO]],Tabla1[],11,0),"")</f>
        <v>COMPRA</v>
      </c>
      <c r="L790" s="67" t="s">
        <v>236</v>
      </c>
      <c r="M790" s="67" t="s">
        <v>562</v>
      </c>
      <c r="N790" s="70"/>
      <c r="O790" s="70">
        <f>Tabla2[[#This Row],[CANTIDAD]]*Tabla2[[#This Row],[PREC. UNITARIO]]</f>
        <v>0</v>
      </c>
      <c r="R790" t="str">
        <f>Tabla2[[#This Row],[QUIEN RECIBE]]&amp;"-"&amp;TEXT(Tabla2[[#This Row],[FECHA]],"dd/mm/yyyy")</f>
        <v>MACHUCA NAVARRO, OMAR-20/10/2025</v>
      </c>
    </row>
    <row r="791" spans="2:18" ht="20.45" hidden="1" customHeight="1" x14ac:dyDescent="0.25">
      <c r="B791" s="5">
        <v>45950</v>
      </c>
      <c r="C791" s="2" t="str">
        <f>IFERROR(_xlfn.XLOOKUP(Tabla2[[#This Row],[PRODUCTO]],Tabla1[PRODUCTO],Tabla1[CODIGO]),"")</f>
        <v>IS-32</v>
      </c>
      <c r="D791" s="31" t="s">
        <v>83</v>
      </c>
      <c r="E791" s="31" t="str">
        <f>IFERROR(VLOOKUP(Tabla2[[#This Row],[CODIGO]],Tabla1[],3,0),"")</f>
        <v>IMPLEMENTOS DE SEGURIDAD</v>
      </c>
      <c r="F791" s="28" t="str">
        <f>IFERROR(VLOOKUP(Tabla2[[#This Row],[CODIGO]],Tabla1[],5,0),"")</f>
        <v>ALMACEN TICAPAMPA</v>
      </c>
      <c r="G791" s="26" t="str">
        <f>IFERROR(VLOOKUP(Tabla2[[#This Row],[CODIGO]],Tabla1[],6,0),"")</f>
        <v>UNI</v>
      </c>
      <c r="H791" s="26">
        <f>IFERROR(VLOOKUP(Tabla2[[#This Row],[CODIGO]],Tabla1[],10,0),"")</f>
        <v>5</v>
      </c>
      <c r="I791" s="7">
        <v>-2</v>
      </c>
      <c r="J791" s="29" t="s">
        <v>321</v>
      </c>
      <c r="K791" s="26" t="str">
        <f>IFERROR(VLOOKUP(Tabla2[[#This Row],[CODIGO]],Tabla1[],11,0),"")</f>
        <v>COMPRA</v>
      </c>
      <c r="L791" s="67" t="s">
        <v>236</v>
      </c>
      <c r="M791" s="67" t="s">
        <v>562</v>
      </c>
      <c r="N791" s="70"/>
      <c r="O791" s="70">
        <f>Tabla2[[#This Row],[CANTIDAD]]*Tabla2[[#This Row],[PREC. UNITARIO]]</f>
        <v>0</v>
      </c>
      <c r="R791" t="str">
        <f>Tabla2[[#This Row],[QUIEN RECIBE]]&amp;"-"&amp;TEXT(Tabla2[[#This Row],[FECHA]],"dd/mm/yyyy")</f>
        <v>MACHUCA NAVARRO, OMAR-20/10/2025</v>
      </c>
    </row>
    <row r="792" spans="2:18" ht="20.45" hidden="1" customHeight="1" x14ac:dyDescent="0.25">
      <c r="B792" s="5">
        <v>45950</v>
      </c>
      <c r="C792" s="2" t="str">
        <f>IFERROR(_xlfn.XLOOKUP(Tabla2[[#This Row],[PRODUCTO]],Tabla1[PRODUCTO],Tabla1[CODIGO]),"")</f>
        <v>IS-1</v>
      </c>
      <c r="D792" s="31" t="s">
        <v>50</v>
      </c>
      <c r="E792" s="31" t="str">
        <f>IFERROR(VLOOKUP(Tabla2[[#This Row],[CODIGO]],Tabla1[],3,0),"")</f>
        <v>IMPLEMENTOS DE SEGURIDAD</v>
      </c>
      <c r="F792" s="28" t="str">
        <f>IFERROR(VLOOKUP(Tabla2[[#This Row],[CODIGO]],Tabla1[],5,0),"")</f>
        <v>ALMACEN TICAPAMPA</v>
      </c>
      <c r="G792" s="26" t="str">
        <f>IFERROR(VLOOKUP(Tabla2[[#This Row],[CODIGO]],Tabla1[],6,0),"")</f>
        <v>UNI</v>
      </c>
      <c r="H792" s="26">
        <f>IFERROR(VLOOKUP(Tabla2[[#This Row],[CODIGO]],Tabla1[],10,0),"")</f>
        <v>4</v>
      </c>
      <c r="I792" s="7">
        <v>-2</v>
      </c>
      <c r="J792" s="29" t="s">
        <v>321</v>
      </c>
      <c r="K792" s="26" t="str">
        <f>IFERROR(VLOOKUP(Tabla2[[#This Row],[CODIGO]],Tabla1[],11,0),"")</f>
        <v>COMPRA</v>
      </c>
      <c r="L792" s="67" t="s">
        <v>236</v>
      </c>
      <c r="M792" s="67" t="s">
        <v>561</v>
      </c>
      <c r="N792" s="70"/>
      <c r="O792" s="70">
        <f>Tabla2[[#This Row],[CANTIDAD]]*Tabla2[[#This Row],[PREC. UNITARIO]]</f>
        <v>0</v>
      </c>
      <c r="R792" t="str">
        <f>Tabla2[[#This Row],[QUIEN RECIBE]]&amp;"-"&amp;TEXT(Tabla2[[#This Row],[FECHA]],"dd/mm/yyyy")</f>
        <v>OLIVA TARAPA, TOMAS-20/10/2025</v>
      </c>
    </row>
    <row r="793" spans="2:18" ht="20.45" hidden="1" customHeight="1" x14ac:dyDescent="0.25">
      <c r="B793" s="5">
        <v>45950</v>
      </c>
      <c r="C793" s="2" t="str">
        <f>IFERROR(_xlfn.XLOOKUP(Tabla2[[#This Row],[PRODUCTO]],Tabla1[PRODUCTO],Tabla1[CODIGO]),"")</f>
        <v>IS-36</v>
      </c>
      <c r="D793" s="31" t="s">
        <v>300</v>
      </c>
      <c r="E793" s="31" t="str">
        <f>IFERROR(VLOOKUP(Tabla2[[#This Row],[CODIGO]],Tabla1[],3,0),"")</f>
        <v>IMPLEMENTOS DE SEGURIDAD</v>
      </c>
      <c r="F793" s="28" t="str">
        <f>IFERROR(VLOOKUP(Tabla2[[#This Row],[CODIGO]],Tabla1[],5,0),"")</f>
        <v>ALMACEN TICAPAMPA</v>
      </c>
      <c r="G793" s="26" t="str">
        <f>IFERROR(VLOOKUP(Tabla2[[#This Row],[CODIGO]],Tabla1[],6,0),"")</f>
        <v>UNI</v>
      </c>
      <c r="H793" s="26">
        <f>IFERROR(VLOOKUP(Tabla2[[#This Row],[CODIGO]],Tabla1[],10,0),"")</f>
        <v>4</v>
      </c>
      <c r="I793" s="7">
        <v>-2</v>
      </c>
      <c r="J793" s="29" t="s">
        <v>321</v>
      </c>
      <c r="K793" s="26" t="str">
        <f>IFERROR(VLOOKUP(Tabla2[[#This Row],[CODIGO]],Tabla1[],11,0),"")</f>
        <v>COMPRA</v>
      </c>
      <c r="L793" s="67" t="s">
        <v>236</v>
      </c>
      <c r="M793" s="67" t="s">
        <v>561</v>
      </c>
      <c r="N793" s="70"/>
      <c r="O793" s="70">
        <f>Tabla2[[#This Row],[CANTIDAD]]*Tabla2[[#This Row],[PREC. UNITARIO]]</f>
        <v>0</v>
      </c>
      <c r="R793" t="str">
        <f>Tabla2[[#This Row],[QUIEN RECIBE]]&amp;"-"&amp;TEXT(Tabla2[[#This Row],[FECHA]],"dd/mm/yyyy")</f>
        <v>OLIVA TARAPA, TOMAS-20/10/2025</v>
      </c>
    </row>
    <row r="794" spans="2:18" ht="20.45" hidden="1" customHeight="1" x14ac:dyDescent="0.25">
      <c r="B794" s="5">
        <v>45950</v>
      </c>
      <c r="C794" s="2" t="str">
        <f>IFERROR(_xlfn.XLOOKUP(Tabla2[[#This Row],[PRODUCTO]],Tabla1[PRODUCTO],Tabla1[CODIGO]),"")</f>
        <v>IS-32</v>
      </c>
      <c r="D794" s="31" t="s">
        <v>83</v>
      </c>
      <c r="E794" s="31" t="str">
        <f>IFERROR(VLOOKUP(Tabla2[[#This Row],[CODIGO]],Tabla1[],3,0),"")</f>
        <v>IMPLEMENTOS DE SEGURIDAD</v>
      </c>
      <c r="F794" s="28" t="str">
        <f>IFERROR(VLOOKUP(Tabla2[[#This Row],[CODIGO]],Tabla1[],5,0),"")</f>
        <v>ALMACEN TICAPAMPA</v>
      </c>
      <c r="G794" s="26" t="str">
        <f>IFERROR(VLOOKUP(Tabla2[[#This Row],[CODIGO]],Tabla1[],6,0),"")</f>
        <v>UNI</v>
      </c>
      <c r="H794" s="26">
        <f>IFERROR(VLOOKUP(Tabla2[[#This Row],[CODIGO]],Tabla1[],10,0),"")</f>
        <v>5</v>
      </c>
      <c r="I794" s="7">
        <v>-2</v>
      </c>
      <c r="J794" s="29" t="s">
        <v>321</v>
      </c>
      <c r="K794" s="26" t="str">
        <f>IFERROR(VLOOKUP(Tabla2[[#This Row],[CODIGO]],Tabla1[],11,0),"")</f>
        <v>COMPRA</v>
      </c>
      <c r="L794" s="67" t="s">
        <v>236</v>
      </c>
      <c r="M794" s="67" t="s">
        <v>561</v>
      </c>
      <c r="N794" s="70"/>
      <c r="O794" s="70">
        <f>Tabla2[[#This Row],[CANTIDAD]]*Tabla2[[#This Row],[PREC. UNITARIO]]</f>
        <v>0</v>
      </c>
      <c r="R794" t="str">
        <f>Tabla2[[#This Row],[QUIEN RECIBE]]&amp;"-"&amp;TEXT(Tabla2[[#This Row],[FECHA]],"dd/mm/yyyy")</f>
        <v>OLIVA TARAPA, TOMAS-20/10/2025</v>
      </c>
    </row>
    <row r="795" spans="2:18" ht="20.45" hidden="1" customHeight="1" x14ac:dyDescent="0.25">
      <c r="B795" s="5">
        <v>45950</v>
      </c>
      <c r="C795" s="2" t="str">
        <f>IFERROR(_xlfn.XLOOKUP(Tabla2[[#This Row],[PRODUCTO]],Tabla1[PRODUCTO],Tabla1[CODIGO]),"")</f>
        <v>IS-21</v>
      </c>
      <c r="D795" s="31" t="s">
        <v>70</v>
      </c>
      <c r="E795" s="31" t="str">
        <f>IFERROR(VLOOKUP(Tabla2[[#This Row],[CODIGO]],Tabla1[],3,0),"")</f>
        <v>IMPLEMENTOS DE SEGURIDAD</v>
      </c>
      <c r="F795" s="28" t="str">
        <f>IFERROR(VLOOKUP(Tabla2[[#This Row],[CODIGO]],Tabla1[],5,0),"")</f>
        <v>ALMACEN TICAPAMPA</v>
      </c>
      <c r="G795" s="26" t="str">
        <f>IFERROR(VLOOKUP(Tabla2[[#This Row],[CODIGO]],Tabla1[],6,0),"")</f>
        <v>UNI</v>
      </c>
      <c r="H795" s="26">
        <f>IFERROR(VLOOKUP(Tabla2[[#This Row],[CODIGO]],Tabla1[],10,0),"")</f>
        <v>13</v>
      </c>
      <c r="I795" s="7">
        <v>-1</v>
      </c>
      <c r="J795" s="29" t="s">
        <v>321</v>
      </c>
      <c r="K795" s="26" t="str">
        <f>IFERROR(VLOOKUP(Tabla2[[#This Row],[CODIGO]],Tabla1[],11,0),"")</f>
        <v>COMPRA</v>
      </c>
      <c r="L795" s="67" t="s">
        <v>236</v>
      </c>
      <c r="M795" s="67" t="s">
        <v>561</v>
      </c>
      <c r="N795" s="70"/>
      <c r="O795" s="70">
        <f>Tabla2[[#This Row],[CANTIDAD]]*Tabla2[[#This Row],[PREC. UNITARIO]]</f>
        <v>0</v>
      </c>
      <c r="R795" t="str">
        <f>Tabla2[[#This Row],[QUIEN RECIBE]]&amp;"-"&amp;TEXT(Tabla2[[#This Row],[FECHA]],"dd/mm/yyyy")</f>
        <v>OLIVA TARAPA, TOMAS-20/10/2025</v>
      </c>
    </row>
    <row r="796" spans="2:18" ht="20.45" hidden="1" customHeight="1" x14ac:dyDescent="0.25">
      <c r="B796" s="5">
        <v>45950</v>
      </c>
      <c r="C796" s="2" t="str">
        <f>IFERROR(_xlfn.XLOOKUP(Tabla2[[#This Row],[PRODUCTO]],Tabla1[PRODUCTO],Tabla1[CODIGO]),"")</f>
        <v>IS-57</v>
      </c>
      <c r="D796" s="31" t="s">
        <v>538</v>
      </c>
      <c r="E796" s="31" t="str">
        <f>IFERROR(VLOOKUP(Tabla2[[#This Row],[CODIGO]],Tabla1[],3,0),"")</f>
        <v>IMPLEMENTOS DE SEGURIDAD</v>
      </c>
      <c r="F796" s="28" t="str">
        <f>IFERROR(VLOOKUP(Tabla2[[#This Row],[CODIGO]],Tabla1[],5,0),"")</f>
        <v>ALMACEN TICAPAMPA</v>
      </c>
      <c r="G796" s="26" t="str">
        <f>IFERROR(VLOOKUP(Tabla2[[#This Row],[CODIGO]],Tabla1[],6,0),"")</f>
        <v>UNI</v>
      </c>
      <c r="H796" s="26">
        <f>IFERROR(VLOOKUP(Tabla2[[#This Row],[CODIGO]],Tabla1[],10,0),"")</f>
        <v>70</v>
      </c>
      <c r="I796" s="7">
        <v>-1</v>
      </c>
      <c r="J796" s="29" t="s">
        <v>321</v>
      </c>
      <c r="K796" s="26" t="str">
        <f>IFERROR(VLOOKUP(Tabla2[[#This Row],[CODIGO]],Tabla1[],11,0),"")</f>
        <v>COMPRA</v>
      </c>
      <c r="L796" s="67" t="s">
        <v>236</v>
      </c>
      <c r="M796" s="67" t="s">
        <v>561</v>
      </c>
      <c r="N796" s="70"/>
      <c r="O796" s="70">
        <f>Tabla2[[#This Row],[CANTIDAD]]*Tabla2[[#This Row],[PREC. UNITARIO]]</f>
        <v>0</v>
      </c>
      <c r="R796" t="str">
        <f>Tabla2[[#This Row],[QUIEN RECIBE]]&amp;"-"&amp;TEXT(Tabla2[[#This Row],[FECHA]],"dd/mm/yyyy")</f>
        <v>OLIVA TARAPA, TOMAS-20/10/2025</v>
      </c>
    </row>
    <row r="797" spans="2:18" ht="20.45" hidden="1" customHeight="1" x14ac:dyDescent="0.25">
      <c r="B797" s="5">
        <v>45950</v>
      </c>
      <c r="C797" s="2" t="str">
        <f>IFERROR(_xlfn.XLOOKUP(Tabla2[[#This Row],[PRODUCTO]],Tabla1[PRODUCTO],Tabla1[CODIGO]),"")</f>
        <v>IS-28</v>
      </c>
      <c r="D797" s="31" t="s">
        <v>79</v>
      </c>
      <c r="E797" s="31" t="str">
        <f>IFERROR(VLOOKUP(Tabla2[[#This Row],[CODIGO]],Tabla1[],3,0),"")</f>
        <v>IMPLEMENTOS DE SEGURIDAD</v>
      </c>
      <c r="F797" s="28" t="str">
        <f>IFERROR(VLOOKUP(Tabla2[[#This Row],[CODIGO]],Tabla1[],5,0),"")</f>
        <v>ALMACEN TICAPAMPA</v>
      </c>
      <c r="G797" s="26" t="str">
        <f>IFERROR(VLOOKUP(Tabla2[[#This Row],[CODIGO]],Tabla1[],6,0),"")</f>
        <v>UNI</v>
      </c>
      <c r="H797" s="26">
        <f>IFERROR(VLOOKUP(Tabla2[[#This Row],[CODIGO]],Tabla1[],10,0),"")</f>
        <v>32</v>
      </c>
      <c r="I797" s="7">
        <v>-1</v>
      </c>
      <c r="J797" s="29" t="s">
        <v>321</v>
      </c>
      <c r="K797" s="26" t="str">
        <f>IFERROR(VLOOKUP(Tabla2[[#This Row],[CODIGO]],Tabla1[],11,0),"")</f>
        <v>COMPRA</v>
      </c>
      <c r="L797" s="67" t="s">
        <v>236</v>
      </c>
      <c r="M797" s="67" t="s">
        <v>561</v>
      </c>
      <c r="N797" s="70"/>
      <c r="O797" s="70">
        <f>Tabla2[[#This Row],[CANTIDAD]]*Tabla2[[#This Row],[PREC. UNITARIO]]</f>
        <v>0</v>
      </c>
      <c r="R797" t="str">
        <f>Tabla2[[#This Row],[QUIEN RECIBE]]&amp;"-"&amp;TEXT(Tabla2[[#This Row],[FECHA]],"dd/mm/yyyy")</f>
        <v>OLIVA TARAPA, TOMAS-20/10/2025</v>
      </c>
    </row>
    <row r="798" spans="2:18" ht="20.45" hidden="1" customHeight="1" x14ac:dyDescent="0.25">
      <c r="B798" s="5">
        <v>45950</v>
      </c>
      <c r="C798" s="2" t="str">
        <f>IFERROR(_xlfn.XLOOKUP(Tabla2[[#This Row],[PRODUCTO]],Tabla1[PRODUCTO],Tabla1[CODIGO]),"")</f>
        <v>IS-56</v>
      </c>
      <c r="D798" s="31" t="s">
        <v>533</v>
      </c>
      <c r="E798" s="31" t="str">
        <f>IFERROR(VLOOKUP(Tabla2[[#This Row],[CODIGO]],Tabla1[],3,0),"")</f>
        <v>IMPLEMENTOS DE SEGURIDAD</v>
      </c>
      <c r="F798" s="28" t="str">
        <f>IFERROR(VLOOKUP(Tabla2[[#This Row],[CODIGO]],Tabla1[],5,0),"")</f>
        <v>ALMACEN TICAPAMPA</v>
      </c>
      <c r="G798" s="26" t="str">
        <f>IFERROR(VLOOKUP(Tabla2[[#This Row],[CODIGO]],Tabla1[],6,0),"")</f>
        <v>UNI</v>
      </c>
      <c r="H798" s="26">
        <f>IFERROR(VLOOKUP(Tabla2[[#This Row],[CODIGO]],Tabla1[],10,0),"")</f>
        <v>2</v>
      </c>
      <c r="I798" s="7">
        <v>-1</v>
      </c>
      <c r="J798" s="29" t="s">
        <v>321</v>
      </c>
      <c r="K798" s="26" t="str">
        <f>IFERROR(VLOOKUP(Tabla2[[#This Row],[CODIGO]],Tabla1[],11,0),"")</f>
        <v>COMPRA</v>
      </c>
      <c r="L798" s="67" t="s">
        <v>236</v>
      </c>
      <c r="M798" s="67" t="s">
        <v>561</v>
      </c>
      <c r="N798" s="70"/>
      <c r="O798" s="70">
        <f>Tabla2[[#This Row],[CANTIDAD]]*Tabla2[[#This Row],[PREC. UNITARIO]]</f>
        <v>0</v>
      </c>
      <c r="R798" t="str">
        <f>Tabla2[[#This Row],[QUIEN RECIBE]]&amp;"-"&amp;TEXT(Tabla2[[#This Row],[FECHA]],"dd/mm/yyyy")</f>
        <v>OLIVA TARAPA, TOMAS-20/10/2025</v>
      </c>
    </row>
    <row r="799" spans="2:18" ht="20.45" hidden="1" customHeight="1" x14ac:dyDescent="0.25">
      <c r="B799" s="5">
        <v>45948</v>
      </c>
      <c r="C799" s="2" t="str">
        <f>IFERROR(_xlfn.XLOOKUP(Tabla2[[#This Row],[PRODUCTO]],Tabla1[PRODUCTO],Tabla1[CODIGO]),"")</f>
        <v>IS-57</v>
      </c>
      <c r="D799" s="31" t="s">
        <v>538</v>
      </c>
      <c r="E799" s="31" t="str">
        <f>IFERROR(VLOOKUP(Tabla2[[#This Row],[CODIGO]],Tabla1[],3,0),"")</f>
        <v>IMPLEMENTOS DE SEGURIDAD</v>
      </c>
      <c r="F799" s="28" t="str">
        <f>IFERROR(VLOOKUP(Tabla2[[#This Row],[CODIGO]],Tabla1[],5,0),"")</f>
        <v>ALMACEN TICAPAMPA</v>
      </c>
      <c r="G799" s="26" t="str">
        <f>IFERROR(VLOOKUP(Tabla2[[#This Row],[CODIGO]],Tabla1[],6,0),"")</f>
        <v>UNI</v>
      </c>
      <c r="H799" s="26">
        <f>IFERROR(VLOOKUP(Tabla2[[#This Row],[CODIGO]],Tabla1[],10,0),"")</f>
        <v>70</v>
      </c>
      <c r="I799" s="7">
        <v>-1</v>
      </c>
      <c r="J799" s="29" t="s">
        <v>321</v>
      </c>
      <c r="K799" s="26" t="str">
        <f>IFERROR(VLOOKUP(Tabla2[[#This Row],[CODIGO]],Tabla1[],11,0),"")</f>
        <v>COMPRA</v>
      </c>
      <c r="L799" s="67" t="s">
        <v>236</v>
      </c>
      <c r="M799" s="67" t="s">
        <v>307</v>
      </c>
      <c r="N799" s="70"/>
      <c r="O799" s="70">
        <f>Tabla2[[#This Row],[CANTIDAD]]*Tabla2[[#This Row],[PREC. UNITARIO]]</f>
        <v>0</v>
      </c>
      <c r="R799" t="str">
        <f>Tabla2[[#This Row],[QUIEN RECIBE]]&amp;"-"&amp;TEXT(Tabla2[[#This Row],[FECHA]],"dd/mm/yyyy")</f>
        <v>CACERES CALACHUA, YEYSON JORGE-18/10/2025</v>
      </c>
    </row>
    <row r="800" spans="2:18" ht="20.45" hidden="1" customHeight="1" x14ac:dyDescent="0.25">
      <c r="B800" s="5">
        <v>45948</v>
      </c>
      <c r="C800" s="2" t="str">
        <f>IFERROR(_xlfn.XLOOKUP(Tabla2[[#This Row],[PRODUCTO]],Tabla1[PRODUCTO],Tabla1[CODIGO]),"")</f>
        <v>IS-57</v>
      </c>
      <c r="D800" s="31" t="s">
        <v>538</v>
      </c>
      <c r="E800" s="31" t="str">
        <f>IFERROR(VLOOKUP(Tabla2[[#This Row],[CODIGO]],Tabla1[],3,0),"")</f>
        <v>IMPLEMENTOS DE SEGURIDAD</v>
      </c>
      <c r="F800" s="28" t="str">
        <f>IFERROR(VLOOKUP(Tabla2[[#This Row],[CODIGO]],Tabla1[],5,0),"")</f>
        <v>ALMACEN TICAPAMPA</v>
      </c>
      <c r="G800" s="26" t="str">
        <f>IFERROR(VLOOKUP(Tabla2[[#This Row],[CODIGO]],Tabla1[],6,0),"")</f>
        <v>UNI</v>
      </c>
      <c r="H800" s="26">
        <f>IFERROR(VLOOKUP(Tabla2[[#This Row],[CODIGO]],Tabla1[],10,0),"")</f>
        <v>70</v>
      </c>
      <c r="I800" s="7">
        <v>-1</v>
      </c>
      <c r="J800" s="29" t="s">
        <v>321</v>
      </c>
      <c r="K800" s="26" t="str">
        <f>IFERROR(VLOOKUP(Tabla2[[#This Row],[CODIGO]],Tabla1[],11,0),"")</f>
        <v>COMPRA</v>
      </c>
      <c r="L800" s="67" t="s">
        <v>236</v>
      </c>
      <c r="M800" s="67" t="s">
        <v>537</v>
      </c>
      <c r="N800" s="70"/>
      <c r="O800" s="70">
        <f>Tabla2[[#This Row],[CANTIDAD]]*Tabla2[[#This Row],[PREC. UNITARIO]]</f>
        <v>0</v>
      </c>
      <c r="R800" t="str">
        <f>Tabla2[[#This Row],[QUIEN RECIBE]]&amp;"-"&amp;TEXT(Tabla2[[#This Row],[FECHA]],"dd/mm/yyyy")</f>
        <v>GAMARRA CONDORI, ANGEL-18/10/2025</v>
      </c>
    </row>
    <row r="801" spans="2:18" ht="20.45" hidden="1" customHeight="1" x14ac:dyDescent="0.25">
      <c r="B801" s="5">
        <v>45947</v>
      </c>
      <c r="C801" s="2" t="str">
        <f>IFERROR(_xlfn.XLOOKUP(Tabla2[[#This Row],[PRODUCTO]],Tabla1[PRODUCTO],Tabla1[CODIGO]),"")</f>
        <v>AGU-1</v>
      </c>
      <c r="D801" s="31" t="s">
        <v>357</v>
      </c>
      <c r="E801" s="31" t="str">
        <f>IFERROR(VLOOKUP(Tabla2[[#This Row],[CODIGO]],Tabla1[],3,0),"")</f>
        <v>AGUA</v>
      </c>
      <c r="F801" s="28" t="str">
        <f>IFERROR(VLOOKUP(Tabla2[[#This Row],[CODIGO]],Tabla1[],5,0),"")</f>
        <v>ALMACEN TICAPAMPA</v>
      </c>
      <c r="G801" s="26" t="str">
        <f>IFERROR(VLOOKUP(Tabla2[[#This Row],[CODIGO]],Tabla1[],6,0),"")</f>
        <v>UNI</v>
      </c>
      <c r="H801" s="26">
        <f>IFERROR(VLOOKUP(Tabla2[[#This Row],[CODIGO]],Tabla1[],10,0),"")</f>
        <v>9</v>
      </c>
      <c r="I801" s="7">
        <v>-1</v>
      </c>
      <c r="J801" s="29" t="s">
        <v>350</v>
      </c>
      <c r="K801" s="26" t="str">
        <f>IFERROR(VLOOKUP(Tabla2[[#This Row],[CODIGO]],Tabla1[],11,0),"")</f>
        <v>COMPRA</v>
      </c>
      <c r="L801" s="67" t="s">
        <v>236</v>
      </c>
      <c r="M801" s="67" t="s">
        <v>240</v>
      </c>
      <c r="N801" s="70">
        <v>8</v>
      </c>
      <c r="O801" s="70">
        <f>Tabla2[[#This Row],[CANTIDAD]]*Tabla2[[#This Row],[PREC. UNITARIO]]</f>
        <v>-8</v>
      </c>
      <c r="R801" t="str">
        <f>Tabla2[[#This Row],[QUIEN RECIBE]]&amp;"-"&amp;TEXT(Tabla2[[#This Row],[FECHA]],"dd/mm/yyyy")</f>
        <v>LOZANO MALDONADO, HERNAN-17/10/2025</v>
      </c>
    </row>
    <row r="802" spans="2:18" ht="20.45" hidden="1" customHeight="1" x14ac:dyDescent="0.25">
      <c r="B802" s="5">
        <v>45948</v>
      </c>
      <c r="C802" s="2" t="str">
        <f>IFERROR(_xlfn.XLOOKUP(Tabla2[[#This Row],[PRODUCTO]],Tabla1[PRODUCTO],Tabla1[CODIGO]),"")</f>
        <v>AGU-1</v>
      </c>
      <c r="D802" s="31" t="s">
        <v>357</v>
      </c>
      <c r="E802" s="31" t="str">
        <f>IFERROR(VLOOKUP(Tabla2[[#This Row],[CODIGO]],Tabla1[],3,0),"")</f>
        <v>AGUA</v>
      </c>
      <c r="F802" s="28" t="str">
        <f>IFERROR(VLOOKUP(Tabla2[[#This Row],[CODIGO]],Tabla1[],5,0),"")</f>
        <v>ALMACEN TICAPAMPA</v>
      </c>
      <c r="G802" s="26" t="str">
        <f>IFERROR(VLOOKUP(Tabla2[[#This Row],[CODIGO]],Tabla1[],6,0),"")</f>
        <v>UNI</v>
      </c>
      <c r="H802" s="26">
        <f>IFERROR(VLOOKUP(Tabla2[[#This Row],[CODIGO]],Tabla1[],10,0),"")</f>
        <v>9</v>
      </c>
      <c r="I802" s="7">
        <v>-1</v>
      </c>
      <c r="J802" s="29" t="s">
        <v>350</v>
      </c>
      <c r="K802" s="26" t="str">
        <f>IFERROR(VLOOKUP(Tabla2[[#This Row],[CODIGO]],Tabla1[],11,0),"")</f>
        <v>COMPRA</v>
      </c>
      <c r="L802" s="67" t="s">
        <v>236</v>
      </c>
      <c r="M802" s="67" t="s">
        <v>244</v>
      </c>
      <c r="N802" s="70">
        <v>8</v>
      </c>
      <c r="O802" s="70">
        <f>Tabla2[[#This Row],[CANTIDAD]]*Tabla2[[#This Row],[PREC. UNITARIO]]</f>
        <v>-8</v>
      </c>
      <c r="R802" t="str">
        <f>Tabla2[[#This Row],[QUIEN RECIBE]]&amp;"-"&amp;TEXT(Tabla2[[#This Row],[FECHA]],"dd/mm/yyyy")</f>
        <v>CORDOVA ANGULO, JUAN-18/10/2025</v>
      </c>
    </row>
    <row r="803" spans="2:18" ht="20.45" hidden="1" customHeight="1" x14ac:dyDescent="0.25">
      <c r="B803" s="5">
        <v>45948</v>
      </c>
      <c r="C803" s="2" t="str">
        <f>IFERROR(_xlfn.XLOOKUP(Tabla2[[#This Row],[PRODUCTO]],Tabla1[PRODUCTO],Tabla1[CODIGO]),"")</f>
        <v>AGU-1</v>
      </c>
      <c r="D803" s="31" t="s">
        <v>357</v>
      </c>
      <c r="E803" s="31" t="str">
        <f>IFERROR(VLOOKUP(Tabla2[[#This Row],[CODIGO]],Tabla1[],3,0),"")</f>
        <v>AGUA</v>
      </c>
      <c r="F803" s="28" t="str">
        <f>IFERROR(VLOOKUP(Tabla2[[#This Row],[CODIGO]],Tabla1[],5,0),"")</f>
        <v>ALMACEN TICAPAMPA</v>
      </c>
      <c r="G803" s="26" t="str">
        <f>IFERROR(VLOOKUP(Tabla2[[#This Row],[CODIGO]],Tabla1[],6,0),"")</f>
        <v>UNI</v>
      </c>
      <c r="H803" s="26">
        <f>IFERROR(VLOOKUP(Tabla2[[#This Row],[CODIGO]],Tabla1[],10,0),"")</f>
        <v>9</v>
      </c>
      <c r="I803" s="7">
        <v>-1</v>
      </c>
      <c r="J803" s="29" t="s">
        <v>563</v>
      </c>
      <c r="K803" s="26" t="str">
        <f>IFERROR(VLOOKUP(Tabla2[[#This Row],[CODIGO]],Tabla1[],11,0),"")</f>
        <v>COMPRA</v>
      </c>
      <c r="L803" s="67" t="s">
        <v>236</v>
      </c>
      <c r="M803" s="67" t="s">
        <v>242</v>
      </c>
      <c r="N803" s="70">
        <v>8</v>
      </c>
      <c r="O803" s="70">
        <f>Tabla2[[#This Row],[CANTIDAD]]*Tabla2[[#This Row],[PREC. UNITARIO]]</f>
        <v>-8</v>
      </c>
      <c r="R803" t="str">
        <f>Tabla2[[#This Row],[QUIEN RECIBE]]&amp;"-"&amp;TEXT(Tabla2[[#This Row],[FECHA]],"dd/mm/yyyy")</f>
        <v>MAYTAHUARI ACOSTA, SAMMER AXEL-18/10/2025</v>
      </c>
    </row>
    <row r="804" spans="2:18" ht="20.45" hidden="1" customHeight="1" x14ac:dyDescent="0.25">
      <c r="B804" s="5">
        <v>45946</v>
      </c>
      <c r="C804" s="2" t="str">
        <f>IFERROR(_xlfn.XLOOKUP(Tabla2[[#This Row],[PRODUCTO]],Tabla1[PRODUCTO],Tabla1[CODIGO]),"")</f>
        <v>AGU-1</v>
      </c>
      <c r="D804" s="31" t="s">
        <v>357</v>
      </c>
      <c r="E804" s="31" t="str">
        <f>IFERROR(VLOOKUP(Tabla2[[#This Row],[CODIGO]],Tabla1[],3,0),"")</f>
        <v>AGUA</v>
      </c>
      <c r="F804" s="28" t="str">
        <f>IFERROR(VLOOKUP(Tabla2[[#This Row],[CODIGO]],Tabla1[],5,0),"")</f>
        <v>ALMACEN TICAPAMPA</v>
      </c>
      <c r="G804" s="26" t="str">
        <f>IFERROR(VLOOKUP(Tabla2[[#This Row],[CODIGO]],Tabla1[],6,0),"")</f>
        <v>UNI</v>
      </c>
      <c r="H804" s="26">
        <f>IFERROR(VLOOKUP(Tabla2[[#This Row],[CODIGO]],Tabla1[],10,0),"")</f>
        <v>9</v>
      </c>
      <c r="I804" s="7">
        <v>-1</v>
      </c>
      <c r="J804" s="29" t="s">
        <v>420</v>
      </c>
      <c r="K804" s="26" t="str">
        <f>IFERROR(VLOOKUP(Tabla2[[#This Row],[CODIGO]],Tabla1[],11,0),"")</f>
        <v>COMPRA</v>
      </c>
      <c r="L804" s="67" t="s">
        <v>236</v>
      </c>
      <c r="M804" s="67" t="s">
        <v>256</v>
      </c>
      <c r="N804" s="70">
        <v>8</v>
      </c>
      <c r="O804" s="70">
        <f>Tabla2[[#This Row],[CANTIDAD]]*Tabla2[[#This Row],[PREC. UNITARIO]]</f>
        <v>-8</v>
      </c>
      <c r="R804" t="str">
        <f>Tabla2[[#This Row],[QUIEN RECIBE]]&amp;"-"&amp;TEXT(Tabla2[[#This Row],[FECHA]],"dd/mm/yyyy")</f>
        <v>SILVA BORDA, ARLETTE NINOSKA-16/10/2025</v>
      </c>
    </row>
    <row r="805" spans="2:18" ht="20.45" hidden="1" customHeight="1" x14ac:dyDescent="0.25">
      <c r="B805" s="5">
        <v>45950</v>
      </c>
      <c r="C805" s="2" t="str">
        <f>IFERROR(_xlfn.XLOOKUP(Tabla2[[#This Row],[PRODUCTO]],Tabla1[PRODUCTO],Tabla1[CODIGO]),"")</f>
        <v>UE-58</v>
      </c>
      <c r="D805" s="31" t="s">
        <v>421</v>
      </c>
      <c r="E805" s="31" t="str">
        <f>IFERROR(VLOOKUP(Tabla2[[#This Row],[CODIGO]],Tabla1[],3,0),"")</f>
        <v>UTILES DE ESCRITORIO</v>
      </c>
      <c r="F805" s="28" t="str">
        <f>IFERROR(VLOOKUP(Tabla2[[#This Row],[CODIGO]],Tabla1[],5,0),"")</f>
        <v>ALMACEN TICAPAMPA</v>
      </c>
      <c r="G805" s="26" t="str">
        <f>IFERROR(VLOOKUP(Tabla2[[#This Row],[CODIGO]],Tabla1[],6,0),"")</f>
        <v>UNI</v>
      </c>
      <c r="H805" s="26">
        <f>IFERROR(VLOOKUP(Tabla2[[#This Row],[CODIGO]],Tabla1[],10,0),"")</f>
        <v>28</v>
      </c>
      <c r="I805" s="7">
        <v>-2</v>
      </c>
      <c r="J805" s="29" t="s">
        <v>350</v>
      </c>
      <c r="K805" s="26" t="str">
        <f>IFERROR(VLOOKUP(Tabla2[[#This Row],[CODIGO]],Tabla1[],11,0),"")</f>
        <v>COMPRA</v>
      </c>
      <c r="L805" s="67" t="s">
        <v>236</v>
      </c>
      <c r="M805" s="67" t="s">
        <v>242</v>
      </c>
      <c r="N805" s="70"/>
      <c r="O805" s="70">
        <f>Tabla2[[#This Row],[CANTIDAD]]*Tabla2[[#This Row],[PREC. UNITARIO]]</f>
        <v>0</v>
      </c>
      <c r="R805" t="str">
        <f>Tabla2[[#This Row],[QUIEN RECIBE]]&amp;"-"&amp;TEXT(Tabla2[[#This Row],[FECHA]],"dd/mm/yyyy")</f>
        <v>MAYTAHUARI ACOSTA, SAMMER AXEL-20/10/2025</v>
      </c>
    </row>
    <row r="806" spans="2:18" ht="20.45" hidden="1" customHeight="1" x14ac:dyDescent="0.25">
      <c r="B806" s="5">
        <v>45950</v>
      </c>
      <c r="C806" s="2" t="str">
        <f>IFERROR(_xlfn.XLOOKUP(Tabla2[[#This Row],[PRODUCTO]],Tabla1[PRODUCTO],Tabla1[CODIGO]),"")</f>
        <v>IS-47</v>
      </c>
      <c r="D806" s="31" t="s">
        <v>501</v>
      </c>
      <c r="E806" s="31" t="str">
        <f>IFERROR(VLOOKUP(Tabla2[[#This Row],[CODIGO]],Tabla1[],3,0),"")</f>
        <v>IMPLEMENTOS DE SEGURIDAD</v>
      </c>
      <c r="F806" s="28" t="str">
        <f>IFERROR(VLOOKUP(Tabla2[[#This Row],[CODIGO]],Tabla1[],5,0),"")</f>
        <v>ALMACEN TICAPAMPA</v>
      </c>
      <c r="G806" s="26" t="str">
        <f>IFERROR(VLOOKUP(Tabla2[[#This Row],[CODIGO]],Tabla1[],6,0),"")</f>
        <v>UNI</v>
      </c>
      <c r="H806" s="26">
        <f>IFERROR(VLOOKUP(Tabla2[[#This Row],[CODIGO]],Tabla1[],10,0),"")</f>
        <v>13</v>
      </c>
      <c r="I806" s="7">
        <v>-1</v>
      </c>
      <c r="J806" s="29" t="s">
        <v>321</v>
      </c>
      <c r="K806" s="26" t="str">
        <f>IFERROR(VLOOKUP(Tabla2[[#This Row],[CODIGO]],Tabla1[],11,0),"")</f>
        <v>COMPRA</v>
      </c>
      <c r="L806" s="67" t="s">
        <v>236</v>
      </c>
      <c r="M806" s="67" t="s">
        <v>562</v>
      </c>
      <c r="N806" s="70"/>
      <c r="O806" s="70">
        <f>Tabla2[[#This Row],[CANTIDAD]]*Tabla2[[#This Row],[PREC. UNITARIO]]</f>
        <v>0</v>
      </c>
      <c r="R806" t="str">
        <f>Tabla2[[#This Row],[QUIEN RECIBE]]&amp;"-"&amp;TEXT(Tabla2[[#This Row],[FECHA]],"dd/mm/yyyy")</f>
        <v>MACHUCA NAVARRO, OMAR-20/10/2025</v>
      </c>
    </row>
    <row r="807" spans="2:18" ht="20.45" hidden="1" customHeight="1" x14ac:dyDescent="0.25">
      <c r="B807" s="5">
        <v>45950</v>
      </c>
      <c r="C807" s="2" t="str">
        <f>IFERROR(_xlfn.XLOOKUP(Tabla2[[#This Row],[PRODUCTO]],Tabla1[PRODUCTO],Tabla1[CODIGO]),"")</f>
        <v>IS-58</v>
      </c>
      <c r="D807" s="31" t="s">
        <v>560</v>
      </c>
      <c r="E807" s="31" t="str">
        <f>IFERROR(VLOOKUP(Tabla2[[#This Row],[CODIGO]],Tabla1[],3,0),"")</f>
        <v>IMPLEMENTOS DE SEGURIDAD</v>
      </c>
      <c r="F807" s="28" t="str">
        <f>IFERROR(VLOOKUP(Tabla2[[#This Row],[CODIGO]],Tabla1[],5,0),"")</f>
        <v>ALMACEN TICAPAMPA</v>
      </c>
      <c r="G807" s="26" t="str">
        <f>IFERROR(VLOOKUP(Tabla2[[#This Row],[CODIGO]],Tabla1[],6,0),"")</f>
        <v>UNI</v>
      </c>
      <c r="H807" s="26">
        <f>IFERROR(VLOOKUP(Tabla2[[#This Row],[CODIGO]],Tabla1[],10,0),"")</f>
        <v>4</v>
      </c>
      <c r="I807" s="7">
        <v>-1</v>
      </c>
      <c r="J807" s="29" t="s">
        <v>321</v>
      </c>
      <c r="K807" s="26" t="str">
        <f>IFERROR(VLOOKUP(Tabla2[[#This Row],[CODIGO]],Tabla1[],11,0),"")</f>
        <v>ALMACEN CENTRAL</v>
      </c>
      <c r="L807" s="67" t="s">
        <v>236</v>
      </c>
      <c r="M807" s="67" t="s">
        <v>262</v>
      </c>
      <c r="N807" s="70"/>
      <c r="O807" s="70">
        <f>Tabla2[[#This Row],[CANTIDAD]]*Tabla2[[#This Row],[PREC. UNITARIO]]</f>
        <v>0</v>
      </c>
      <c r="R807" t="str">
        <f>Tabla2[[#This Row],[QUIEN RECIBE]]&amp;"-"&amp;TEXT(Tabla2[[#This Row],[FECHA]],"dd/mm/yyyy")</f>
        <v>CHACON ORTIZ, JOSE ANTONIO-20/10/2025</v>
      </c>
    </row>
    <row r="808" spans="2:18" ht="20.45" hidden="1" customHeight="1" x14ac:dyDescent="0.25">
      <c r="B808" s="5">
        <v>45950</v>
      </c>
      <c r="C808" s="2" t="str">
        <f>IFERROR(_xlfn.XLOOKUP(Tabla2[[#This Row],[PRODUCTO]],Tabla1[PRODUCTO],Tabla1[CODIGO]),"")</f>
        <v>HM-53</v>
      </c>
      <c r="D808" s="31" t="s">
        <v>506</v>
      </c>
      <c r="E808" s="31" t="str">
        <f>IFERROR(VLOOKUP(Tabla2[[#This Row],[CODIGO]],Tabla1[],3,0),"")</f>
        <v>HERRAMIENTAS</v>
      </c>
      <c r="F808" s="28" t="str">
        <f>IFERROR(VLOOKUP(Tabla2[[#This Row],[CODIGO]],Tabla1[],5,0),"")</f>
        <v>ALMACEN TICAPAMPA</v>
      </c>
      <c r="G808" s="26" t="str">
        <f>IFERROR(VLOOKUP(Tabla2[[#This Row],[CODIGO]],Tabla1[],6,0),"")</f>
        <v>UNI</v>
      </c>
      <c r="H808" s="26">
        <f>IFERROR(VLOOKUP(Tabla2[[#This Row],[CODIGO]],Tabla1[],10,0),"")</f>
        <v>2</v>
      </c>
      <c r="I808" s="7">
        <v>-1</v>
      </c>
      <c r="J808" s="29" t="s">
        <v>386</v>
      </c>
      <c r="K808" s="26" t="str">
        <f>IFERROR(VLOOKUP(Tabla2[[#This Row],[CODIGO]],Tabla1[],11,0),"")</f>
        <v>COMPRA</v>
      </c>
      <c r="L808" s="67" t="s">
        <v>472</v>
      </c>
      <c r="M808" s="67" t="s">
        <v>265</v>
      </c>
      <c r="N808" s="70"/>
      <c r="O808" s="70">
        <f>Tabla2[[#This Row],[CANTIDAD]]*Tabla2[[#This Row],[PREC. UNITARIO]]</f>
        <v>0</v>
      </c>
      <c r="R808" t="str">
        <f>Tabla2[[#This Row],[QUIEN RECIBE]]&amp;"-"&amp;TEXT(Tabla2[[#This Row],[FECHA]],"dd/mm/yyyy")</f>
        <v>ORDOÑEZ CONDORI, GILBERTO -20/10/2025</v>
      </c>
    </row>
    <row r="809" spans="2:18" ht="20.45" hidden="1" customHeight="1" x14ac:dyDescent="0.25">
      <c r="B809" s="5">
        <v>45950</v>
      </c>
      <c r="C809" s="2" t="str">
        <f>IFERROR(_xlfn.XLOOKUP(Tabla2[[#This Row],[PRODUCTO]],Tabla1[PRODUCTO],Tabla1[CODIGO]),"")</f>
        <v>HM-54</v>
      </c>
      <c r="D809" s="31" t="s">
        <v>566</v>
      </c>
      <c r="E809" s="31" t="str">
        <f>IFERROR(VLOOKUP(Tabla2[[#This Row],[CODIGO]],Tabla1[],3,0),"")</f>
        <v>HERRAMIENTAS</v>
      </c>
      <c r="F809" s="28" t="str">
        <f>IFERROR(VLOOKUP(Tabla2[[#This Row],[CODIGO]],Tabla1[],5,0),"")</f>
        <v>ALMACEN TICAPAMPA</v>
      </c>
      <c r="G809" s="26" t="str">
        <f>IFERROR(VLOOKUP(Tabla2[[#This Row],[CODIGO]],Tabla1[],6,0),"")</f>
        <v>UNI</v>
      </c>
      <c r="H809" s="26">
        <f>IFERROR(VLOOKUP(Tabla2[[#This Row],[CODIGO]],Tabla1[],10,0),"")</f>
        <v>0</v>
      </c>
      <c r="I809" s="7">
        <v>1</v>
      </c>
      <c r="J809" s="29" t="s">
        <v>320</v>
      </c>
      <c r="K809" s="26" t="str">
        <f>IFERROR(VLOOKUP(Tabla2[[#This Row],[CODIGO]],Tabla1[],11,0),"")</f>
        <v>COMPRA</v>
      </c>
      <c r="L809" s="67" t="s">
        <v>472</v>
      </c>
      <c r="M809" s="67" t="s">
        <v>236</v>
      </c>
      <c r="N809" s="70">
        <v>20</v>
      </c>
      <c r="O809" s="70">
        <f>Tabla2[[#This Row],[CANTIDAD]]*Tabla2[[#This Row],[PREC. UNITARIO]]</f>
        <v>20</v>
      </c>
      <c r="R809" t="str">
        <f>Tabla2[[#This Row],[QUIEN RECIBE]]&amp;"-"&amp;TEXT(Tabla2[[#This Row],[FECHA]],"dd/mm/yyyy")</f>
        <v>NAVARRO LOZANO, ANGEL JAROL-20/10/2025</v>
      </c>
    </row>
    <row r="810" spans="2:18" ht="20.45" hidden="1" customHeight="1" x14ac:dyDescent="0.25">
      <c r="B810" s="5">
        <v>45950</v>
      </c>
      <c r="C810" s="2" t="str">
        <f>IFERROR(_xlfn.XLOOKUP(Tabla2[[#This Row],[PRODUCTO]],Tabla1[PRODUCTO],Tabla1[CODIGO]),"")</f>
        <v>FER-2</v>
      </c>
      <c r="D810" s="31" t="s">
        <v>564</v>
      </c>
      <c r="E810" s="31" t="str">
        <f>IFERROR(VLOOKUP(Tabla2[[#This Row],[CODIGO]],Tabla1[],3,0),"")</f>
        <v>FERRETERIA</v>
      </c>
      <c r="F810" s="28" t="str">
        <f>IFERROR(VLOOKUP(Tabla2[[#This Row],[CODIGO]],Tabla1[],5,0),"")</f>
        <v>ALMACEN TICAPAMPA</v>
      </c>
      <c r="G810" s="26" t="str">
        <f>IFERROR(VLOOKUP(Tabla2[[#This Row],[CODIGO]],Tabla1[],6,0),"")</f>
        <v>UNI</v>
      </c>
      <c r="H810" s="26">
        <f>IFERROR(VLOOKUP(Tabla2[[#This Row],[CODIGO]],Tabla1[],10,0),"")</f>
        <v>0</v>
      </c>
      <c r="I810" s="7">
        <v>5</v>
      </c>
      <c r="J810" s="29" t="s">
        <v>320</v>
      </c>
      <c r="K810" s="26" t="str">
        <f>IFERROR(VLOOKUP(Tabla2[[#This Row],[CODIGO]],Tabla1[],11,0),"")</f>
        <v>COMPRA</v>
      </c>
      <c r="L810" s="67" t="s">
        <v>472</v>
      </c>
      <c r="M810" s="67" t="s">
        <v>236</v>
      </c>
      <c r="N810" s="70">
        <v>3</v>
      </c>
      <c r="O810" s="70">
        <f>Tabla2[[#This Row],[CANTIDAD]]*Tabla2[[#This Row],[PREC. UNITARIO]]</f>
        <v>15</v>
      </c>
      <c r="R810" t="str">
        <f>Tabla2[[#This Row],[QUIEN RECIBE]]&amp;"-"&amp;TEXT(Tabla2[[#This Row],[FECHA]],"dd/mm/yyyy")</f>
        <v>NAVARRO LOZANO, ANGEL JAROL-20/10/2025</v>
      </c>
    </row>
    <row r="811" spans="2:18" ht="20.45" hidden="1" customHeight="1" x14ac:dyDescent="0.25">
      <c r="B811" s="5">
        <v>45950</v>
      </c>
      <c r="C811" s="2" t="str">
        <f>IFERROR(_xlfn.XLOOKUP(Tabla2[[#This Row],[PRODUCTO]],Tabla1[PRODUCTO],Tabla1[CODIGO]),"")</f>
        <v>UE-74</v>
      </c>
      <c r="D811" s="31" t="s">
        <v>565</v>
      </c>
      <c r="E811" s="31" t="str">
        <f>IFERROR(VLOOKUP(Tabla2[[#This Row],[CODIGO]],Tabla1[],3,0),"")</f>
        <v>UTILES DE ESCRITORIO</v>
      </c>
      <c r="F811" s="28" t="str">
        <f>IFERROR(VLOOKUP(Tabla2[[#This Row],[CODIGO]],Tabla1[],5,0),"")</f>
        <v>ALMACEN TICAPAMPA</v>
      </c>
      <c r="G811" s="26" t="str">
        <f>IFERROR(VLOOKUP(Tabla2[[#This Row],[CODIGO]],Tabla1[],6,0),"")</f>
        <v>UNI</v>
      </c>
      <c r="H811" s="26">
        <f>IFERROR(VLOOKUP(Tabla2[[#This Row],[CODIGO]],Tabla1[],10,0),"")</f>
        <v>1</v>
      </c>
      <c r="I811" s="7">
        <v>2</v>
      </c>
      <c r="J811" s="29" t="s">
        <v>320</v>
      </c>
      <c r="K811" s="26" t="str">
        <f>IFERROR(VLOOKUP(Tabla2[[#This Row],[CODIGO]],Tabla1[],11,0),"")</f>
        <v>COMPRA</v>
      </c>
      <c r="L811" s="67" t="s">
        <v>472</v>
      </c>
      <c r="M811" s="67" t="s">
        <v>236</v>
      </c>
      <c r="N811" s="70">
        <v>2</v>
      </c>
      <c r="O811" s="70">
        <f>Tabla2[[#This Row],[CANTIDAD]]*Tabla2[[#This Row],[PREC. UNITARIO]]</f>
        <v>4</v>
      </c>
      <c r="R811" t="str">
        <f>Tabla2[[#This Row],[QUIEN RECIBE]]&amp;"-"&amp;TEXT(Tabla2[[#This Row],[FECHA]],"dd/mm/yyyy")</f>
        <v>NAVARRO LOZANO, ANGEL JAROL-20/10/2025</v>
      </c>
    </row>
    <row r="812" spans="2:18" ht="20.45" hidden="1" customHeight="1" x14ac:dyDescent="0.25">
      <c r="B812" s="5">
        <v>45950</v>
      </c>
      <c r="C812" s="2" t="str">
        <f>IFERROR(_xlfn.XLOOKUP(Tabla2[[#This Row],[PRODUCTO]],Tabla1[PRODUCTO],Tabla1[CODIGO]),"")</f>
        <v>HM-54</v>
      </c>
      <c r="D812" s="31" t="s">
        <v>566</v>
      </c>
      <c r="E812" s="31" t="str">
        <f>IFERROR(VLOOKUP(Tabla2[[#This Row],[CODIGO]],Tabla1[],3,0),"")</f>
        <v>HERRAMIENTAS</v>
      </c>
      <c r="F812" s="28" t="str">
        <f>IFERROR(VLOOKUP(Tabla2[[#This Row],[CODIGO]],Tabla1[],5,0),"")</f>
        <v>ALMACEN TICAPAMPA</v>
      </c>
      <c r="G812" s="26" t="str">
        <f>IFERROR(VLOOKUP(Tabla2[[#This Row],[CODIGO]],Tabla1[],6,0),"")</f>
        <v>UNI</v>
      </c>
      <c r="H812" s="26">
        <f>IFERROR(VLOOKUP(Tabla2[[#This Row],[CODIGO]],Tabla1[],10,0),"")</f>
        <v>0</v>
      </c>
      <c r="I812" s="7">
        <v>-1</v>
      </c>
      <c r="J812" s="29" t="s">
        <v>386</v>
      </c>
      <c r="K812" s="26" t="str">
        <f>IFERROR(VLOOKUP(Tabla2[[#This Row],[CODIGO]],Tabla1[],11,0),"")</f>
        <v>COMPRA</v>
      </c>
      <c r="L812" s="67" t="s">
        <v>472</v>
      </c>
      <c r="M812" s="67" t="s">
        <v>450</v>
      </c>
      <c r="N812" s="70">
        <v>20</v>
      </c>
      <c r="O812" s="70">
        <f>Tabla2[[#This Row],[CANTIDAD]]*Tabla2[[#This Row],[PREC. UNITARIO]]</f>
        <v>-20</v>
      </c>
      <c r="R812" t="str">
        <f>Tabla2[[#This Row],[QUIEN RECIBE]]&amp;"-"&amp;TEXT(Tabla2[[#This Row],[FECHA]],"dd/mm/yyyy")</f>
        <v>MAQUERA QUISPE, LEONIDAS EDWIN-20/10/2025</v>
      </c>
    </row>
    <row r="813" spans="2:18" ht="20.45" hidden="1" customHeight="1" x14ac:dyDescent="0.25">
      <c r="B813" s="5">
        <v>45950</v>
      </c>
      <c r="C813" s="2" t="str">
        <f>IFERROR(_xlfn.XLOOKUP(Tabla2[[#This Row],[PRODUCTO]],Tabla1[PRODUCTO],Tabla1[CODIGO]),"")</f>
        <v>FER-2</v>
      </c>
      <c r="D813" s="31" t="s">
        <v>564</v>
      </c>
      <c r="E813" s="31" t="str">
        <f>IFERROR(VLOOKUP(Tabla2[[#This Row],[CODIGO]],Tabla1[],3,0),"")</f>
        <v>FERRETERIA</v>
      </c>
      <c r="F813" s="28" t="str">
        <f>IFERROR(VLOOKUP(Tabla2[[#This Row],[CODIGO]],Tabla1[],5,0),"")</f>
        <v>ALMACEN TICAPAMPA</v>
      </c>
      <c r="G813" s="26" t="str">
        <f>IFERROR(VLOOKUP(Tabla2[[#This Row],[CODIGO]],Tabla1[],6,0),"")</f>
        <v>UNI</v>
      </c>
      <c r="H813" s="26">
        <f>IFERROR(VLOOKUP(Tabla2[[#This Row],[CODIGO]],Tabla1[],10,0),"")</f>
        <v>0</v>
      </c>
      <c r="I813" s="7">
        <v>-5</v>
      </c>
      <c r="J813" s="29" t="s">
        <v>386</v>
      </c>
      <c r="K813" s="26" t="str">
        <f>IFERROR(VLOOKUP(Tabla2[[#This Row],[CODIGO]],Tabla1[],11,0),"")</f>
        <v>COMPRA</v>
      </c>
      <c r="L813" s="67" t="s">
        <v>472</v>
      </c>
      <c r="M813" s="67" t="s">
        <v>450</v>
      </c>
      <c r="N813" s="70">
        <v>3</v>
      </c>
      <c r="O813" s="70">
        <f>Tabla2[[#This Row],[CANTIDAD]]*Tabla2[[#This Row],[PREC. UNITARIO]]</f>
        <v>-15</v>
      </c>
      <c r="R813" t="str">
        <f>Tabla2[[#This Row],[QUIEN RECIBE]]&amp;"-"&amp;TEXT(Tabla2[[#This Row],[FECHA]],"dd/mm/yyyy")</f>
        <v>MAQUERA QUISPE, LEONIDAS EDWIN-20/10/2025</v>
      </c>
    </row>
    <row r="814" spans="2:18" ht="20.45" hidden="1" customHeight="1" x14ac:dyDescent="0.25">
      <c r="B814" s="5">
        <v>45950</v>
      </c>
      <c r="C814" s="2" t="str">
        <f>IFERROR(_xlfn.XLOOKUP(Tabla2[[#This Row],[PRODUCTO]],Tabla1[PRODUCTO],Tabla1[CODIGO]),"")</f>
        <v>AGU-1</v>
      </c>
      <c r="D814" s="31" t="s">
        <v>357</v>
      </c>
      <c r="E814" s="31" t="str">
        <f>IFERROR(VLOOKUP(Tabla2[[#This Row],[CODIGO]],Tabla1[],3,0),"")</f>
        <v>AGUA</v>
      </c>
      <c r="F814" s="28" t="str">
        <f>IFERROR(VLOOKUP(Tabla2[[#This Row],[CODIGO]],Tabla1[],5,0),"")</f>
        <v>ALMACEN TICAPAMPA</v>
      </c>
      <c r="G814" s="26" t="str">
        <f>IFERROR(VLOOKUP(Tabla2[[#This Row],[CODIGO]],Tabla1[],6,0),"")</f>
        <v>UNI</v>
      </c>
      <c r="H814" s="26">
        <f>IFERROR(VLOOKUP(Tabla2[[#This Row],[CODIGO]],Tabla1[],10,0),"")</f>
        <v>9</v>
      </c>
      <c r="I814" s="7">
        <v>-1</v>
      </c>
      <c r="J814" s="29" t="s">
        <v>350</v>
      </c>
      <c r="K814" s="26" t="str">
        <f>IFERROR(VLOOKUP(Tabla2[[#This Row],[CODIGO]],Tabla1[],11,0),"")</f>
        <v>COMPRA</v>
      </c>
      <c r="L814" s="67" t="s">
        <v>472</v>
      </c>
      <c r="M814" s="67" t="s">
        <v>244</v>
      </c>
      <c r="N814" s="70">
        <v>8</v>
      </c>
      <c r="O814" s="70">
        <f>Tabla2[[#This Row],[CANTIDAD]]*Tabla2[[#This Row],[PREC. UNITARIO]]</f>
        <v>-8</v>
      </c>
      <c r="R814" t="str">
        <f>Tabla2[[#This Row],[QUIEN RECIBE]]&amp;"-"&amp;TEXT(Tabla2[[#This Row],[FECHA]],"dd/mm/yyyy")</f>
        <v>CORDOVA ANGULO, JUAN-20/10/2025</v>
      </c>
    </row>
    <row r="815" spans="2:18" ht="20.45" hidden="1" customHeight="1" x14ac:dyDescent="0.25">
      <c r="B815" s="5">
        <v>45951</v>
      </c>
      <c r="C815" s="2" t="str">
        <f>IFERROR(_xlfn.XLOOKUP(Tabla2[[#This Row],[PRODUCTO]],Tabla1[PRODUCTO],Tabla1[CODIGO]),"")</f>
        <v>IS-57</v>
      </c>
      <c r="D815" s="31" t="s">
        <v>538</v>
      </c>
      <c r="E815" s="31" t="str">
        <f>IFERROR(VLOOKUP(Tabla2[[#This Row],[CODIGO]],Tabla1[],3,0),"")</f>
        <v>IMPLEMENTOS DE SEGURIDAD</v>
      </c>
      <c r="F815" s="28" t="str">
        <f>IFERROR(VLOOKUP(Tabla2[[#This Row],[CODIGO]],Tabla1[],5,0),"")</f>
        <v>ALMACEN TICAPAMPA</v>
      </c>
      <c r="G815" s="26" t="str">
        <f>IFERROR(VLOOKUP(Tabla2[[#This Row],[CODIGO]],Tabla1[],6,0),"")</f>
        <v>UNI</v>
      </c>
      <c r="H815" s="26">
        <f>IFERROR(VLOOKUP(Tabla2[[#This Row],[CODIGO]],Tabla1[],10,0),"")</f>
        <v>70</v>
      </c>
      <c r="I815" s="7">
        <v>-1</v>
      </c>
      <c r="J815" s="29" t="s">
        <v>321</v>
      </c>
      <c r="K815" s="26" t="str">
        <f>IFERROR(VLOOKUP(Tabla2[[#This Row],[CODIGO]],Tabla1[],11,0),"")</f>
        <v>COMPRA</v>
      </c>
      <c r="L815" s="67" t="s">
        <v>236</v>
      </c>
      <c r="M815" s="67"/>
      <c r="N815" s="70"/>
      <c r="O815" s="70">
        <f>Tabla2[[#This Row],[CANTIDAD]]*Tabla2[[#This Row],[PREC. UNITARIO]]</f>
        <v>0</v>
      </c>
      <c r="R815" t="str">
        <f>Tabla2[[#This Row],[QUIEN RECIBE]]&amp;"-"&amp;TEXT(Tabla2[[#This Row],[FECHA]],"dd/mm/yyyy")</f>
        <v>-21/10/2025</v>
      </c>
    </row>
    <row r="816" spans="2:18" ht="20.45" hidden="1" customHeight="1" x14ac:dyDescent="0.25">
      <c r="B816" s="5">
        <v>45951</v>
      </c>
      <c r="C816" s="2" t="str">
        <f>IFERROR(_xlfn.XLOOKUP(Tabla2[[#This Row],[PRODUCTO]],Tabla1[PRODUCTO],Tabla1[CODIGO]),"")</f>
        <v>IS-33</v>
      </c>
      <c r="D816" s="31" t="s">
        <v>84</v>
      </c>
      <c r="E816" s="31" t="str">
        <f>IFERROR(VLOOKUP(Tabla2[[#This Row],[CODIGO]],Tabla1[],3,0),"")</f>
        <v>IMPLEMENTOS DE SEGURIDAD</v>
      </c>
      <c r="F816" s="28" t="str">
        <f>IFERROR(VLOOKUP(Tabla2[[#This Row],[CODIGO]],Tabla1[],5,0),"")</f>
        <v>ALMACEN TICAPAMPA</v>
      </c>
      <c r="G816" s="26" t="str">
        <f>IFERROR(VLOOKUP(Tabla2[[#This Row],[CODIGO]],Tabla1[],6,0),"")</f>
        <v>UNI</v>
      </c>
      <c r="H816" s="26">
        <f>IFERROR(VLOOKUP(Tabla2[[#This Row],[CODIGO]],Tabla1[],10,0),"")</f>
        <v>1</v>
      </c>
      <c r="I816" s="7">
        <v>-2</v>
      </c>
      <c r="J816" s="29" t="s">
        <v>321</v>
      </c>
      <c r="K816" s="26" t="str">
        <f>IFERROR(VLOOKUP(Tabla2[[#This Row],[CODIGO]],Tabla1[],11,0),"")</f>
        <v>COMPRA</v>
      </c>
      <c r="L816" s="67" t="s">
        <v>236</v>
      </c>
      <c r="M816" s="67"/>
      <c r="N816" s="70"/>
      <c r="O816" s="70">
        <f>Tabla2[[#This Row],[CANTIDAD]]*Tabla2[[#This Row],[PREC. UNITARIO]]</f>
        <v>0</v>
      </c>
      <c r="R816" t="str">
        <f>Tabla2[[#This Row],[QUIEN RECIBE]]&amp;"-"&amp;TEXT(Tabla2[[#This Row],[FECHA]],"dd/mm/yyyy")</f>
        <v>-21/10/2025</v>
      </c>
    </row>
    <row r="817" spans="2:18" ht="20.45" hidden="1" customHeight="1" x14ac:dyDescent="0.25">
      <c r="B817" s="5">
        <v>45951</v>
      </c>
      <c r="C817" s="2" t="str">
        <f>IFERROR(_xlfn.XLOOKUP(Tabla2[[#This Row],[PRODUCTO]],Tabla1[PRODUCTO],Tabla1[CODIGO]),"")</f>
        <v>IS-33</v>
      </c>
      <c r="D817" s="31" t="s">
        <v>84</v>
      </c>
      <c r="E817" s="31" t="str">
        <f>IFERROR(VLOOKUP(Tabla2[[#This Row],[CODIGO]],Tabla1[],3,0),"")</f>
        <v>IMPLEMENTOS DE SEGURIDAD</v>
      </c>
      <c r="F817" s="28" t="str">
        <f>IFERROR(VLOOKUP(Tabla2[[#This Row],[CODIGO]],Tabla1[],5,0),"")</f>
        <v>ALMACEN TICAPAMPA</v>
      </c>
      <c r="G817" s="26" t="str">
        <f>IFERROR(VLOOKUP(Tabla2[[#This Row],[CODIGO]],Tabla1[],6,0),"")</f>
        <v>UNI</v>
      </c>
      <c r="H817" s="26">
        <f>IFERROR(VLOOKUP(Tabla2[[#This Row],[CODIGO]],Tabla1[],10,0),"")</f>
        <v>1</v>
      </c>
      <c r="I817" s="7">
        <v>-1</v>
      </c>
      <c r="J817" s="29" t="s">
        <v>321</v>
      </c>
      <c r="K817" s="26" t="str">
        <f>IFERROR(VLOOKUP(Tabla2[[#This Row],[CODIGO]],Tabla1[],11,0),"")</f>
        <v>COMPRA</v>
      </c>
      <c r="L817" s="67" t="s">
        <v>236</v>
      </c>
      <c r="M817" s="67"/>
      <c r="N817" s="70"/>
      <c r="O817" s="70">
        <f>Tabla2[[#This Row],[CANTIDAD]]*Tabla2[[#This Row],[PREC. UNITARIO]]</f>
        <v>0</v>
      </c>
      <c r="R817" t="str">
        <f>Tabla2[[#This Row],[QUIEN RECIBE]]&amp;"-"&amp;TEXT(Tabla2[[#This Row],[FECHA]],"dd/mm/yyyy")</f>
        <v>-21/10/2025</v>
      </c>
    </row>
    <row r="818" spans="2:18" ht="20.45" hidden="1" customHeight="1" x14ac:dyDescent="0.25">
      <c r="B818" s="5">
        <v>45951</v>
      </c>
      <c r="C818" s="2" t="str">
        <f>IFERROR(_xlfn.XLOOKUP(Tabla2[[#This Row],[PRODUCTO]],Tabla1[PRODUCTO],Tabla1[CODIGO]),"")</f>
        <v>IS-32</v>
      </c>
      <c r="D818" s="31" t="s">
        <v>83</v>
      </c>
      <c r="E818" s="31" t="str">
        <f>IFERROR(VLOOKUP(Tabla2[[#This Row],[CODIGO]],Tabla1[],3,0),"")</f>
        <v>IMPLEMENTOS DE SEGURIDAD</v>
      </c>
      <c r="F818" s="28" t="str">
        <f>IFERROR(VLOOKUP(Tabla2[[#This Row],[CODIGO]],Tabla1[],5,0),"")</f>
        <v>ALMACEN TICAPAMPA</v>
      </c>
      <c r="G818" s="26" t="str">
        <f>IFERROR(VLOOKUP(Tabla2[[#This Row],[CODIGO]],Tabla1[],6,0),"")</f>
        <v>UNI</v>
      </c>
      <c r="H818" s="26">
        <f>IFERROR(VLOOKUP(Tabla2[[#This Row],[CODIGO]],Tabla1[],10,0),"")</f>
        <v>5</v>
      </c>
      <c r="I818" s="7">
        <v>-1</v>
      </c>
      <c r="J818" s="29" t="s">
        <v>321</v>
      </c>
      <c r="K818" s="26" t="str">
        <f>IFERROR(VLOOKUP(Tabla2[[#This Row],[CODIGO]],Tabla1[],11,0),"")</f>
        <v>COMPRA</v>
      </c>
      <c r="L818" s="67" t="s">
        <v>236</v>
      </c>
      <c r="M818" s="67"/>
      <c r="N818" s="70"/>
      <c r="O818" s="70">
        <f>Tabla2[[#This Row],[CANTIDAD]]*Tabla2[[#This Row],[PREC. UNITARIO]]</f>
        <v>0</v>
      </c>
      <c r="R818" t="str">
        <f>Tabla2[[#This Row],[QUIEN RECIBE]]&amp;"-"&amp;TEXT(Tabla2[[#This Row],[FECHA]],"dd/mm/yyyy")</f>
        <v>-21/10/2025</v>
      </c>
    </row>
    <row r="819" spans="2:18" ht="20.45" hidden="1" customHeight="1" x14ac:dyDescent="0.25">
      <c r="B819" s="5">
        <v>45951</v>
      </c>
      <c r="C819" s="2" t="str">
        <f>IFERROR(_xlfn.XLOOKUP(Tabla2[[#This Row],[PRODUCTO]],Tabla1[PRODUCTO],Tabla1[CODIGO]),"")</f>
        <v>IS-57</v>
      </c>
      <c r="D819" s="31" t="s">
        <v>538</v>
      </c>
      <c r="E819" s="31" t="str">
        <f>IFERROR(VLOOKUP(Tabla2[[#This Row],[CODIGO]],Tabla1[],3,0),"")</f>
        <v>IMPLEMENTOS DE SEGURIDAD</v>
      </c>
      <c r="F819" s="28" t="str">
        <f>IFERROR(VLOOKUP(Tabla2[[#This Row],[CODIGO]],Tabla1[],5,0),"")</f>
        <v>ALMACEN TICAPAMPA</v>
      </c>
      <c r="G819" s="26" t="str">
        <f>IFERROR(VLOOKUP(Tabla2[[#This Row],[CODIGO]],Tabla1[],6,0),"")</f>
        <v>UNI</v>
      </c>
      <c r="H819" s="26">
        <f>IFERROR(VLOOKUP(Tabla2[[#This Row],[CODIGO]],Tabla1[],10,0),"")</f>
        <v>70</v>
      </c>
      <c r="I819" s="7">
        <v>-1</v>
      </c>
      <c r="J819" s="29" t="s">
        <v>321</v>
      </c>
      <c r="K819" s="26" t="str">
        <f>IFERROR(VLOOKUP(Tabla2[[#This Row],[CODIGO]],Tabla1[],11,0),"")</f>
        <v>COMPRA</v>
      </c>
      <c r="L819" s="67" t="s">
        <v>236</v>
      </c>
      <c r="M819" s="67"/>
      <c r="N819" s="70"/>
      <c r="O819" s="70">
        <f>Tabla2[[#This Row],[CANTIDAD]]*Tabla2[[#This Row],[PREC. UNITARIO]]</f>
        <v>0</v>
      </c>
      <c r="R819" t="str">
        <f>Tabla2[[#This Row],[QUIEN RECIBE]]&amp;"-"&amp;TEXT(Tabla2[[#This Row],[FECHA]],"dd/mm/yyyy")</f>
        <v>-21/10/2025</v>
      </c>
    </row>
    <row r="820" spans="2:18" ht="20.45" hidden="1" customHeight="1" x14ac:dyDescent="0.25">
      <c r="B820" s="5">
        <v>45951</v>
      </c>
      <c r="C820" s="2" t="str">
        <f>IFERROR(_xlfn.XLOOKUP(Tabla2[[#This Row],[PRODUCTO]],Tabla1[PRODUCTO],Tabla1[CODIGO]),"")</f>
        <v>IS-28</v>
      </c>
      <c r="D820" s="31" t="s">
        <v>79</v>
      </c>
      <c r="E820" s="31" t="str">
        <f>IFERROR(VLOOKUP(Tabla2[[#This Row],[CODIGO]],Tabla1[],3,0),"")</f>
        <v>IMPLEMENTOS DE SEGURIDAD</v>
      </c>
      <c r="F820" s="28" t="str">
        <f>IFERROR(VLOOKUP(Tabla2[[#This Row],[CODIGO]],Tabla1[],5,0),"")</f>
        <v>ALMACEN TICAPAMPA</v>
      </c>
      <c r="G820" s="26" t="str">
        <f>IFERROR(VLOOKUP(Tabla2[[#This Row],[CODIGO]],Tabla1[],6,0),"")</f>
        <v>UNI</v>
      </c>
      <c r="H820" s="26">
        <f>IFERROR(VLOOKUP(Tabla2[[#This Row],[CODIGO]],Tabla1[],10,0),"")</f>
        <v>32</v>
      </c>
      <c r="I820" s="7">
        <v>-1</v>
      </c>
      <c r="J820" s="29" t="s">
        <v>321</v>
      </c>
      <c r="K820" s="26" t="str">
        <f>IFERROR(VLOOKUP(Tabla2[[#This Row],[CODIGO]],Tabla1[],11,0),"")</f>
        <v>COMPRA</v>
      </c>
      <c r="L820" s="67" t="s">
        <v>236</v>
      </c>
      <c r="M820" s="67"/>
      <c r="N820" s="70"/>
      <c r="O820" s="70">
        <f>Tabla2[[#This Row],[CANTIDAD]]*Tabla2[[#This Row],[PREC. UNITARIO]]</f>
        <v>0</v>
      </c>
      <c r="R820" t="str">
        <f>Tabla2[[#This Row],[QUIEN RECIBE]]&amp;"-"&amp;TEXT(Tabla2[[#This Row],[FECHA]],"dd/mm/yyyy")</f>
        <v>-21/10/2025</v>
      </c>
    </row>
    <row r="821" spans="2:18" ht="20.45" hidden="1" customHeight="1" x14ac:dyDescent="0.25">
      <c r="B821" s="5">
        <v>45951</v>
      </c>
      <c r="C821" s="2" t="str">
        <f>IFERROR(_xlfn.XLOOKUP(Tabla2[[#This Row],[PRODUCTO]],Tabla1[PRODUCTO],Tabla1[CODIGO]),"")</f>
        <v>IS-28</v>
      </c>
      <c r="D821" s="31" t="s">
        <v>79</v>
      </c>
      <c r="E821" s="31" t="str">
        <f>IFERROR(VLOOKUP(Tabla2[[#This Row],[CODIGO]],Tabla1[],3,0),"")</f>
        <v>IMPLEMENTOS DE SEGURIDAD</v>
      </c>
      <c r="F821" s="28" t="str">
        <f>IFERROR(VLOOKUP(Tabla2[[#This Row],[CODIGO]],Tabla1[],5,0),"")</f>
        <v>ALMACEN TICAPAMPA</v>
      </c>
      <c r="G821" s="26" t="str">
        <f>IFERROR(VLOOKUP(Tabla2[[#This Row],[CODIGO]],Tabla1[],6,0),"")</f>
        <v>UNI</v>
      </c>
      <c r="H821" s="26">
        <f>IFERROR(VLOOKUP(Tabla2[[#This Row],[CODIGO]],Tabla1[],10,0),"")</f>
        <v>32</v>
      </c>
      <c r="I821" s="7">
        <v>-1</v>
      </c>
      <c r="J821" s="29" t="s">
        <v>321</v>
      </c>
      <c r="K821" s="26" t="str">
        <f>IFERROR(VLOOKUP(Tabla2[[#This Row],[CODIGO]],Tabla1[],11,0),"")</f>
        <v>COMPRA</v>
      </c>
      <c r="L821" s="67" t="s">
        <v>236</v>
      </c>
      <c r="M821" s="67"/>
      <c r="N821" s="70"/>
      <c r="O821" s="70">
        <f>Tabla2[[#This Row],[CANTIDAD]]*Tabla2[[#This Row],[PREC. UNITARIO]]</f>
        <v>0</v>
      </c>
      <c r="R821" t="str">
        <f>Tabla2[[#This Row],[QUIEN RECIBE]]&amp;"-"&amp;TEXT(Tabla2[[#This Row],[FECHA]],"dd/mm/yyyy")</f>
        <v>-21/10/2025</v>
      </c>
    </row>
    <row r="822" spans="2:18" ht="20.45" hidden="1" customHeight="1" x14ac:dyDescent="0.25">
      <c r="B822" s="5">
        <v>45951</v>
      </c>
      <c r="C822" s="2" t="str">
        <f>IFERROR(_xlfn.XLOOKUP(Tabla2[[#This Row],[PRODUCTO]],Tabla1[PRODUCTO],Tabla1[CODIGO]),"")</f>
        <v>IS-32</v>
      </c>
      <c r="D822" s="31" t="s">
        <v>83</v>
      </c>
      <c r="E822" s="31" t="str">
        <f>IFERROR(VLOOKUP(Tabla2[[#This Row],[CODIGO]],Tabla1[],3,0),"")</f>
        <v>IMPLEMENTOS DE SEGURIDAD</v>
      </c>
      <c r="F822" s="28" t="str">
        <f>IFERROR(VLOOKUP(Tabla2[[#This Row],[CODIGO]],Tabla1[],5,0),"")</f>
        <v>ALMACEN TICAPAMPA</v>
      </c>
      <c r="G822" s="26" t="str">
        <f>IFERROR(VLOOKUP(Tabla2[[#This Row],[CODIGO]],Tabla1[],6,0),"")</f>
        <v>UNI</v>
      </c>
      <c r="H822" s="26">
        <f>IFERROR(VLOOKUP(Tabla2[[#This Row],[CODIGO]],Tabla1[],10,0),"")</f>
        <v>5</v>
      </c>
      <c r="I822" s="7">
        <v>-2</v>
      </c>
      <c r="J822" s="29" t="s">
        <v>321</v>
      </c>
      <c r="K822" s="26" t="str">
        <f>IFERROR(VLOOKUP(Tabla2[[#This Row],[CODIGO]],Tabla1[],11,0),"")</f>
        <v>COMPRA</v>
      </c>
      <c r="L822" s="67" t="s">
        <v>236</v>
      </c>
      <c r="M822" s="67"/>
      <c r="N822" s="70"/>
      <c r="O822" s="70">
        <f>Tabla2[[#This Row],[CANTIDAD]]*Tabla2[[#This Row],[PREC. UNITARIO]]</f>
        <v>0</v>
      </c>
      <c r="R822" t="str">
        <f>Tabla2[[#This Row],[QUIEN RECIBE]]&amp;"-"&amp;TEXT(Tabla2[[#This Row],[FECHA]],"dd/mm/yyyy")</f>
        <v>-21/10/2025</v>
      </c>
    </row>
    <row r="823" spans="2:18" ht="20.45" hidden="1" customHeight="1" x14ac:dyDescent="0.25">
      <c r="B823" s="5">
        <v>45951</v>
      </c>
      <c r="C823" s="2" t="str">
        <f>IFERROR(_xlfn.XLOOKUP(Tabla2[[#This Row],[PRODUCTO]],Tabla1[PRODUCTO],Tabla1[CODIGO]),"")</f>
        <v>IS-57</v>
      </c>
      <c r="D823" s="31" t="s">
        <v>538</v>
      </c>
      <c r="E823" s="31" t="str">
        <f>IFERROR(VLOOKUP(Tabla2[[#This Row],[CODIGO]],Tabla1[],3,0),"")</f>
        <v>IMPLEMENTOS DE SEGURIDAD</v>
      </c>
      <c r="F823" s="28" t="str">
        <f>IFERROR(VLOOKUP(Tabla2[[#This Row],[CODIGO]],Tabla1[],5,0),"")</f>
        <v>ALMACEN TICAPAMPA</v>
      </c>
      <c r="G823" s="26" t="str">
        <f>IFERROR(VLOOKUP(Tabla2[[#This Row],[CODIGO]],Tabla1[],6,0),"")</f>
        <v>UNI</v>
      </c>
      <c r="H823" s="26">
        <f>IFERROR(VLOOKUP(Tabla2[[#This Row],[CODIGO]],Tabla1[],10,0),"")</f>
        <v>70</v>
      </c>
      <c r="I823" s="7">
        <v>-1</v>
      </c>
      <c r="J823" s="29" t="s">
        <v>321</v>
      </c>
      <c r="K823" s="26" t="str">
        <f>IFERROR(VLOOKUP(Tabla2[[#This Row],[CODIGO]],Tabla1[],11,0),"")</f>
        <v>COMPRA</v>
      </c>
      <c r="L823" s="67" t="s">
        <v>236</v>
      </c>
      <c r="M823" s="67"/>
      <c r="N823" s="70"/>
      <c r="O823" s="70">
        <f>Tabla2[[#This Row],[CANTIDAD]]*Tabla2[[#This Row],[PREC. UNITARIO]]</f>
        <v>0</v>
      </c>
      <c r="R823" t="str">
        <f>Tabla2[[#This Row],[QUIEN RECIBE]]&amp;"-"&amp;TEXT(Tabla2[[#This Row],[FECHA]],"dd/mm/yyyy")</f>
        <v>-21/10/2025</v>
      </c>
    </row>
    <row r="824" spans="2:18" ht="20.45" hidden="1" customHeight="1" x14ac:dyDescent="0.25">
      <c r="B824" s="5">
        <v>45951</v>
      </c>
      <c r="C824" s="2" t="str">
        <f>IFERROR(_xlfn.XLOOKUP(Tabla2[[#This Row],[PRODUCTO]],Tabla1[PRODUCTO],Tabla1[CODIGO]),"")</f>
        <v>IS-28</v>
      </c>
      <c r="D824" s="31" t="s">
        <v>79</v>
      </c>
      <c r="E824" s="31" t="str">
        <f>IFERROR(VLOOKUP(Tabla2[[#This Row],[CODIGO]],Tabla1[],3,0),"")</f>
        <v>IMPLEMENTOS DE SEGURIDAD</v>
      </c>
      <c r="F824" s="28" t="str">
        <f>IFERROR(VLOOKUP(Tabla2[[#This Row],[CODIGO]],Tabla1[],5,0),"")</f>
        <v>ALMACEN TICAPAMPA</v>
      </c>
      <c r="G824" s="26" t="str">
        <f>IFERROR(VLOOKUP(Tabla2[[#This Row],[CODIGO]],Tabla1[],6,0),"")</f>
        <v>UNI</v>
      </c>
      <c r="H824" s="26">
        <f>IFERROR(VLOOKUP(Tabla2[[#This Row],[CODIGO]],Tabla1[],10,0),"")</f>
        <v>32</v>
      </c>
      <c r="I824" s="7">
        <v>-1</v>
      </c>
      <c r="J824" s="29" t="s">
        <v>321</v>
      </c>
      <c r="K824" s="26" t="str">
        <f>IFERROR(VLOOKUP(Tabla2[[#This Row],[CODIGO]],Tabla1[],11,0),"")</f>
        <v>COMPRA</v>
      </c>
      <c r="L824" s="67" t="s">
        <v>236</v>
      </c>
      <c r="M824" s="67"/>
      <c r="N824" s="70"/>
      <c r="O824" s="70">
        <f>Tabla2[[#This Row],[CANTIDAD]]*Tabla2[[#This Row],[PREC. UNITARIO]]</f>
        <v>0</v>
      </c>
      <c r="R824" t="str">
        <f>Tabla2[[#This Row],[QUIEN RECIBE]]&amp;"-"&amp;TEXT(Tabla2[[#This Row],[FECHA]],"dd/mm/yyyy")</f>
        <v>-21/10/2025</v>
      </c>
    </row>
    <row r="825" spans="2:18" ht="20.45" hidden="1" customHeight="1" x14ac:dyDescent="0.25">
      <c r="B825" s="5">
        <v>45951</v>
      </c>
      <c r="C825" s="2" t="str">
        <f>IFERROR(_xlfn.XLOOKUP(Tabla2[[#This Row],[PRODUCTO]],Tabla1[PRODUCTO],Tabla1[CODIGO]),"")</f>
        <v>IS-32</v>
      </c>
      <c r="D825" s="31" t="s">
        <v>83</v>
      </c>
      <c r="E825" s="31" t="str">
        <f>IFERROR(VLOOKUP(Tabla2[[#This Row],[CODIGO]],Tabla1[],3,0),"")</f>
        <v>IMPLEMENTOS DE SEGURIDAD</v>
      </c>
      <c r="F825" s="28" t="str">
        <f>IFERROR(VLOOKUP(Tabla2[[#This Row],[CODIGO]],Tabla1[],5,0),"")</f>
        <v>ALMACEN TICAPAMPA</v>
      </c>
      <c r="G825" s="26" t="str">
        <f>IFERROR(VLOOKUP(Tabla2[[#This Row],[CODIGO]],Tabla1[],6,0),"")</f>
        <v>UNI</v>
      </c>
      <c r="H825" s="26">
        <f>IFERROR(VLOOKUP(Tabla2[[#This Row],[CODIGO]],Tabla1[],10,0),"")</f>
        <v>5</v>
      </c>
      <c r="I825" s="7">
        <v>-2</v>
      </c>
      <c r="J825" s="29" t="s">
        <v>321</v>
      </c>
      <c r="K825" s="26" t="str">
        <f>IFERROR(VLOOKUP(Tabla2[[#This Row],[CODIGO]],Tabla1[],11,0),"")</f>
        <v>COMPRA</v>
      </c>
      <c r="L825" s="67" t="s">
        <v>236</v>
      </c>
      <c r="M825" s="67"/>
      <c r="N825" s="70"/>
      <c r="O825" s="70">
        <f>Tabla2[[#This Row],[CANTIDAD]]*Tabla2[[#This Row],[PREC. UNITARIO]]</f>
        <v>0</v>
      </c>
      <c r="R825" t="str">
        <f>Tabla2[[#This Row],[QUIEN RECIBE]]&amp;"-"&amp;TEXT(Tabla2[[#This Row],[FECHA]],"dd/mm/yyyy")</f>
        <v>-21/10/2025</v>
      </c>
    </row>
    <row r="826" spans="2:18" ht="20.45" hidden="1" customHeight="1" x14ac:dyDescent="0.25">
      <c r="B826" s="5">
        <v>45951</v>
      </c>
      <c r="C826" s="2" t="str">
        <f>IFERROR(_xlfn.XLOOKUP(Tabla2[[#This Row],[PRODUCTO]],Tabla1[PRODUCTO],Tabla1[CODIGO]),"")</f>
        <v>IS-57</v>
      </c>
      <c r="D826" s="31" t="s">
        <v>538</v>
      </c>
      <c r="E826" s="31" t="str">
        <f>IFERROR(VLOOKUP(Tabla2[[#This Row],[CODIGO]],Tabla1[],3,0),"")</f>
        <v>IMPLEMENTOS DE SEGURIDAD</v>
      </c>
      <c r="F826" s="28" t="str">
        <f>IFERROR(VLOOKUP(Tabla2[[#This Row],[CODIGO]],Tabla1[],5,0),"")</f>
        <v>ALMACEN TICAPAMPA</v>
      </c>
      <c r="G826" s="26" t="str">
        <f>IFERROR(VLOOKUP(Tabla2[[#This Row],[CODIGO]],Tabla1[],6,0),"")</f>
        <v>UNI</v>
      </c>
      <c r="H826" s="26">
        <f>IFERROR(VLOOKUP(Tabla2[[#This Row],[CODIGO]],Tabla1[],10,0),"")</f>
        <v>70</v>
      </c>
      <c r="I826" s="7">
        <v>-1</v>
      </c>
      <c r="J826" s="29" t="s">
        <v>321</v>
      </c>
      <c r="K826" s="26" t="str">
        <f>IFERROR(VLOOKUP(Tabla2[[#This Row],[CODIGO]],Tabla1[],11,0),"")</f>
        <v>COMPRA</v>
      </c>
      <c r="L826" s="67" t="s">
        <v>236</v>
      </c>
      <c r="M826" s="67"/>
      <c r="N826" s="70"/>
      <c r="O826" s="70">
        <f>Tabla2[[#This Row],[CANTIDAD]]*Tabla2[[#This Row],[PREC. UNITARIO]]</f>
        <v>0</v>
      </c>
      <c r="R826" t="str">
        <f>Tabla2[[#This Row],[QUIEN RECIBE]]&amp;"-"&amp;TEXT(Tabla2[[#This Row],[FECHA]],"dd/mm/yyyy")</f>
        <v>-21/10/2025</v>
      </c>
    </row>
    <row r="827" spans="2:18" ht="20.45" hidden="1" customHeight="1" x14ac:dyDescent="0.25">
      <c r="B827" s="5">
        <v>45951</v>
      </c>
      <c r="C827" s="2" t="str">
        <f>IFERROR(_xlfn.XLOOKUP(Tabla2[[#This Row],[PRODUCTO]],Tabla1[PRODUCTO],Tabla1[CODIGO]),"")</f>
        <v>IS-28</v>
      </c>
      <c r="D827" s="31" t="s">
        <v>79</v>
      </c>
      <c r="E827" s="31" t="str">
        <f>IFERROR(VLOOKUP(Tabla2[[#This Row],[CODIGO]],Tabla1[],3,0),"")</f>
        <v>IMPLEMENTOS DE SEGURIDAD</v>
      </c>
      <c r="F827" s="28" t="str">
        <f>IFERROR(VLOOKUP(Tabla2[[#This Row],[CODIGO]],Tabla1[],5,0),"")</f>
        <v>ALMACEN TICAPAMPA</v>
      </c>
      <c r="G827" s="26" t="str">
        <f>IFERROR(VLOOKUP(Tabla2[[#This Row],[CODIGO]],Tabla1[],6,0),"")</f>
        <v>UNI</v>
      </c>
      <c r="H827" s="26">
        <f>IFERROR(VLOOKUP(Tabla2[[#This Row],[CODIGO]],Tabla1[],10,0),"")</f>
        <v>32</v>
      </c>
      <c r="I827" s="7">
        <v>-1</v>
      </c>
      <c r="J827" s="29" t="s">
        <v>321</v>
      </c>
      <c r="K827" s="26" t="str">
        <f>IFERROR(VLOOKUP(Tabla2[[#This Row],[CODIGO]],Tabla1[],11,0),"")</f>
        <v>COMPRA</v>
      </c>
      <c r="L827" s="67" t="s">
        <v>236</v>
      </c>
      <c r="M827" s="67"/>
      <c r="N827" s="70"/>
      <c r="O827" s="70">
        <f>Tabla2[[#This Row],[CANTIDAD]]*Tabla2[[#This Row],[PREC. UNITARIO]]</f>
        <v>0</v>
      </c>
      <c r="R827" t="str">
        <f>Tabla2[[#This Row],[QUIEN RECIBE]]&amp;"-"&amp;TEXT(Tabla2[[#This Row],[FECHA]],"dd/mm/yyyy")</f>
        <v>-21/10/2025</v>
      </c>
    </row>
    <row r="828" spans="2:18" ht="20.45" hidden="1" customHeight="1" x14ac:dyDescent="0.25">
      <c r="B828" s="5">
        <v>45950</v>
      </c>
      <c r="C828" s="2" t="str">
        <f>IFERROR(_xlfn.XLOOKUP(Tabla2[[#This Row],[PRODUCTO]],Tabla1[PRODUCTO],Tabla1[CODIGO]),"")</f>
        <v>FER-3</v>
      </c>
      <c r="D828" s="31" t="s">
        <v>567</v>
      </c>
      <c r="E828" s="31" t="str">
        <f>IFERROR(VLOOKUP(Tabla2[[#This Row],[CODIGO]],Tabla1[],3,0),"")</f>
        <v>FERRETERIA</v>
      </c>
      <c r="F828" s="28" t="str">
        <f>IFERROR(VLOOKUP(Tabla2[[#This Row],[CODIGO]],Tabla1[],5,0),"")</f>
        <v>ALMACEN TICAPAMPA</v>
      </c>
      <c r="G828" s="26" t="str">
        <f>IFERROR(VLOOKUP(Tabla2[[#This Row],[CODIGO]],Tabla1[],6,0),"")</f>
        <v>UNI</v>
      </c>
      <c r="H828" s="26">
        <f>IFERROR(VLOOKUP(Tabla2[[#This Row],[CODIGO]],Tabla1[],10,0),"")</f>
        <v>36</v>
      </c>
      <c r="I828" s="7">
        <v>37</v>
      </c>
      <c r="J828" s="29" t="s">
        <v>320</v>
      </c>
      <c r="K828" s="26" t="str">
        <f>IFERROR(VLOOKUP(Tabla2[[#This Row],[CODIGO]],Tabla1[],11,0),"")</f>
        <v>COMPRA</v>
      </c>
      <c r="L828" s="67" t="s">
        <v>308</v>
      </c>
      <c r="M828" s="67" t="s">
        <v>236</v>
      </c>
      <c r="N828" s="70"/>
      <c r="O828" s="70">
        <f>Tabla2[[#This Row],[CANTIDAD]]*Tabla2[[#This Row],[PREC. UNITARIO]]</f>
        <v>0</v>
      </c>
      <c r="R828" t="str">
        <f>Tabla2[[#This Row],[QUIEN RECIBE]]&amp;"-"&amp;TEXT(Tabla2[[#This Row],[FECHA]],"dd/mm/yyyy")</f>
        <v>NAVARRO LOZANO, ANGEL JAROL-20/10/2025</v>
      </c>
    </row>
    <row r="829" spans="2:18" ht="20.45" hidden="1" customHeight="1" x14ac:dyDescent="0.25">
      <c r="B829" s="5">
        <v>45950</v>
      </c>
      <c r="C829" s="2" t="str">
        <f>IFERROR(_xlfn.XLOOKUP(Tabla2[[#This Row],[PRODUCTO]],Tabla1[PRODUCTO],Tabla1[CODIGO]),"")</f>
        <v>FER-4</v>
      </c>
      <c r="D829" s="31" t="s">
        <v>570</v>
      </c>
      <c r="E829" s="31" t="str">
        <f>IFERROR(VLOOKUP(Tabla2[[#This Row],[CODIGO]],Tabla1[],3,0),"")</f>
        <v>FERRETERIA</v>
      </c>
      <c r="F829" s="28" t="str">
        <f>IFERROR(VLOOKUP(Tabla2[[#This Row],[CODIGO]],Tabla1[],5,0),"")</f>
        <v>ALMACEN TICAPAMPA</v>
      </c>
      <c r="G829" s="26" t="str">
        <f>IFERROR(VLOOKUP(Tabla2[[#This Row],[CODIGO]],Tabla1[],6,0),"")</f>
        <v>BALDE</v>
      </c>
      <c r="H829" s="26">
        <f>IFERROR(VLOOKUP(Tabla2[[#This Row],[CODIGO]],Tabla1[],10,0),"")</f>
        <v>0</v>
      </c>
      <c r="I829" s="7">
        <v>7</v>
      </c>
      <c r="J829" s="29" t="s">
        <v>559</v>
      </c>
      <c r="K829" s="26" t="str">
        <f>IFERROR(VLOOKUP(Tabla2[[#This Row],[CODIGO]],Tabla1[],11,0),"")</f>
        <v>COMPRA</v>
      </c>
      <c r="L829" s="67" t="s">
        <v>308</v>
      </c>
      <c r="M829" s="67" t="s">
        <v>236</v>
      </c>
      <c r="N829" s="70"/>
      <c r="O829" s="70">
        <f>Tabla2[[#This Row],[CANTIDAD]]*Tabla2[[#This Row],[PREC. UNITARIO]]</f>
        <v>0</v>
      </c>
      <c r="R829" t="str">
        <f>Tabla2[[#This Row],[QUIEN RECIBE]]&amp;"-"&amp;TEXT(Tabla2[[#This Row],[FECHA]],"dd/mm/yyyy")</f>
        <v>NAVARRO LOZANO, ANGEL JAROL-20/10/2025</v>
      </c>
    </row>
    <row r="830" spans="2:18" ht="20.45" hidden="1" customHeight="1" x14ac:dyDescent="0.25">
      <c r="B830" s="5">
        <v>45950</v>
      </c>
      <c r="C830" s="2" t="str">
        <f>IFERROR(_xlfn.XLOOKUP(Tabla2[[#This Row],[PRODUCTO]],Tabla1[PRODUCTO],Tabla1[CODIGO]),"")</f>
        <v>FER-5</v>
      </c>
      <c r="D830" s="31" t="s">
        <v>571</v>
      </c>
      <c r="E830" s="31" t="str">
        <f>IFERROR(VLOOKUP(Tabla2[[#This Row],[CODIGO]],Tabla1[],3,0),"")</f>
        <v>FERRETERIA</v>
      </c>
      <c r="F830" s="28" t="str">
        <f>IFERROR(VLOOKUP(Tabla2[[#This Row],[CODIGO]],Tabla1[],5,0),"")</f>
        <v>ALMACEN TICAPAMPA</v>
      </c>
      <c r="G830" s="26" t="str">
        <f>IFERROR(VLOOKUP(Tabla2[[#This Row],[CODIGO]],Tabla1[],6,0),"")</f>
        <v>KG</v>
      </c>
      <c r="H830" s="26">
        <f>IFERROR(VLOOKUP(Tabla2[[#This Row],[CODIGO]],Tabla1[],10,0),"")</f>
        <v>324</v>
      </c>
      <c r="I830" s="7">
        <v>324</v>
      </c>
      <c r="J830" s="29" t="s">
        <v>320</v>
      </c>
      <c r="K830" s="26" t="str">
        <f>IFERROR(VLOOKUP(Tabla2[[#This Row],[CODIGO]],Tabla1[],11,0),"")</f>
        <v>COMPRA</v>
      </c>
      <c r="L830" s="67" t="s">
        <v>308</v>
      </c>
      <c r="M830" s="67" t="s">
        <v>236</v>
      </c>
      <c r="N830" s="70"/>
      <c r="O830" s="70">
        <f>Tabla2[[#This Row],[CANTIDAD]]*Tabla2[[#This Row],[PREC. UNITARIO]]</f>
        <v>0</v>
      </c>
      <c r="R830" t="str">
        <f>Tabla2[[#This Row],[QUIEN RECIBE]]&amp;"-"&amp;TEXT(Tabla2[[#This Row],[FECHA]],"dd/mm/yyyy")</f>
        <v>NAVARRO LOZANO, ANGEL JAROL-20/10/2025</v>
      </c>
    </row>
    <row r="831" spans="2:18" ht="20.45" hidden="1" customHeight="1" x14ac:dyDescent="0.25">
      <c r="B831" s="5">
        <v>45951</v>
      </c>
      <c r="C831" s="2" t="str">
        <f>IFERROR(_xlfn.XLOOKUP(Tabla2[[#This Row],[PRODUCTO]],Tabla1[PRODUCTO],Tabla1[CODIGO]),"")</f>
        <v>UE-74</v>
      </c>
      <c r="D831" s="31" t="s">
        <v>565</v>
      </c>
      <c r="E831" s="31" t="str">
        <f>IFERROR(VLOOKUP(Tabla2[[#This Row],[CODIGO]],Tabla1[],3,0),"")</f>
        <v>UTILES DE ESCRITORIO</v>
      </c>
      <c r="F831" s="28" t="str">
        <f>IFERROR(VLOOKUP(Tabla2[[#This Row],[CODIGO]],Tabla1[],5,0),"")</f>
        <v>ALMACEN TICAPAMPA</v>
      </c>
      <c r="G831" s="26" t="str">
        <f>IFERROR(VLOOKUP(Tabla2[[#This Row],[CODIGO]],Tabla1[],6,0),"")</f>
        <v>UNI</v>
      </c>
      <c r="H831" s="26">
        <f>IFERROR(VLOOKUP(Tabla2[[#This Row],[CODIGO]],Tabla1[],10,0),"")</f>
        <v>1</v>
      </c>
      <c r="I831" s="7">
        <v>-1</v>
      </c>
      <c r="J831" s="29" t="s">
        <v>350</v>
      </c>
      <c r="K831" s="26" t="str">
        <f>IFERROR(VLOOKUP(Tabla2[[#This Row],[CODIGO]],Tabla1[],11,0),"")</f>
        <v>COMPRA</v>
      </c>
      <c r="L831" s="67" t="s">
        <v>236</v>
      </c>
      <c r="M831" s="67"/>
      <c r="N831" s="70"/>
      <c r="O831" s="70">
        <f>Tabla2[[#This Row],[CANTIDAD]]*Tabla2[[#This Row],[PREC. UNITARIO]]</f>
        <v>0</v>
      </c>
      <c r="R831" t="str">
        <f>Tabla2[[#This Row],[QUIEN RECIBE]]&amp;"-"&amp;TEXT(Tabla2[[#This Row],[FECHA]],"dd/mm/yyyy")</f>
        <v>-21/10/2025</v>
      </c>
    </row>
    <row r="832" spans="2:18" ht="20.45" hidden="1" customHeight="1" x14ac:dyDescent="0.25">
      <c r="B832" s="5">
        <v>45951</v>
      </c>
      <c r="C832" s="2" t="str">
        <f>IFERROR(_xlfn.XLOOKUP(Tabla2[[#This Row],[PRODUCTO]],Tabla1[PRODUCTO],Tabla1[CODIGO]),"")</f>
        <v>IS-57</v>
      </c>
      <c r="D832" s="31" t="s">
        <v>538</v>
      </c>
      <c r="E832" s="31" t="str">
        <f>IFERROR(VLOOKUP(Tabla2[[#This Row],[CODIGO]],Tabla1[],3,0),"")</f>
        <v>IMPLEMENTOS DE SEGURIDAD</v>
      </c>
      <c r="F832" s="28" t="str">
        <f>IFERROR(VLOOKUP(Tabla2[[#This Row],[CODIGO]],Tabla1[],5,0),"")</f>
        <v>ALMACEN TICAPAMPA</v>
      </c>
      <c r="G832" s="26" t="str">
        <f>IFERROR(VLOOKUP(Tabla2[[#This Row],[CODIGO]],Tabla1[],6,0),"")</f>
        <v>UNI</v>
      </c>
      <c r="H832" s="26">
        <f>IFERROR(VLOOKUP(Tabla2[[#This Row],[CODIGO]],Tabla1[],10,0),"")</f>
        <v>70</v>
      </c>
      <c r="I832" s="7">
        <v>-1</v>
      </c>
      <c r="J832" s="29" t="s">
        <v>321</v>
      </c>
      <c r="K832" s="26" t="str">
        <f>IFERROR(VLOOKUP(Tabla2[[#This Row],[CODIGO]],Tabla1[],11,0),"")</f>
        <v>COMPRA</v>
      </c>
      <c r="L832" s="67" t="s">
        <v>236</v>
      </c>
      <c r="M832" s="67" t="s">
        <v>302</v>
      </c>
      <c r="N832" s="70"/>
      <c r="O832" s="70">
        <f>Tabla2[[#This Row],[CANTIDAD]]*Tabla2[[#This Row],[PREC. UNITARIO]]</f>
        <v>0</v>
      </c>
      <c r="R832" t="str">
        <f>Tabla2[[#This Row],[QUIEN RECIBE]]&amp;"-"&amp;TEXT(Tabla2[[#This Row],[FECHA]],"dd/mm/yyyy")</f>
        <v>QUISPE LIMACHE, ROGELIO -21/10/2025</v>
      </c>
    </row>
    <row r="833" spans="2:18" ht="20.45" hidden="1" customHeight="1" x14ac:dyDescent="0.25">
      <c r="B833" s="5">
        <v>45951</v>
      </c>
      <c r="C833" s="2" t="str">
        <f>IFERROR(_xlfn.XLOOKUP(Tabla2[[#This Row],[PRODUCTO]],Tabla1[PRODUCTO],Tabla1[CODIGO]),"")</f>
        <v>IS-57</v>
      </c>
      <c r="D833" s="31" t="s">
        <v>538</v>
      </c>
      <c r="E833" s="31" t="str">
        <f>IFERROR(VLOOKUP(Tabla2[[#This Row],[CODIGO]],Tabla1[],3,0),"")</f>
        <v>IMPLEMENTOS DE SEGURIDAD</v>
      </c>
      <c r="F833" s="28" t="str">
        <f>IFERROR(VLOOKUP(Tabla2[[#This Row],[CODIGO]],Tabla1[],5,0),"")</f>
        <v>ALMACEN TICAPAMPA</v>
      </c>
      <c r="G833" s="26" t="str">
        <f>IFERROR(VLOOKUP(Tabla2[[#This Row],[CODIGO]],Tabla1[],6,0),"")</f>
        <v>UNI</v>
      </c>
      <c r="H833" s="26">
        <f>IFERROR(VLOOKUP(Tabla2[[#This Row],[CODIGO]],Tabla1[],10,0),"")</f>
        <v>70</v>
      </c>
      <c r="I833" s="7">
        <v>-1</v>
      </c>
      <c r="J833" s="29" t="s">
        <v>321</v>
      </c>
      <c r="K833" s="26" t="str">
        <f>IFERROR(VLOOKUP(Tabla2[[#This Row],[CODIGO]],Tabla1[],11,0),"")</f>
        <v>COMPRA</v>
      </c>
      <c r="L833" s="67" t="s">
        <v>236</v>
      </c>
      <c r="M833" s="67"/>
      <c r="N833" s="70"/>
      <c r="O833" s="70">
        <f>Tabla2[[#This Row],[CANTIDAD]]*Tabla2[[#This Row],[PREC. UNITARIO]]</f>
        <v>0</v>
      </c>
      <c r="R833" t="str">
        <f>Tabla2[[#This Row],[QUIEN RECIBE]]&amp;"-"&amp;TEXT(Tabla2[[#This Row],[FECHA]],"dd/mm/yyyy")</f>
        <v>-21/10/2025</v>
      </c>
    </row>
    <row r="834" spans="2:18" ht="20.45" hidden="1" customHeight="1" x14ac:dyDescent="0.25">
      <c r="B834" s="5">
        <v>45951</v>
      </c>
      <c r="C834" s="2" t="str">
        <f>IFERROR(_xlfn.XLOOKUP(Tabla2[[#This Row],[PRODUCTO]],Tabla1[PRODUCTO],Tabla1[CODIGO]),"")</f>
        <v>AGU-1</v>
      </c>
      <c r="D834" s="31" t="s">
        <v>357</v>
      </c>
      <c r="E834" s="31" t="str">
        <f>IFERROR(VLOOKUP(Tabla2[[#This Row],[CODIGO]],Tabla1[],3,0),"")</f>
        <v>AGUA</v>
      </c>
      <c r="F834" s="28" t="str">
        <f>IFERROR(VLOOKUP(Tabla2[[#This Row],[CODIGO]],Tabla1[],5,0),"")</f>
        <v>ALMACEN TICAPAMPA</v>
      </c>
      <c r="G834" s="26" t="str">
        <f>IFERROR(VLOOKUP(Tabla2[[#This Row],[CODIGO]],Tabla1[],6,0),"")</f>
        <v>UNI</v>
      </c>
      <c r="H834" s="26">
        <f>IFERROR(VLOOKUP(Tabla2[[#This Row],[CODIGO]],Tabla1[],10,0),"")</f>
        <v>9</v>
      </c>
      <c r="I834" s="7">
        <v>-1</v>
      </c>
      <c r="J834" s="29" t="s">
        <v>386</v>
      </c>
      <c r="K834" s="26" t="str">
        <f>IFERROR(VLOOKUP(Tabla2[[#This Row],[CODIGO]],Tabla1[],11,0),"")</f>
        <v>COMPRA</v>
      </c>
      <c r="L834" s="67" t="s">
        <v>472</v>
      </c>
      <c r="M834" s="67" t="s">
        <v>553</v>
      </c>
      <c r="N834" s="70">
        <v>8</v>
      </c>
      <c r="O834" s="70">
        <f>Tabla2[[#This Row],[CANTIDAD]]*Tabla2[[#This Row],[PREC. UNITARIO]]</f>
        <v>-8</v>
      </c>
      <c r="R834" t="str">
        <f>Tabla2[[#This Row],[QUIEN RECIBE]]&amp;"-"&amp;TEXT(Tabla2[[#This Row],[FECHA]],"dd/mm/yyyy")</f>
        <v>PUMAYALLI LICONA, ENOCH-21/10/2025</v>
      </c>
    </row>
    <row r="835" spans="2:18" ht="20.45" hidden="1" customHeight="1" x14ac:dyDescent="0.25">
      <c r="B835" s="5">
        <v>45951</v>
      </c>
      <c r="C835" s="2" t="str">
        <f>IFERROR(_xlfn.XLOOKUP(Tabla2[[#This Row],[PRODUCTO]],Tabla1[PRODUCTO],Tabla1[CODIGO]),"")</f>
        <v>IS-44</v>
      </c>
      <c r="D835" s="31" t="s">
        <v>479</v>
      </c>
      <c r="E835" s="31" t="str">
        <f>IFERROR(VLOOKUP(Tabla2[[#This Row],[CODIGO]],Tabla1[],3,0),"")</f>
        <v>IMPLEMENTOS DE SEGURIDAD</v>
      </c>
      <c r="F835" s="28" t="str">
        <f>IFERROR(VLOOKUP(Tabla2[[#This Row],[CODIGO]],Tabla1[],5,0),"")</f>
        <v>ALMACEN TICAPAMPA</v>
      </c>
      <c r="G835" s="26" t="str">
        <f>IFERROR(VLOOKUP(Tabla2[[#This Row],[CODIGO]],Tabla1[],6,0),"")</f>
        <v>UNI</v>
      </c>
      <c r="H835" s="26">
        <f>IFERROR(VLOOKUP(Tabla2[[#This Row],[CODIGO]],Tabla1[],10,0),"")</f>
        <v>6</v>
      </c>
      <c r="I835" s="7">
        <v>-1</v>
      </c>
      <c r="J835" s="29" t="s">
        <v>321</v>
      </c>
      <c r="K835" s="26" t="str">
        <f>IFERROR(VLOOKUP(Tabla2[[#This Row],[CODIGO]],Tabla1[],11,0),"")</f>
        <v>ALMACEN CENTRAL</v>
      </c>
      <c r="L835" s="67" t="s">
        <v>236</v>
      </c>
      <c r="M835" s="67" t="s">
        <v>240</v>
      </c>
      <c r="N835" s="70"/>
      <c r="O835" s="70">
        <f>Tabla2[[#This Row],[CANTIDAD]]*Tabla2[[#This Row],[PREC. UNITARIO]]</f>
        <v>0</v>
      </c>
      <c r="R835" t="str">
        <f>Tabla2[[#This Row],[QUIEN RECIBE]]&amp;"-"&amp;TEXT(Tabla2[[#This Row],[FECHA]],"dd/mm/yyyy")</f>
        <v>LOZANO MALDONADO, HERNAN-21/10/2025</v>
      </c>
    </row>
    <row r="836" spans="2:18" ht="20.45" hidden="1" customHeight="1" x14ac:dyDescent="0.25">
      <c r="B836" s="5">
        <v>45951</v>
      </c>
      <c r="C836" s="2" t="str">
        <f>IFERROR(_xlfn.XLOOKUP(Tabla2[[#This Row],[PRODUCTO]],Tabla1[PRODUCTO],Tabla1[CODIGO]),"")</f>
        <v>IS-43</v>
      </c>
      <c r="D836" s="31" t="s">
        <v>477</v>
      </c>
      <c r="E836" s="31" t="str">
        <f>IFERROR(VLOOKUP(Tabla2[[#This Row],[CODIGO]],Tabla1[],3,0),"")</f>
        <v>IMPLEMENTOS DE SEGURIDAD</v>
      </c>
      <c r="F836" s="28" t="str">
        <f>IFERROR(VLOOKUP(Tabla2[[#This Row],[CODIGO]],Tabla1[],5,0),"")</f>
        <v>ALMACEN TICAPAMPA</v>
      </c>
      <c r="G836" s="26" t="str">
        <f>IFERROR(VLOOKUP(Tabla2[[#This Row],[CODIGO]],Tabla1[],6,0),"")</f>
        <v>UNI</v>
      </c>
      <c r="H836" s="26">
        <f>IFERROR(VLOOKUP(Tabla2[[#This Row],[CODIGO]],Tabla1[],10,0),"")</f>
        <v>3</v>
      </c>
      <c r="I836" s="7">
        <v>-1</v>
      </c>
      <c r="J836" s="29" t="s">
        <v>321</v>
      </c>
      <c r="K836" s="26" t="str">
        <f>IFERROR(VLOOKUP(Tabla2[[#This Row],[CODIGO]],Tabla1[],11,0),"")</f>
        <v>COMPRA</v>
      </c>
      <c r="L836" s="67" t="s">
        <v>236</v>
      </c>
      <c r="M836" s="67" t="s">
        <v>302</v>
      </c>
      <c r="N836" s="70"/>
      <c r="O836" s="70">
        <f>Tabla2[[#This Row],[CANTIDAD]]*Tabla2[[#This Row],[PREC. UNITARIO]]</f>
        <v>0</v>
      </c>
      <c r="R836" t="str">
        <f>Tabla2[[#This Row],[QUIEN RECIBE]]&amp;"-"&amp;TEXT(Tabla2[[#This Row],[FECHA]],"dd/mm/yyyy")</f>
        <v>QUISPE LIMACHE, ROGELIO -21/10/2025</v>
      </c>
    </row>
    <row r="837" spans="2:18" ht="20.45" hidden="1" customHeight="1" x14ac:dyDescent="0.25">
      <c r="B837" s="5">
        <v>45951</v>
      </c>
      <c r="C837" s="2" t="str">
        <f>IFERROR(_xlfn.XLOOKUP(Tabla2[[#This Row],[PRODUCTO]],Tabla1[PRODUCTO],Tabla1[CODIGO]),"")</f>
        <v>IS-43</v>
      </c>
      <c r="D837" s="31" t="s">
        <v>477</v>
      </c>
      <c r="E837" s="31" t="str">
        <f>IFERROR(VLOOKUP(Tabla2[[#This Row],[CODIGO]],Tabla1[],3,0),"")</f>
        <v>IMPLEMENTOS DE SEGURIDAD</v>
      </c>
      <c r="F837" s="28" t="str">
        <f>IFERROR(VLOOKUP(Tabla2[[#This Row],[CODIGO]],Tabla1[],5,0),"")</f>
        <v>ALMACEN TICAPAMPA</v>
      </c>
      <c r="G837" s="26" t="str">
        <f>IFERROR(VLOOKUP(Tabla2[[#This Row],[CODIGO]],Tabla1[],6,0),"")</f>
        <v>UNI</v>
      </c>
      <c r="H837" s="26">
        <f>IFERROR(VLOOKUP(Tabla2[[#This Row],[CODIGO]],Tabla1[],10,0),"")</f>
        <v>3</v>
      </c>
      <c r="I837" s="7">
        <v>-1</v>
      </c>
      <c r="J837" s="29" t="s">
        <v>321</v>
      </c>
      <c r="K837" s="26" t="str">
        <f>IFERROR(VLOOKUP(Tabla2[[#This Row],[CODIGO]],Tabla1[],11,0),"")</f>
        <v>COMPRA</v>
      </c>
      <c r="L837" s="67" t="s">
        <v>236</v>
      </c>
      <c r="M837" s="67" t="s">
        <v>572</v>
      </c>
      <c r="N837" s="70"/>
      <c r="O837" s="70">
        <f>Tabla2[[#This Row],[CANTIDAD]]*Tabla2[[#This Row],[PREC. UNITARIO]]</f>
        <v>0</v>
      </c>
      <c r="R837" t="str">
        <f>Tabla2[[#This Row],[QUIEN RECIBE]]&amp;"-"&amp;TEXT(Tabla2[[#This Row],[FECHA]],"dd/mm/yyyy")</f>
        <v>CURMAYARI GUZMAN, JOFFRE-21/10/2025</v>
      </c>
    </row>
    <row r="838" spans="2:18" ht="20.45" hidden="1" customHeight="1" x14ac:dyDescent="0.25">
      <c r="B838" s="5">
        <v>45951</v>
      </c>
      <c r="C838" s="2" t="str">
        <f>IFERROR(_xlfn.XLOOKUP(Tabla2[[#This Row],[PRODUCTO]],Tabla1[PRODUCTO],Tabla1[CODIGO]),"")</f>
        <v>IS-43</v>
      </c>
      <c r="D838" s="31" t="s">
        <v>477</v>
      </c>
      <c r="E838" s="31" t="str">
        <f>IFERROR(VLOOKUP(Tabla2[[#This Row],[CODIGO]],Tabla1[],3,0),"")</f>
        <v>IMPLEMENTOS DE SEGURIDAD</v>
      </c>
      <c r="F838" s="28" t="str">
        <f>IFERROR(VLOOKUP(Tabla2[[#This Row],[CODIGO]],Tabla1[],5,0),"")</f>
        <v>ALMACEN TICAPAMPA</v>
      </c>
      <c r="G838" s="26" t="str">
        <f>IFERROR(VLOOKUP(Tabla2[[#This Row],[CODIGO]],Tabla1[],6,0),"")</f>
        <v>UNI</v>
      </c>
      <c r="H838" s="26">
        <f>IFERROR(VLOOKUP(Tabla2[[#This Row],[CODIGO]],Tabla1[],10,0),"")</f>
        <v>3</v>
      </c>
      <c r="I838" s="7">
        <v>-1</v>
      </c>
      <c r="J838" s="29" t="s">
        <v>321</v>
      </c>
      <c r="K838" s="26" t="str">
        <f>IFERROR(VLOOKUP(Tabla2[[#This Row],[CODIGO]],Tabla1[],11,0),"")</f>
        <v>COMPRA</v>
      </c>
      <c r="L838" s="67" t="s">
        <v>236</v>
      </c>
      <c r="M838" s="67" t="s">
        <v>554</v>
      </c>
      <c r="N838" s="70"/>
      <c r="O838" s="70">
        <f>Tabla2[[#This Row],[CANTIDAD]]*Tabla2[[#This Row],[PREC. UNITARIO]]</f>
        <v>0</v>
      </c>
      <c r="R838" t="str">
        <f>Tabla2[[#This Row],[QUIEN RECIBE]]&amp;"-"&amp;TEXT(Tabla2[[#This Row],[FECHA]],"dd/mm/yyyy")</f>
        <v>CURMAYARI MANUYAMA, VICTOR RAUL-21/10/2025</v>
      </c>
    </row>
    <row r="839" spans="2:18" ht="20.45" hidden="1" customHeight="1" x14ac:dyDescent="0.25">
      <c r="B839" s="5">
        <v>45951</v>
      </c>
      <c r="C839" s="2" t="str">
        <f>IFERROR(_xlfn.XLOOKUP(Tabla2[[#This Row],[PRODUCTO]],Tabla1[PRODUCTO],Tabla1[CODIGO]),"")</f>
        <v>IS-43</v>
      </c>
      <c r="D839" s="31" t="s">
        <v>477</v>
      </c>
      <c r="E839" s="31" t="str">
        <f>IFERROR(VLOOKUP(Tabla2[[#This Row],[CODIGO]],Tabla1[],3,0),"")</f>
        <v>IMPLEMENTOS DE SEGURIDAD</v>
      </c>
      <c r="F839" s="28" t="str">
        <f>IFERROR(VLOOKUP(Tabla2[[#This Row],[CODIGO]],Tabla1[],5,0),"")</f>
        <v>ALMACEN TICAPAMPA</v>
      </c>
      <c r="G839" s="26" t="str">
        <f>IFERROR(VLOOKUP(Tabla2[[#This Row],[CODIGO]],Tabla1[],6,0),"")</f>
        <v>UNI</v>
      </c>
      <c r="H839" s="26">
        <f>IFERROR(VLOOKUP(Tabla2[[#This Row],[CODIGO]],Tabla1[],10,0),"")</f>
        <v>3</v>
      </c>
      <c r="I839" s="7">
        <v>-1</v>
      </c>
      <c r="J839" s="29" t="s">
        <v>321</v>
      </c>
      <c r="K839" s="26" t="str">
        <f>IFERROR(VLOOKUP(Tabla2[[#This Row],[CODIGO]],Tabla1[],11,0),"")</f>
        <v>COMPRA</v>
      </c>
      <c r="L839" s="67" t="s">
        <v>236</v>
      </c>
      <c r="M839" s="67" t="s">
        <v>562</v>
      </c>
      <c r="N839" s="70"/>
      <c r="O839" s="70">
        <f>Tabla2[[#This Row],[CANTIDAD]]*Tabla2[[#This Row],[PREC. UNITARIO]]</f>
        <v>0</v>
      </c>
      <c r="R839" t="str">
        <f>Tabla2[[#This Row],[QUIEN RECIBE]]&amp;"-"&amp;TEXT(Tabla2[[#This Row],[FECHA]],"dd/mm/yyyy")</f>
        <v>MACHUCA NAVARRO, OMAR-21/10/2025</v>
      </c>
    </row>
    <row r="840" spans="2:18" ht="20.45" hidden="1" customHeight="1" x14ac:dyDescent="0.25">
      <c r="B840" s="5">
        <v>45951</v>
      </c>
      <c r="C840" s="2" t="str">
        <f>IFERROR(_xlfn.XLOOKUP(Tabla2[[#This Row],[PRODUCTO]],Tabla1[PRODUCTO],Tabla1[CODIGO]),"")</f>
        <v>IS-43</v>
      </c>
      <c r="D840" s="31" t="s">
        <v>477</v>
      </c>
      <c r="E840" s="31" t="str">
        <f>IFERROR(VLOOKUP(Tabla2[[#This Row],[CODIGO]],Tabla1[],3,0),"")</f>
        <v>IMPLEMENTOS DE SEGURIDAD</v>
      </c>
      <c r="F840" s="28" t="str">
        <f>IFERROR(VLOOKUP(Tabla2[[#This Row],[CODIGO]],Tabla1[],5,0),"")</f>
        <v>ALMACEN TICAPAMPA</v>
      </c>
      <c r="G840" s="26" t="str">
        <f>IFERROR(VLOOKUP(Tabla2[[#This Row],[CODIGO]],Tabla1[],6,0),"")</f>
        <v>UNI</v>
      </c>
      <c r="H840" s="26">
        <f>IFERROR(VLOOKUP(Tabla2[[#This Row],[CODIGO]],Tabla1[],10,0),"")</f>
        <v>3</v>
      </c>
      <c r="I840" s="7">
        <v>-1</v>
      </c>
      <c r="J840" s="29" t="s">
        <v>321</v>
      </c>
      <c r="K840" s="26" t="str">
        <f>IFERROR(VLOOKUP(Tabla2[[#This Row],[CODIGO]],Tabla1[],11,0),"")</f>
        <v>COMPRA</v>
      </c>
      <c r="L840" s="67" t="s">
        <v>236</v>
      </c>
      <c r="M840" s="67" t="s">
        <v>573</v>
      </c>
      <c r="N840" s="70"/>
      <c r="O840" s="70">
        <f>Tabla2[[#This Row],[CANTIDAD]]*Tabla2[[#This Row],[PREC. UNITARIO]]</f>
        <v>0</v>
      </c>
      <c r="R840" t="str">
        <f>Tabla2[[#This Row],[QUIEN RECIBE]]&amp;"-"&amp;TEXT(Tabla2[[#This Row],[FECHA]],"dd/mm/yyyy")</f>
        <v>ESCOBAR ARBILDO, GOLBER-21/10/2025</v>
      </c>
    </row>
    <row r="841" spans="2:18" ht="20.45" hidden="1" customHeight="1" x14ac:dyDescent="0.25">
      <c r="B841" s="5">
        <v>45951</v>
      </c>
      <c r="C841" s="2" t="str">
        <f>IFERROR(_xlfn.XLOOKUP(Tabla2[[#This Row],[PRODUCTO]],Tabla1[PRODUCTO],Tabla1[CODIGO]),"")</f>
        <v>IS-43</v>
      </c>
      <c r="D841" s="31" t="s">
        <v>477</v>
      </c>
      <c r="E841" s="31" t="str">
        <f>IFERROR(VLOOKUP(Tabla2[[#This Row],[CODIGO]],Tabla1[],3,0),"")</f>
        <v>IMPLEMENTOS DE SEGURIDAD</v>
      </c>
      <c r="F841" s="28" t="str">
        <f>IFERROR(VLOOKUP(Tabla2[[#This Row],[CODIGO]],Tabla1[],5,0),"")</f>
        <v>ALMACEN TICAPAMPA</v>
      </c>
      <c r="G841" s="26" t="str">
        <f>IFERROR(VLOOKUP(Tabla2[[#This Row],[CODIGO]],Tabla1[],6,0),"")</f>
        <v>UNI</v>
      </c>
      <c r="H841" s="26">
        <f>IFERROR(VLOOKUP(Tabla2[[#This Row],[CODIGO]],Tabla1[],10,0),"")</f>
        <v>3</v>
      </c>
      <c r="I841" s="7">
        <v>-1</v>
      </c>
      <c r="J841" s="29" t="s">
        <v>321</v>
      </c>
      <c r="K841" s="26" t="str">
        <f>IFERROR(VLOOKUP(Tabla2[[#This Row],[CODIGO]],Tabla1[],11,0),"")</f>
        <v>COMPRA</v>
      </c>
      <c r="L841" s="67" t="s">
        <v>236</v>
      </c>
      <c r="M841" s="67" t="s">
        <v>574</v>
      </c>
      <c r="N841" s="70"/>
      <c r="O841" s="70">
        <f>Tabla2[[#This Row],[CANTIDAD]]*Tabla2[[#This Row],[PREC. UNITARIO]]</f>
        <v>0</v>
      </c>
      <c r="R841" t="str">
        <f>Tabla2[[#This Row],[QUIEN RECIBE]]&amp;"-"&amp;TEXT(Tabla2[[#This Row],[FECHA]],"dd/mm/yyyy")</f>
        <v>ESCOBAR ARBILDO, RUSBER-21/10/2025</v>
      </c>
    </row>
    <row r="842" spans="2:18" ht="20.45" hidden="1" customHeight="1" x14ac:dyDescent="0.25">
      <c r="B842" s="5">
        <v>45951</v>
      </c>
      <c r="C842" s="2" t="str">
        <f>IFERROR(_xlfn.XLOOKUP(Tabla2[[#This Row],[PRODUCTO]],Tabla1[PRODUCTO],Tabla1[CODIGO]),"")</f>
        <v>IS-48</v>
      </c>
      <c r="D842" s="31" t="s">
        <v>505</v>
      </c>
      <c r="E842" s="31" t="str">
        <f>IFERROR(VLOOKUP(Tabla2[[#This Row],[CODIGO]],Tabla1[],3,0),"")</f>
        <v>IMPLEMENTOS DE SEGURIDAD</v>
      </c>
      <c r="F842" s="28" t="str">
        <f>IFERROR(VLOOKUP(Tabla2[[#This Row],[CODIGO]],Tabla1[],5,0),"")</f>
        <v>ALMACEN TICAPAMPA</v>
      </c>
      <c r="G842" s="26" t="str">
        <f>IFERROR(VLOOKUP(Tabla2[[#This Row],[CODIGO]],Tabla1[],6,0),"")</f>
        <v>UNI</v>
      </c>
      <c r="H842" s="26">
        <f>IFERROR(VLOOKUP(Tabla2[[#This Row],[CODIGO]],Tabla1[],10,0),"")</f>
        <v>1</v>
      </c>
      <c r="I842" s="7">
        <v>-1</v>
      </c>
      <c r="J842" s="29" t="s">
        <v>321</v>
      </c>
      <c r="K842" s="26" t="str">
        <f>IFERROR(VLOOKUP(Tabla2[[#This Row],[CODIGO]],Tabla1[],11,0),"")</f>
        <v>CAMBIO</v>
      </c>
      <c r="L842" s="67" t="s">
        <v>236</v>
      </c>
      <c r="M842" s="67" t="s">
        <v>302</v>
      </c>
      <c r="N842" s="70"/>
      <c r="O842" s="70">
        <f>Tabla2[[#This Row],[CANTIDAD]]*Tabla2[[#This Row],[PREC. UNITARIO]]</f>
        <v>0</v>
      </c>
      <c r="R842" t="str">
        <f>Tabla2[[#This Row],[QUIEN RECIBE]]&amp;"-"&amp;TEXT(Tabla2[[#This Row],[FECHA]],"dd/mm/yyyy")</f>
        <v>QUISPE LIMACHE, ROGELIO -21/10/2025</v>
      </c>
    </row>
    <row r="843" spans="2:18" ht="20.45" hidden="1" customHeight="1" x14ac:dyDescent="0.25">
      <c r="B843" s="5">
        <v>45952</v>
      </c>
      <c r="C843" s="2" t="str">
        <f>IFERROR(_xlfn.XLOOKUP(Tabla2[[#This Row],[PRODUCTO]],Tabla1[PRODUCTO],Tabla1[CODIGO]),"")</f>
        <v>IS-43</v>
      </c>
      <c r="D843" s="31" t="s">
        <v>477</v>
      </c>
      <c r="E843" s="31" t="str">
        <f>IFERROR(VLOOKUP(Tabla2[[#This Row],[CODIGO]],Tabla1[],3,0),"")</f>
        <v>IMPLEMENTOS DE SEGURIDAD</v>
      </c>
      <c r="F843" s="28" t="str">
        <f>IFERROR(VLOOKUP(Tabla2[[#This Row],[CODIGO]],Tabla1[],5,0),"")</f>
        <v>ALMACEN TICAPAMPA</v>
      </c>
      <c r="G843" s="26" t="str">
        <f>IFERROR(VLOOKUP(Tabla2[[#This Row],[CODIGO]],Tabla1[],6,0),"")</f>
        <v>UNI</v>
      </c>
      <c r="H843" s="26">
        <f>IFERROR(VLOOKUP(Tabla2[[#This Row],[CODIGO]],Tabla1[],10,0),"")</f>
        <v>3</v>
      </c>
      <c r="I843" s="7">
        <v>-1</v>
      </c>
      <c r="J843" s="29" t="s">
        <v>321</v>
      </c>
      <c r="K843" s="26" t="str">
        <f>IFERROR(VLOOKUP(Tabla2[[#This Row],[CODIGO]],Tabla1[],11,0),"")</f>
        <v>COMPRA</v>
      </c>
      <c r="L843" s="67" t="s">
        <v>236</v>
      </c>
      <c r="M843" s="67" t="s">
        <v>302</v>
      </c>
      <c r="N843" s="70"/>
      <c r="O843" s="70">
        <f>Tabla2[[#This Row],[CANTIDAD]]*Tabla2[[#This Row],[PREC. UNITARIO]]</f>
        <v>0</v>
      </c>
      <c r="R843" t="str">
        <f>Tabla2[[#This Row],[QUIEN RECIBE]]&amp;"-"&amp;TEXT(Tabla2[[#This Row],[FECHA]],"dd/mm/yyyy")</f>
        <v>QUISPE LIMACHE, ROGELIO -22/10/2025</v>
      </c>
    </row>
    <row r="844" spans="2:18" ht="20.45" hidden="1" customHeight="1" x14ac:dyDescent="0.25">
      <c r="B844" s="5">
        <v>45952</v>
      </c>
      <c r="C844" s="2" t="str">
        <f>IFERROR(_xlfn.XLOOKUP(Tabla2[[#This Row],[PRODUCTO]],Tabla1[PRODUCTO],Tabla1[CODIGO]),"")</f>
        <v>IS-43</v>
      </c>
      <c r="D844" s="31" t="s">
        <v>477</v>
      </c>
      <c r="E844" s="31" t="str">
        <f>IFERROR(VLOOKUP(Tabla2[[#This Row],[CODIGO]],Tabla1[],3,0),"")</f>
        <v>IMPLEMENTOS DE SEGURIDAD</v>
      </c>
      <c r="F844" s="28" t="str">
        <f>IFERROR(VLOOKUP(Tabla2[[#This Row],[CODIGO]],Tabla1[],5,0),"")</f>
        <v>ALMACEN TICAPAMPA</v>
      </c>
      <c r="G844" s="26" t="str">
        <f>IFERROR(VLOOKUP(Tabla2[[#This Row],[CODIGO]],Tabla1[],6,0),"")</f>
        <v>UNI</v>
      </c>
      <c r="H844" s="26">
        <f>IFERROR(VLOOKUP(Tabla2[[#This Row],[CODIGO]],Tabla1[],10,0),"")</f>
        <v>3</v>
      </c>
      <c r="I844" s="7">
        <v>-1</v>
      </c>
      <c r="J844" s="29" t="s">
        <v>321</v>
      </c>
      <c r="K844" s="26" t="str">
        <f>IFERROR(VLOOKUP(Tabla2[[#This Row],[CODIGO]],Tabla1[],11,0),"")</f>
        <v>COMPRA</v>
      </c>
      <c r="L844" s="67" t="s">
        <v>236</v>
      </c>
      <c r="M844" s="67" t="s">
        <v>572</v>
      </c>
      <c r="N844" s="70"/>
      <c r="O844" s="70">
        <f>Tabla2[[#This Row],[CANTIDAD]]*Tabla2[[#This Row],[PREC. UNITARIO]]</f>
        <v>0</v>
      </c>
      <c r="R844" t="str">
        <f>Tabla2[[#This Row],[QUIEN RECIBE]]&amp;"-"&amp;TEXT(Tabla2[[#This Row],[FECHA]],"dd/mm/yyyy")</f>
        <v>CURMAYARI GUZMAN, JOFFRE-22/10/2025</v>
      </c>
    </row>
    <row r="845" spans="2:18" ht="20.45" hidden="1" customHeight="1" x14ac:dyDescent="0.25">
      <c r="B845" s="5">
        <v>45952</v>
      </c>
      <c r="C845" s="2" t="str">
        <f>IFERROR(_xlfn.XLOOKUP(Tabla2[[#This Row],[PRODUCTO]],Tabla1[PRODUCTO],Tabla1[CODIGO]),"")</f>
        <v>IS-43</v>
      </c>
      <c r="D845" s="31" t="s">
        <v>477</v>
      </c>
      <c r="E845" s="31" t="str">
        <f>IFERROR(VLOOKUP(Tabla2[[#This Row],[CODIGO]],Tabla1[],3,0),"")</f>
        <v>IMPLEMENTOS DE SEGURIDAD</v>
      </c>
      <c r="F845" s="28" t="str">
        <f>IFERROR(VLOOKUP(Tabla2[[#This Row],[CODIGO]],Tabla1[],5,0),"")</f>
        <v>ALMACEN TICAPAMPA</v>
      </c>
      <c r="G845" s="26" t="str">
        <f>IFERROR(VLOOKUP(Tabla2[[#This Row],[CODIGO]],Tabla1[],6,0),"")</f>
        <v>UNI</v>
      </c>
      <c r="H845" s="26">
        <f>IFERROR(VLOOKUP(Tabla2[[#This Row],[CODIGO]],Tabla1[],10,0),"")</f>
        <v>3</v>
      </c>
      <c r="I845" s="7">
        <v>10</v>
      </c>
      <c r="J845" s="29" t="s">
        <v>546</v>
      </c>
      <c r="K845" s="26" t="str">
        <f>IFERROR(VLOOKUP(Tabla2[[#This Row],[CODIGO]],Tabla1[],11,0),"")</f>
        <v>COMPRA</v>
      </c>
      <c r="L845" s="67" t="s">
        <v>236</v>
      </c>
      <c r="M845" s="67" t="s">
        <v>236</v>
      </c>
      <c r="N845" s="70"/>
      <c r="O845" s="70">
        <f>Tabla2[[#This Row],[CANTIDAD]]*Tabla2[[#This Row],[PREC. UNITARIO]]</f>
        <v>0</v>
      </c>
      <c r="R845" t="str">
        <f>Tabla2[[#This Row],[QUIEN RECIBE]]&amp;"-"&amp;TEXT(Tabla2[[#This Row],[FECHA]],"dd/mm/yyyy")</f>
        <v>NAVARRO LOZANO, ANGEL JAROL-22/10/2025</v>
      </c>
    </row>
    <row r="846" spans="2:18" ht="20.45" hidden="1" customHeight="1" x14ac:dyDescent="0.25">
      <c r="B846" s="5">
        <v>45952</v>
      </c>
      <c r="C846" s="2" t="str">
        <f>IFERROR(_xlfn.XLOOKUP(Tabla2[[#This Row],[PRODUCTO]],Tabla1[PRODUCTO],Tabla1[CODIGO]),"")</f>
        <v>HM-37</v>
      </c>
      <c r="D846" s="31" t="s">
        <v>404</v>
      </c>
      <c r="E846" s="31" t="str">
        <f>IFERROR(VLOOKUP(Tabla2[[#This Row],[CODIGO]],Tabla1[],3,0),"")</f>
        <v>HERRAMIENTAS</v>
      </c>
      <c r="F846" s="28" t="str">
        <f>IFERROR(VLOOKUP(Tabla2[[#This Row],[CODIGO]],Tabla1[],5,0),"")</f>
        <v>ALMACEN TICAPAMPA</v>
      </c>
      <c r="G846" s="26" t="str">
        <f>IFERROR(VLOOKUP(Tabla2[[#This Row],[CODIGO]],Tabla1[],6,0),"")</f>
        <v>UNI</v>
      </c>
      <c r="H846" s="26">
        <f>IFERROR(VLOOKUP(Tabla2[[#This Row],[CODIGO]],Tabla1[],10,0),"")</f>
        <v>4</v>
      </c>
      <c r="I846" s="7">
        <v>-2</v>
      </c>
      <c r="J846" s="29" t="s">
        <v>350</v>
      </c>
      <c r="K846" s="26" t="str">
        <f>IFERROR(VLOOKUP(Tabla2[[#This Row],[CODIGO]],Tabla1[],11,0),"")</f>
        <v>COMPRA</v>
      </c>
      <c r="L846" s="67" t="s">
        <v>236</v>
      </c>
      <c r="M846" s="67" t="s">
        <v>239</v>
      </c>
      <c r="N846" s="70"/>
      <c r="O846" s="70">
        <f>Tabla2[[#This Row],[CANTIDAD]]*Tabla2[[#This Row],[PREC. UNITARIO]]</f>
        <v>0</v>
      </c>
      <c r="R846" t="str">
        <f>Tabla2[[#This Row],[QUIEN RECIBE]]&amp;"-"&amp;TEXT(Tabla2[[#This Row],[FECHA]],"dd/mm/yyyy")</f>
        <v>JEREMIAS PALOMINO, NORBERTO LEONCIO-22/10/2025</v>
      </c>
    </row>
    <row r="847" spans="2:18" ht="20.45" hidden="1" customHeight="1" x14ac:dyDescent="0.25">
      <c r="B847" s="5">
        <v>45951</v>
      </c>
      <c r="C847" s="2" t="str">
        <f>IFERROR(_xlfn.XLOOKUP(Tabla2[[#This Row],[PRODUCTO]],Tabla1[PRODUCTO],Tabla1[CODIGO]),"")</f>
        <v>HM-37</v>
      </c>
      <c r="D847" s="31" t="s">
        <v>404</v>
      </c>
      <c r="E847" s="31" t="str">
        <f>IFERROR(VLOOKUP(Tabla2[[#This Row],[CODIGO]],Tabla1[],3,0),"")</f>
        <v>HERRAMIENTAS</v>
      </c>
      <c r="F847" s="28" t="str">
        <f>IFERROR(VLOOKUP(Tabla2[[#This Row],[CODIGO]],Tabla1[],5,0),"")</f>
        <v>ALMACEN TICAPAMPA</v>
      </c>
      <c r="G847" s="26" t="str">
        <f>IFERROR(VLOOKUP(Tabla2[[#This Row],[CODIGO]],Tabla1[],6,0),"")</f>
        <v>UNI</v>
      </c>
      <c r="H847" s="26">
        <f>IFERROR(VLOOKUP(Tabla2[[#This Row],[CODIGO]],Tabla1[],10,0),"")</f>
        <v>4</v>
      </c>
      <c r="I847" s="7">
        <v>-2</v>
      </c>
      <c r="J847" s="29" t="s">
        <v>350</v>
      </c>
      <c r="K847" s="26" t="str">
        <f>IFERROR(VLOOKUP(Tabla2[[#This Row],[CODIGO]],Tabla1[],11,0),"")</f>
        <v>COMPRA</v>
      </c>
      <c r="L847" s="67" t="s">
        <v>236</v>
      </c>
      <c r="M847" s="67" t="s">
        <v>244</v>
      </c>
      <c r="N847" s="70"/>
      <c r="O847" s="70">
        <f>Tabla2[[#This Row],[CANTIDAD]]*Tabla2[[#This Row],[PREC. UNITARIO]]</f>
        <v>0</v>
      </c>
      <c r="R847" t="str">
        <f>Tabla2[[#This Row],[QUIEN RECIBE]]&amp;"-"&amp;TEXT(Tabla2[[#This Row],[FECHA]],"dd/mm/yyyy")</f>
        <v>CORDOVA ANGULO, JUAN-21/10/2025</v>
      </c>
    </row>
    <row r="848" spans="2:18" ht="20.45" hidden="1" customHeight="1" x14ac:dyDescent="0.25">
      <c r="B848" s="5">
        <v>44126</v>
      </c>
      <c r="C848" s="2" t="str">
        <f>IFERROR(_xlfn.XLOOKUP(Tabla2[[#This Row],[PRODUCTO]],Tabla1[PRODUCTO],Tabla1[CODIGO]),"")</f>
        <v>HM-37</v>
      </c>
      <c r="D848" s="31" t="s">
        <v>404</v>
      </c>
      <c r="E848" s="31" t="str">
        <f>IFERROR(VLOOKUP(Tabla2[[#This Row],[CODIGO]],Tabla1[],3,0),"")</f>
        <v>HERRAMIENTAS</v>
      </c>
      <c r="F848" s="28" t="str">
        <f>IFERROR(VLOOKUP(Tabla2[[#This Row],[CODIGO]],Tabla1[],5,0),"")</f>
        <v>ALMACEN TICAPAMPA</v>
      </c>
      <c r="G848" s="26" t="str">
        <f>IFERROR(VLOOKUP(Tabla2[[#This Row],[CODIGO]],Tabla1[],6,0),"")</f>
        <v>UNI</v>
      </c>
      <c r="H848" s="26">
        <f>IFERROR(VLOOKUP(Tabla2[[#This Row],[CODIGO]],Tabla1[],10,0),"")</f>
        <v>4</v>
      </c>
      <c r="I848" s="7">
        <v>-1</v>
      </c>
      <c r="J848" s="29" t="s">
        <v>350</v>
      </c>
      <c r="K848" s="26" t="str">
        <f>IFERROR(VLOOKUP(Tabla2[[#This Row],[CODIGO]],Tabla1[],11,0),"")</f>
        <v>COMPRA</v>
      </c>
      <c r="L848" s="67" t="s">
        <v>236</v>
      </c>
      <c r="M848" s="67" t="s">
        <v>244</v>
      </c>
      <c r="N848" s="70"/>
      <c r="O848" s="70">
        <f>Tabla2[[#This Row],[CANTIDAD]]*Tabla2[[#This Row],[PREC. UNITARIO]]</f>
        <v>0</v>
      </c>
      <c r="R848" t="str">
        <f>Tabla2[[#This Row],[QUIEN RECIBE]]&amp;"-"&amp;TEXT(Tabla2[[#This Row],[FECHA]],"dd/mm/yyyy")</f>
        <v>CORDOVA ANGULO, JUAN-22/10/2020</v>
      </c>
    </row>
    <row r="849" spans="2:18" ht="20.45" hidden="1" customHeight="1" x14ac:dyDescent="0.25">
      <c r="B849" s="5">
        <v>45952</v>
      </c>
      <c r="C849" s="2" t="str">
        <f>IFERROR(_xlfn.XLOOKUP(Tabla2[[#This Row],[PRODUCTO]],Tabla1[PRODUCTO],Tabla1[CODIGO]),"")</f>
        <v>IS-57</v>
      </c>
      <c r="D849" s="31" t="s">
        <v>538</v>
      </c>
      <c r="E849" s="31" t="str">
        <f>IFERROR(VLOOKUP(Tabla2[[#This Row],[CODIGO]],Tabla1[],3,0),"")</f>
        <v>IMPLEMENTOS DE SEGURIDAD</v>
      </c>
      <c r="F849" s="28" t="str">
        <f>IFERROR(VLOOKUP(Tabla2[[#This Row],[CODIGO]],Tabla1[],5,0),"")</f>
        <v>ALMACEN TICAPAMPA</v>
      </c>
      <c r="G849" s="26" t="str">
        <f>IFERROR(VLOOKUP(Tabla2[[#This Row],[CODIGO]],Tabla1[],6,0),"")</f>
        <v>UNI</v>
      </c>
      <c r="H849" s="26">
        <f>IFERROR(VLOOKUP(Tabla2[[#This Row],[CODIGO]],Tabla1[],10,0),"")</f>
        <v>70</v>
      </c>
      <c r="I849" s="7">
        <v>-1</v>
      </c>
      <c r="J849" s="29" t="s">
        <v>350</v>
      </c>
      <c r="K849" s="26" t="str">
        <f>IFERROR(VLOOKUP(Tabla2[[#This Row],[CODIGO]],Tabla1[],11,0),"")</f>
        <v>COMPRA</v>
      </c>
      <c r="L849" s="67" t="s">
        <v>236</v>
      </c>
      <c r="M849" s="67" t="s">
        <v>303</v>
      </c>
      <c r="N849" s="70"/>
      <c r="O849" s="70">
        <f>Tabla2[[#This Row],[CANTIDAD]]*Tabla2[[#This Row],[PREC. UNITARIO]]</f>
        <v>0</v>
      </c>
      <c r="R849" t="str">
        <f>Tabla2[[#This Row],[QUIEN RECIBE]]&amp;"-"&amp;TEXT(Tabla2[[#This Row],[FECHA]],"dd/mm/yyyy")</f>
        <v>APASTEGUI GRANDEZ, LUIS ALFREDO -22/10/2025</v>
      </c>
    </row>
    <row r="850" spans="2:18" ht="20.45" hidden="1" customHeight="1" x14ac:dyDescent="0.25">
      <c r="B850" s="5">
        <v>45952</v>
      </c>
      <c r="C850" s="2" t="str">
        <f>IFERROR(_xlfn.XLOOKUP(Tabla2[[#This Row],[PRODUCTO]],Tabla1[PRODUCTO],Tabla1[CODIGO]),"")</f>
        <v>IS-57</v>
      </c>
      <c r="D850" s="31" t="s">
        <v>538</v>
      </c>
      <c r="E850" s="31" t="str">
        <f>IFERROR(VLOOKUP(Tabla2[[#This Row],[CODIGO]],Tabla1[],3,0),"")</f>
        <v>IMPLEMENTOS DE SEGURIDAD</v>
      </c>
      <c r="F850" s="28" t="str">
        <f>IFERROR(VLOOKUP(Tabla2[[#This Row],[CODIGO]],Tabla1[],5,0),"")</f>
        <v>ALMACEN TICAPAMPA</v>
      </c>
      <c r="G850" s="26" t="str">
        <f>IFERROR(VLOOKUP(Tabla2[[#This Row],[CODIGO]],Tabla1[],6,0),"")</f>
        <v>UNI</v>
      </c>
      <c r="H850" s="26">
        <f>IFERROR(VLOOKUP(Tabla2[[#This Row],[CODIGO]],Tabla1[],10,0),"")</f>
        <v>70</v>
      </c>
      <c r="I850" s="7">
        <v>-1</v>
      </c>
      <c r="J850" s="29" t="s">
        <v>350</v>
      </c>
      <c r="K850" s="26" t="str">
        <f>IFERROR(VLOOKUP(Tabla2[[#This Row],[CODIGO]],Tabla1[],11,0),"")</f>
        <v>COMPRA</v>
      </c>
      <c r="L850" s="67" t="s">
        <v>236</v>
      </c>
      <c r="M850" s="67" t="s">
        <v>239</v>
      </c>
      <c r="N850" s="70"/>
      <c r="O850" s="70">
        <f>Tabla2[[#This Row],[CANTIDAD]]*Tabla2[[#This Row],[PREC. UNITARIO]]</f>
        <v>0</v>
      </c>
      <c r="R850" t="str">
        <f>Tabla2[[#This Row],[QUIEN RECIBE]]&amp;"-"&amp;TEXT(Tabla2[[#This Row],[FECHA]],"dd/mm/yyyy")</f>
        <v>JEREMIAS PALOMINO, NORBERTO LEONCIO-22/10/2025</v>
      </c>
    </row>
    <row r="851" spans="2:18" ht="20.45" hidden="1" customHeight="1" x14ac:dyDescent="0.25">
      <c r="B851" s="5">
        <v>45952</v>
      </c>
      <c r="C851" s="2" t="str">
        <f>IFERROR(_xlfn.XLOOKUP(Tabla2[[#This Row],[PRODUCTO]],Tabla1[PRODUCTO],Tabla1[CODIGO]),"")</f>
        <v>FER-3</v>
      </c>
      <c r="D851" s="31" t="s">
        <v>567</v>
      </c>
      <c r="E851" s="31" t="str">
        <f>IFERROR(VLOOKUP(Tabla2[[#This Row],[CODIGO]],Tabla1[],3,0),"")</f>
        <v>FERRETERIA</v>
      </c>
      <c r="F851" s="28" t="str">
        <f>IFERROR(VLOOKUP(Tabla2[[#This Row],[CODIGO]],Tabla1[],5,0),"")</f>
        <v>ALMACEN TICAPAMPA</v>
      </c>
      <c r="G851" s="26" t="str">
        <f>IFERROR(VLOOKUP(Tabla2[[#This Row],[CODIGO]],Tabla1[],6,0),"")</f>
        <v>UNI</v>
      </c>
      <c r="H851" s="26">
        <f>IFERROR(VLOOKUP(Tabla2[[#This Row],[CODIGO]],Tabla1[],10,0),"")</f>
        <v>36</v>
      </c>
      <c r="I851" s="7">
        <v>-1</v>
      </c>
      <c r="J851" s="29" t="s">
        <v>386</v>
      </c>
      <c r="K851" s="26" t="str">
        <f>IFERROR(VLOOKUP(Tabla2[[#This Row],[CODIGO]],Tabla1[],11,0),"")</f>
        <v>COMPRA</v>
      </c>
      <c r="L851" s="67" t="s">
        <v>236</v>
      </c>
      <c r="M851" s="67" t="s">
        <v>552</v>
      </c>
      <c r="N851" s="70"/>
      <c r="O851" s="70">
        <f>Tabla2[[#This Row],[CANTIDAD]]*Tabla2[[#This Row],[PREC. UNITARIO]]</f>
        <v>0</v>
      </c>
      <c r="R851" t="str">
        <f>Tabla2[[#This Row],[QUIEN RECIBE]]&amp;"-"&amp;TEXT(Tabla2[[#This Row],[FECHA]],"dd/mm/yyyy")</f>
        <v>QUISPE MAQUERA, MARCO ANTONIO-22/10/2025</v>
      </c>
    </row>
    <row r="852" spans="2:18" ht="20.45" hidden="1" customHeight="1" x14ac:dyDescent="0.25">
      <c r="B852" s="5">
        <v>45952</v>
      </c>
      <c r="C852" s="2" t="str">
        <f>IFERROR(_xlfn.XLOOKUP(Tabla2[[#This Row],[PRODUCTO]],Tabla1[PRODUCTO],Tabla1[CODIGO]),"")</f>
        <v>IS-43</v>
      </c>
      <c r="D852" s="31" t="s">
        <v>477</v>
      </c>
      <c r="E852" s="31" t="str">
        <f>IFERROR(VLOOKUP(Tabla2[[#This Row],[CODIGO]],Tabla1[],3,0),"")</f>
        <v>IMPLEMENTOS DE SEGURIDAD</v>
      </c>
      <c r="F852" s="28" t="str">
        <f>IFERROR(VLOOKUP(Tabla2[[#This Row],[CODIGO]],Tabla1[],5,0),"")</f>
        <v>ALMACEN TICAPAMPA</v>
      </c>
      <c r="G852" s="26" t="str">
        <f>IFERROR(VLOOKUP(Tabla2[[#This Row],[CODIGO]],Tabla1[],6,0),"")</f>
        <v>UNI</v>
      </c>
      <c r="H852" s="26">
        <f>IFERROR(VLOOKUP(Tabla2[[#This Row],[CODIGO]],Tabla1[],10,0),"")</f>
        <v>3</v>
      </c>
      <c r="I852" s="7">
        <v>-1</v>
      </c>
      <c r="J852" s="29" t="s">
        <v>551</v>
      </c>
      <c r="K852" s="26" t="str">
        <f>IFERROR(VLOOKUP(Tabla2[[#This Row],[CODIGO]],Tabla1[],11,0),"")</f>
        <v>COMPRA</v>
      </c>
      <c r="L852" s="67" t="s">
        <v>236</v>
      </c>
      <c r="M852" s="67" t="s">
        <v>573</v>
      </c>
      <c r="N852" s="70"/>
      <c r="O852" s="70">
        <f>Tabla2[[#This Row],[CANTIDAD]]*Tabla2[[#This Row],[PREC. UNITARIO]]</f>
        <v>0</v>
      </c>
      <c r="R852" t="str">
        <f>Tabla2[[#This Row],[QUIEN RECIBE]]&amp;"-"&amp;TEXT(Tabla2[[#This Row],[FECHA]],"dd/mm/yyyy")</f>
        <v>ESCOBAR ARBILDO, GOLBER-22/10/2025</v>
      </c>
    </row>
    <row r="853" spans="2:18" ht="20.45" hidden="1" customHeight="1" x14ac:dyDescent="0.25">
      <c r="B853" s="5">
        <v>45950</v>
      </c>
      <c r="C853" s="2" t="str">
        <f>IFERROR(_xlfn.XLOOKUP(Tabla2[[#This Row],[PRODUCTO]],Tabla1[PRODUCTO],Tabla1[CODIGO]),"")</f>
        <v>AGU-1</v>
      </c>
      <c r="D853" s="31" t="s">
        <v>357</v>
      </c>
      <c r="E853" s="31" t="str">
        <f>IFERROR(VLOOKUP(Tabla2[[#This Row],[CODIGO]],Tabla1[],3,0),"")</f>
        <v>AGUA</v>
      </c>
      <c r="F853" s="28" t="str">
        <f>IFERROR(VLOOKUP(Tabla2[[#This Row],[CODIGO]],Tabla1[],5,0),"")</f>
        <v>ALMACEN TICAPAMPA</v>
      </c>
      <c r="G853" s="26" t="str">
        <f>IFERROR(VLOOKUP(Tabla2[[#This Row],[CODIGO]],Tabla1[],6,0),"")</f>
        <v>UNI</v>
      </c>
      <c r="H853" s="26">
        <f>IFERROR(VLOOKUP(Tabla2[[#This Row],[CODIGO]],Tabla1[],10,0),"")</f>
        <v>9</v>
      </c>
      <c r="I853" s="7">
        <v>-1</v>
      </c>
      <c r="J853" s="29" t="s">
        <v>350</v>
      </c>
      <c r="K853" s="26" t="str">
        <f>IFERROR(VLOOKUP(Tabla2[[#This Row],[CODIGO]],Tabla1[],11,0),"")</f>
        <v>COMPRA</v>
      </c>
      <c r="L853" s="67" t="s">
        <v>236</v>
      </c>
      <c r="M853" s="67" t="s">
        <v>240</v>
      </c>
      <c r="N853" s="70"/>
      <c r="O853" s="70">
        <f>Tabla2[[#This Row],[CANTIDAD]]*Tabla2[[#This Row],[PREC. UNITARIO]]</f>
        <v>0</v>
      </c>
      <c r="R853" t="str">
        <f>Tabla2[[#This Row],[QUIEN RECIBE]]&amp;"-"&amp;TEXT(Tabla2[[#This Row],[FECHA]],"dd/mm/yyyy")</f>
        <v>LOZANO MALDONADO, HERNAN-20/10/2025</v>
      </c>
    </row>
    <row r="854" spans="2:18" ht="20.45" hidden="1" customHeight="1" x14ac:dyDescent="0.25">
      <c r="B854" s="5">
        <v>45951</v>
      </c>
      <c r="C854" s="2" t="str">
        <f>IFERROR(_xlfn.XLOOKUP(Tabla2[[#This Row],[PRODUCTO]],Tabla1[PRODUCTO],Tabla1[CODIGO]),"")</f>
        <v>AGU-1</v>
      </c>
      <c r="D854" s="31" t="s">
        <v>357</v>
      </c>
      <c r="E854" s="31" t="str">
        <f>IFERROR(VLOOKUP(Tabla2[[#This Row],[CODIGO]],Tabla1[],3,0),"")</f>
        <v>AGUA</v>
      </c>
      <c r="F854" s="28" t="str">
        <f>IFERROR(VLOOKUP(Tabla2[[#This Row],[CODIGO]],Tabla1[],5,0),"")</f>
        <v>ALMACEN TICAPAMPA</v>
      </c>
      <c r="G854" s="26" t="str">
        <f>IFERROR(VLOOKUP(Tabla2[[#This Row],[CODIGO]],Tabla1[],6,0),"")</f>
        <v>UNI</v>
      </c>
      <c r="H854" s="26">
        <f>IFERROR(VLOOKUP(Tabla2[[#This Row],[CODIGO]],Tabla1[],10,0),"")</f>
        <v>9</v>
      </c>
      <c r="I854" s="7">
        <v>-1</v>
      </c>
      <c r="J854" s="29" t="s">
        <v>350</v>
      </c>
      <c r="K854" s="26" t="str">
        <f>IFERROR(VLOOKUP(Tabla2[[#This Row],[CODIGO]],Tabla1[],11,0),"")</f>
        <v>COMPRA</v>
      </c>
      <c r="L854" s="67" t="s">
        <v>236</v>
      </c>
      <c r="M854" s="67" t="s">
        <v>303</v>
      </c>
      <c r="N854" s="70"/>
      <c r="O854" s="70">
        <f>Tabla2[[#This Row],[CANTIDAD]]*Tabla2[[#This Row],[PREC. UNITARIO]]</f>
        <v>0</v>
      </c>
      <c r="R854" t="str">
        <f>Tabla2[[#This Row],[QUIEN RECIBE]]&amp;"-"&amp;TEXT(Tabla2[[#This Row],[FECHA]],"dd/mm/yyyy")</f>
        <v>APASTEGUI GRANDEZ, LUIS ALFREDO -21/10/2025</v>
      </c>
    </row>
    <row r="855" spans="2:18" ht="20.45" hidden="1" customHeight="1" x14ac:dyDescent="0.25">
      <c r="B855" s="5">
        <v>45952</v>
      </c>
      <c r="C855" s="2" t="str">
        <f>IFERROR(_xlfn.XLOOKUP(Tabla2[[#This Row],[PRODUCTO]],Tabla1[PRODUCTO],Tabla1[CODIGO]),"")</f>
        <v>IS-57</v>
      </c>
      <c r="D855" s="31" t="s">
        <v>538</v>
      </c>
      <c r="E855" s="31" t="str">
        <f>IFERROR(VLOOKUP(Tabla2[[#This Row],[CODIGO]],Tabla1[],3,0),"")</f>
        <v>IMPLEMENTOS DE SEGURIDAD</v>
      </c>
      <c r="F855" s="28" t="str">
        <f>IFERROR(VLOOKUP(Tabla2[[#This Row],[CODIGO]],Tabla1[],5,0),"")</f>
        <v>ALMACEN TICAPAMPA</v>
      </c>
      <c r="G855" s="26" t="str">
        <f>IFERROR(VLOOKUP(Tabla2[[#This Row],[CODIGO]],Tabla1[],6,0),"")</f>
        <v>UNI</v>
      </c>
      <c r="H855" s="26">
        <f>IFERROR(VLOOKUP(Tabla2[[#This Row],[CODIGO]],Tabla1[],10,0),"")</f>
        <v>70</v>
      </c>
      <c r="I855" s="7">
        <v>-1</v>
      </c>
      <c r="J855" s="29" t="s">
        <v>350</v>
      </c>
      <c r="K855" s="26" t="str">
        <f>IFERROR(VLOOKUP(Tabla2[[#This Row],[CODIGO]],Tabla1[],11,0),"")</f>
        <v>COMPRA</v>
      </c>
      <c r="L855" s="67" t="s">
        <v>236</v>
      </c>
      <c r="M855" s="67"/>
      <c r="N855" s="70"/>
      <c r="O855" s="70">
        <f>Tabla2[[#This Row],[CANTIDAD]]*Tabla2[[#This Row],[PREC. UNITARIO]]</f>
        <v>0</v>
      </c>
      <c r="R855" t="str">
        <f>Tabla2[[#This Row],[QUIEN RECIBE]]&amp;"-"&amp;TEXT(Tabla2[[#This Row],[FECHA]],"dd/mm/yyyy")</f>
        <v>-22/10/2025</v>
      </c>
    </row>
    <row r="856" spans="2:18" ht="20.45" hidden="1" customHeight="1" x14ac:dyDescent="0.25">
      <c r="B856" s="5">
        <v>45952</v>
      </c>
      <c r="C856" s="2" t="str">
        <f>IFERROR(_xlfn.XLOOKUP(Tabla2[[#This Row],[PRODUCTO]],Tabla1[PRODUCTO],Tabla1[CODIGO]),"")</f>
        <v>IS-43</v>
      </c>
      <c r="D856" s="31" t="s">
        <v>477</v>
      </c>
      <c r="E856" s="31" t="str">
        <f>IFERROR(VLOOKUP(Tabla2[[#This Row],[CODIGO]],Tabla1[],3,0),"")</f>
        <v>IMPLEMENTOS DE SEGURIDAD</v>
      </c>
      <c r="F856" s="28" t="str">
        <f>IFERROR(VLOOKUP(Tabla2[[#This Row],[CODIGO]],Tabla1[],5,0),"")</f>
        <v>ALMACEN TICAPAMPA</v>
      </c>
      <c r="G856" s="26" t="str">
        <f>IFERROR(VLOOKUP(Tabla2[[#This Row],[CODIGO]],Tabla1[],6,0),"")</f>
        <v>UNI</v>
      </c>
      <c r="H856" s="26">
        <f>IFERROR(VLOOKUP(Tabla2[[#This Row],[CODIGO]],Tabla1[],10,0),"")</f>
        <v>3</v>
      </c>
      <c r="I856" s="7">
        <v>-1</v>
      </c>
      <c r="J856" s="29" t="s">
        <v>551</v>
      </c>
      <c r="K856" s="26" t="str">
        <f>IFERROR(VLOOKUP(Tabla2[[#This Row],[CODIGO]],Tabla1[],11,0),"")</f>
        <v>COMPRA</v>
      </c>
      <c r="L856" s="67" t="s">
        <v>236</v>
      </c>
      <c r="M856" s="67" t="s">
        <v>562</v>
      </c>
      <c r="N856" s="70"/>
      <c r="O856" s="70">
        <f>Tabla2[[#This Row],[CANTIDAD]]*Tabla2[[#This Row],[PREC. UNITARIO]]</f>
        <v>0</v>
      </c>
      <c r="R856" t="str">
        <f>Tabla2[[#This Row],[QUIEN RECIBE]]&amp;"-"&amp;TEXT(Tabla2[[#This Row],[FECHA]],"dd/mm/yyyy")</f>
        <v>MACHUCA NAVARRO, OMAR-22/10/2025</v>
      </c>
    </row>
    <row r="857" spans="2:18" ht="20.45" hidden="1" customHeight="1" x14ac:dyDescent="0.25">
      <c r="B857" s="5">
        <v>45952</v>
      </c>
      <c r="C857" s="2" t="str">
        <f>IFERROR(_xlfn.XLOOKUP(Tabla2[[#This Row],[PRODUCTO]],Tabla1[PRODUCTO],Tabla1[CODIGO]),"")</f>
        <v>IS-43</v>
      </c>
      <c r="D857" s="31" t="s">
        <v>477</v>
      </c>
      <c r="E857" s="31" t="str">
        <f>IFERROR(VLOOKUP(Tabla2[[#This Row],[CODIGO]],Tabla1[],3,0),"")</f>
        <v>IMPLEMENTOS DE SEGURIDAD</v>
      </c>
      <c r="F857" s="28" t="str">
        <f>IFERROR(VLOOKUP(Tabla2[[#This Row],[CODIGO]],Tabla1[],5,0),"")</f>
        <v>ALMACEN TICAPAMPA</v>
      </c>
      <c r="G857" s="26" t="str">
        <f>IFERROR(VLOOKUP(Tabla2[[#This Row],[CODIGO]],Tabla1[],6,0),"")</f>
        <v>UNI</v>
      </c>
      <c r="H857" s="26">
        <f>IFERROR(VLOOKUP(Tabla2[[#This Row],[CODIGO]],Tabla1[],10,0),"")</f>
        <v>3</v>
      </c>
      <c r="I857" s="7">
        <v>-1</v>
      </c>
      <c r="J857" s="29" t="s">
        <v>551</v>
      </c>
      <c r="K857" s="26" t="str">
        <f>IFERROR(VLOOKUP(Tabla2[[#This Row],[CODIGO]],Tabla1[],11,0),"")</f>
        <v>COMPRA</v>
      </c>
      <c r="L857" s="67" t="s">
        <v>236</v>
      </c>
      <c r="M857" s="67" t="s">
        <v>575</v>
      </c>
      <c r="N857" s="70"/>
      <c r="O857" s="70">
        <f>Tabla2[[#This Row],[CANTIDAD]]*Tabla2[[#This Row],[PREC. UNITARIO]]</f>
        <v>0</v>
      </c>
      <c r="R857" t="str">
        <f>Tabla2[[#This Row],[QUIEN RECIBE]]&amp;"-"&amp;TEXT(Tabla2[[#This Row],[FECHA]],"dd/mm/yyyy")</f>
        <v>CHAVEZ MONTALICO, ISAAC-22/10/2025</v>
      </c>
    </row>
    <row r="858" spans="2:18" ht="20.45" hidden="1" customHeight="1" x14ac:dyDescent="0.25">
      <c r="B858" s="5">
        <v>45952</v>
      </c>
      <c r="C858" s="2" t="str">
        <f>IFERROR(_xlfn.XLOOKUP(Tabla2[[#This Row],[PRODUCTO]],Tabla1[PRODUCTO],Tabla1[CODIGO]),"")</f>
        <v>IS-43</v>
      </c>
      <c r="D858" s="31" t="s">
        <v>477</v>
      </c>
      <c r="E858" s="31" t="str">
        <f>IFERROR(VLOOKUP(Tabla2[[#This Row],[CODIGO]],Tabla1[],3,0),"")</f>
        <v>IMPLEMENTOS DE SEGURIDAD</v>
      </c>
      <c r="F858" s="28" t="str">
        <f>IFERROR(VLOOKUP(Tabla2[[#This Row],[CODIGO]],Tabla1[],5,0),"")</f>
        <v>ALMACEN TICAPAMPA</v>
      </c>
      <c r="G858" s="26" t="str">
        <f>IFERROR(VLOOKUP(Tabla2[[#This Row],[CODIGO]],Tabla1[],6,0),"")</f>
        <v>UNI</v>
      </c>
      <c r="H858" s="26">
        <f>IFERROR(VLOOKUP(Tabla2[[#This Row],[CODIGO]],Tabla1[],10,0),"")</f>
        <v>3</v>
      </c>
      <c r="I858" s="7">
        <v>-1</v>
      </c>
      <c r="J858" s="29" t="s">
        <v>551</v>
      </c>
      <c r="K858" s="26" t="str">
        <f>IFERROR(VLOOKUP(Tabla2[[#This Row],[CODIGO]],Tabla1[],11,0),"")</f>
        <v>COMPRA</v>
      </c>
      <c r="L858" s="67" t="s">
        <v>236</v>
      </c>
      <c r="M858" s="67" t="s">
        <v>561</v>
      </c>
      <c r="N858" s="70"/>
      <c r="O858" s="70">
        <f>Tabla2[[#This Row],[CANTIDAD]]*Tabla2[[#This Row],[PREC. UNITARIO]]</f>
        <v>0</v>
      </c>
      <c r="R858" t="str">
        <f>Tabla2[[#This Row],[QUIEN RECIBE]]&amp;"-"&amp;TEXT(Tabla2[[#This Row],[FECHA]],"dd/mm/yyyy")</f>
        <v>OLIVA TARAPA, TOMAS-22/10/2025</v>
      </c>
    </row>
    <row r="859" spans="2:18" ht="20.45" hidden="1" customHeight="1" x14ac:dyDescent="0.25">
      <c r="B859" s="5">
        <v>45952</v>
      </c>
      <c r="C859" s="2" t="str">
        <f>IFERROR(_xlfn.XLOOKUP(Tabla2[[#This Row],[PRODUCTO]],Tabla1[PRODUCTO],Tabla1[CODIGO]),"")</f>
        <v>IS-43</v>
      </c>
      <c r="D859" s="31" t="s">
        <v>477</v>
      </c>
      <c r="E859" s="31" t="str">
        <f>IFERROR(VLOOKUP(Tabla2[[#This Row],[CODIGO]],Tabla1[],3,0),"")</f>
        <v>IMPLEMENTOS DE SEGURIDAD</v>
      </c>
      <c r="F859" s="28" t="str">
        <f>IFERROR(VLOOKUP(Tabla2[[#This Row],[CODIGO]],Tabla1[],5,0),"")</f>
        <v>ALMACEN TICAPAMPA</v>
      </c>
      <c r="G859" s="26" t="str">
        <f>IFERROR(VLOOKUP(Tabla2[[#This Row],[CODIGO]],Tabla1[],6,0),"")</f>
        <v>UNI</v>
      </c>
      <c r="H859" s="26">
        <f>IFERROR(VLOOKUP(Tabla2[[#This Row],[CODIGO]],Tabla1[],10,0),"")</f>
        <v>3</v>
      </c>
      <c r="I859" s="7">
        <v>-1</v>
      </c>
      <c r="J859" s="29" t="s">
        <v>551</v>
      </c>
      <c r="K859" s="26" t="str">
        <f>IFERROR(VLOOKUP(Tabla2[[#This Row],[CODIGO]],Tabla1[],11,0),"")</f>
        <v>COMPRA</v>
      </c>
      <c r="L859" s="67" t="s">
        <v>236</v>
      </c>
      <c r="M859" s="67" t="s">
        <v>537</v>
      </c>
      <c r="N859" s="70"/>
      <c r="O859" s="70">
        <f>Tabla2[[#This Row],[CANTIDAD]]*Tabla2[[#This Row],[PREC. UNITARIO]]</f>
        <v>0</v>
      </c>
      <c r="R859" t="str">
        <f>Tabla2[[#This Row],[QUIEN RECIBE]]&amp;"-"&amp;TEXT(Tabla2[[#This Row],[FECHA]],"dd/mm/yyyy")</f>
        <v>GAMARRA CONDORI, ANGEL-22/10/2025</v>
      </c>
    </row>
    <row r="860" spans="2:18" ht="20.45" hidden="1" customHeight="1" x14ac:dyDescent="0.25">
      <c r="B860" s="5">
        <v>45952</v>
      </c>
      <c r="C860" s="2" t="str">
        <f>IFERROR(_xlfn.XLOOKUP(Tabla2[[#This Row],[PRODUCTO]],Tabla1[PRODUCTO],Tabla1[CODIGO]),"")</f>
        <v>IS-43</v>
      </c>
      <c r="D860" s="31" t="s">
        <v>477</v>
      </c>
      <c r="E860" s="31" t="str">
        <f>IFERROR(VLOOKUP(Tabla2[[#This Row],[CODIGO]],Tabla1[],3,0),"")</f>
        <v>IMPLEMENTOS DE SEGURIDAD</v>
      </c>
      <c r="F860" s="28" t="str">
        <f>IFERROR(VLOOKUP(Tabla2[[#This Row],[CODIGO]],Tabla1[],5,0),"")</f>
        <v>ALMACEN TICAPAMPA</v>
      </c>
      <c r="G860" s="26" t="str">
        <f>IFERROR(VLOOKUP(Tabla2[[#This Row],[CODIGO]],Tabla1[],6,0),"")</f>
        <v>UNI</v>
      </c>
      <c r="H860" s="26">
        <f>IFERROR(VLOOKUP(Tabla2[[#This Row],[CODIGO]],Tabla1[],10,0),"")</f>
        <v>3</v>
      </c>
      <c r="I860" s="7">
        <v>-1</v>
      </c>
      <c r="J860" s="29" t="s">
        <v>551</v>
      </c>
      <c r="K860" s="26" t="str">
        <f>IFERROR(VLOOKUP(Tabla2[[#This Row],[CODIGO]],Tabla1[],11,0),"")</f>
        <v>COMPRA</v>
      </c>
      <c r="L860" s="67" t="s">
        <v>236</v>
      </c>
      <c r="M860" s="67" t="s">
        <v>240</v>
      </c>
      <c r="N860" s="70"/>
      <c r="O860" s="70">
        <f>Tabla2[[#This Row],[CANTIDAD]]*Tabla2[[#This Row],[PREC. UNITARIO]]</f>
        <v>0</v>
      </c>
      <c r="R860" t="str">
        <f>Tabla2[[#This Row],[QUIEN RECIBE]]&amp;"-"&amp;TEXT(Tabla2[[#This Row],[FECHA]],"dd/mm/yyyy")</f>
        <v>LOZANO MALDONADO, HERNAN-22/10/2025</v>
      </c>
    </row>
    <row r="861" spans="2:18" ht="20.45" hidden="1" customHeight="1" x14ac:dyDescent="0.25">
      <c r="B861" s="5">
        <v>45952</v>
      </c>
      <c r="C861" s="2" t="str">
        <f>IFERROR(_xlfn.XLOOKUP(Tabla2[[#This Row],[PRODUCTO]],Tabla1[PRODUCTO],Tabla1[CODIGO]),"")</f>
        <v>IS-43</v>
      </c>
      <c r="D861" s="31" t="s">
        <v>477</v>
      </c>
      <c r="E861" s="31" t="str">
        <f>IFERROR(VLOOKUP(Tabla2[[#This Row],[CODIGO]],Tabla1[],3,0),"")</f>
        <v>IMPLEMENTOS DE SEGURIDAD</v>
      </c>
      <c r="F861" s="28" t="str">
        <f>IFERROR(VLOOKUP(Tabla2[[#This Row],[CODIGO]],Tabla1[],5,0),"")</f>
        <v>ALMACEN TICAPAMPA</v>
      </c>
      <c r="G861" s="26" t="str">
        <f>IFERROR(VLOOKUP(Tabla2[[#This Row],[CODIGO]],Tabla1[],6,0),"")</f>
        <v>UNI</v>
      </c>
      <c r="H861" s="26">
        <f>IFERROR(VLOOKUP(Tabla2[[#This Row],[CODIGO]],Tabla1[],10,0),"")</f>
        <v>3</v>
      </c>
      <c r="I861" s="7">
        <v>-1</v>
      </c>
      <c r="J861" s="29" t="s">
        <v>551</v>
      </c>
      <c r="K861" s="26" t="str">
        <f>IFERROR(VLOOKUP(Tabla2[[#This Row],[CODIGO]],Tabla1[],11,0),"")</f>
        <v>COMPRA</v>
      </c>
      <c r="L861" s="67" t="s">
        <v>236</v>
      </c>
      <c r="M861" s="67" t="s">
        <v>574</v>
      </c>
      <c r="N861" s="70"/>
      <c r="O861" s="70">
        <f>Tabla2[[#This Row],[CANTIDAD]]*Tabla2[[#This Row],[PREC. UNITARIO]]</f>
        <v>0</v>
      </c>
      <c r="R861" t="str">
        <f>Tabla2[[#This Row],[QUIEN RECIBE]]&amp;"-"&amp;TEXT(Tabla2[[#This Row],[FECHA]],"dd/mm/yyyy")</f>
        <v>ESCOBAR ARBILDO, RUSBER-22/10/2025</v>
      </c>
    </row>
    <row r="862" spans="2:18" ht="20.45" hidden="1" customHeight="1" x14ac:dyDescent="0.25">
      <c r="B862" s="5">
        <v>45951</v>
      </c>
      <c r="C862" s="2" t="str">
        <f>IFERROR(_xlfn.XLOOKUP(Tabla2[[#This Row],[PRODUCTO]],Tabla1[PRODUCTO],Tabla1[CODIGO]),"")</f>
        <v>UE-58</v>
      </c>
      <c r="D862" s="31" t="s">
        <v>421</v>
      </c>
      <c r="E862" s="31" t="str">
        <f>IFERROR(VLOOKUP(Tabla2[[#This Row],[CODIGO]],Tabla1[],3,0),"")</f>
        <v>UTILES DE ESCRITORIO</v>
      </c>
      <c r="F862" s="28" t="str">
        <f>IFERROR(VLOOKUP(Tabla2[[#This Row],[CODIGO]],Tabla1[],5,0),"")</f>
        <v>ALMACEN TICAPAMPA</v>
      </c>
      <c r="G862" s="26" t="str">
        <f>IFERROR(VLOOKUP(Tabla2[[#This Row],[CODIGO]],Tabla1[],6,0),"")</f>
        <v>UNI</v>
      </c>
      <c r="H862" s="26">
        <f>IFERROR(VLOOKUP(Tabla2[[#This Row],[CODIGO]],Tabla1[],10,0),"")</f>
        <v>28</v>
      </c>
      <c r="I862" s="7">
        <v>36</v>
      </c>
      <c r="J862" s="29" t="s">
        <v>577</v>
      </c>
      <c r="K862" s="26" t="str">
        <f>IFERROR(VLOOKUP(Tabla2[[#This Row],[CODIGO]],Tabla1[],11,0),"")</f>
        <v>COMPRA</v>
      </c>
      <c r="L862" s="67" t="s">
        <v>308</v>
      </c>
      <c r="M862" s="67" t="s">
        <v>472</v>
      </c>
      <c r="N862" s="70"/>
      <c r="O862" s="70">
        <f>Tabla2[[#This Row],[CANTIDAD]]*Tabla2[[#This Row],[PREC. UNITARIO]]</f>
        <v>0</v>
      </c>
      <c r="R862" t="str">
        <f>Tabla2[[#This Row],[QUIEN RECIBE]]&amp;"-"&amp;TEXT(Tabla2[[#This Row],[FECHA]],"dd/mm/yyyy")</f>
        <v>ACUACHI LANCHIPA ERNESTO ALONSO-21/10/2025</v>
      </c>
    </row>
    <row r="863" spans="2:18" ht="20.45" hidden="1" customHeight="1" x14ac:dyDescent="0.25">
      <c r="B863" s="5">
        <v>45952</v>
      </c>
      <c r="C863" s="2" t="str">
        <f>IFERROR(_xlfn.XLOOKUP(Tabla2[[#This Row],[PRODUCTO]],Tabla1[PRODUCTO],Tabla1[CODIGO]),"")</f>
        <v>UE-58</v>
      </c>
      <c r="D863" s="31" t="s">
        <v>421</v>
      </c>
      <c r="E863" s="31" t="str">
        <f>IFERROR(VLOOKUP(Tabla2[[#This Row],[CODIGO]],Tabla1[],3,0),"")</f>
        <v>UTILES DE ESCRITORIO</v>
      </c>
      <c r="F863" s="28" t="str">
        <f>IFERROR(VLOOKUP(Tabla2[[#This Row],[CODIGO]],Tabla1[],5,0),"")</f>
        <v>ALMACEN TICAPAMPA</v>
      </c>
      <c r="G863" s="26" t="str">
        <f>IFERROR(VLOOKUP(Tabla2[[#This Row],[CODIGO]],Tabla1[],6,0),"")</f>
        <v>UNI</v>
      </c>
      <c r="H863" s="26">
        <f>IFERROR(VLOOKUP(Tabla2[[#This Row],[CODIGO]],Tabla1[],10,0),"")</f>
        <v>28</v>
      </c>
      <c r="I863" s="7">
        <v>-2</v>
      </c>
      <c r="J863" s="29" t="s">
        <v>350</v>
      </c>
      <c r="K863" s="26" t="str">
        <f>IFERROR(VLOOKUP(Tabla2[[#This Row],[CODIGO]],Tabla1[],11,0),"")</f>
        <v>COMPRA</v>
      </c>
      <c r="L863" s="67" t="s">
        <v>236</v>
      </c>
      <c r="M863" s="67" t="s">
        <v>242</v>
      </c>
      <c r="N863" s="70"/>
      <c r="O863" s="70">
        <f>Tabla2[[#This Row],[CANTIDAD]]*Tabla2[[#This Row],[PREC. UNITARIO]]</f>
        <v>0</v>
      </c>
      <c r="R863" t="str">
        <f>Tabla2[[#This Row],[QUIEN RECIBE]]&amp;"-"&amp;TEXT(Tabla2[[#This Row],[FECHA]],"dd/mm/yyyy")</f>
        <v>MAYTAHUARI ACOSTA, SAMMER AXEL-22/10/2025</v>
      </c>
    </row>
    <row r="864" spans="2:18" ht="20.45" hidden="1" customHeight="1" x14ac:dyDescent="0.25">
      <c r="B864" s="5">
        <v>45952</v>
      </c>
      <c r="C864" s="2" t="str">
        <f>IFERROR(_xlfn.XLOOKUP(Tabla2[[#This Row],[PRODUCTO]],Tabla1[PRODUCTO],Tabla1[CODIGO]),"")</f>
        <v>UE-58</v>
      </c>
      <c r="D864" s="31" t="s">
        <v>421</v>
      </c>
      <c r="E864" s="31" t="str">
        <f>IFERROR(VLOOKUP(Tabla2[[#This Row],[CODIGO]],Tabla1[],3,0),"")</f>
        <v>UTILES DE ESCRITORIO</v>
      </c>
      <c r="F864" s="28" t="str">
        <f>IFERROR(VLOOKUP(Tabla2[[#This Row],[CODIGO]],Tabla1[],5,0),"")</f>
        <v>ALMACEN TICAPAMPA</v>
      </c>
      <c r="G864" s="26" t="str">
        <f>IFERROR(VLOOKUP(Tabla2[[#This Row],[CODIGO]],Tabla1[],6,0),"")</f>
        <v>UNI</v>
      </c>
      <c r="H864" s="26">
        <f>IFERROR(VLOOKUP(Tabla2[[#This Row],[CODIGO]],Tabla1[],10,0),"")</f>
        <v>28</v>
      </c>
      <c r="I864" s="7">
        <v>-2</v>
      </c>
      <c r="J864" s="29" t="s">
        <v>350</v>
      </c>
      <c r="K864" s="26" t="str">
        <f>IFERROR(VLOOKUP(Tabla2[[#This Row],[CODIGO]],Tabla1[],11,0),"")</f>
        <v>COMPRA</v>
      </c>
      <c r="L864" s="67" t="s">
        <v>236</v>
      </c>
      <c r="M864" s="67" t="s">
        <v>576</v>
      </c>
      <c r="N864" s="70"/>
      <c r="O864" s="70">
        <f>Tabla2[[#This Row],[CANTIDAD]]*Tabla2[[#This Row],[PREC. UNITARIO]]</f>
        <v>0</v>
      </c>
      <c r="R864" t="str">
        <f>Tabla2[[#This Row],[QUIEN RECIBE]]&amp;"-"&amp;TEXT(Tabla2[[#This Row],[FECHA]],"dd/mm/yyyy")</f>
        <v>NAVARRO LOZANO, MARCO MANUEL-22/10/2025</v>
      </c>
    </row>
    <row r="865" spans="2:18" ht="20.45" hidden="1" customHeight="1" x14ac:dyDescent="0.25">
      <c r="B865" s="5">
        <v>45952</v>
      </c>
      <c r="C865" s="2" t="str">
        <f>IFERROR(_xlfn.XLOOKUP(Tabla2[[#This Row],[PRODUCTO]],Tabla1[PRODUCTO],Tabla1[CODIGO]),"")</f>
        <v>UE-58</v>
      </c>
      <c r="D865" s="31" t="s">
        <v>421</v>
      </c>
      <c r="E865" s="31" t="str">
        <f>IFERROR(VLOOKUP(Tabla2[[#This Row],[CODIGO]],Tabla1[],3,0),"")</f>
        <v>UTILES DE ESCRITORIO</v>
      </c>
      <c r="F865" s="28" t="str">
        <f>IFERROR(VLOOKUP(Tabla2[[#This Row],[CODIGO]],Tabla1[],5,0),"")</f>
        <v>ALMACEN TICAPAMPA</v>
      </c>
      <c r="G865" s="26" t="str">
        <f>IFERROR(VLOOKUP(Tabla2[[#This Row],[CODIGO]],Tabla1[],6,0),"")</f>
        <v>UNI</v>
      </c>
      <c r="H865" s="26">
        <f>IFERROR(VLOOKUP(Tabla2[[#This Row],[CODIGO]],Tabla1[],10,0),"")</f>
        <v>28</v>
      </c>
      <c r="I865" s="7">
        <v>-1</v>
      </c>
      <c r="J865" s="29" t="s">
        <v>350</v>
      </c>
      <c r="K865" s="26" t="str">
        <f>IFERROR(VLOOKUP(Tabla2[[#This Row],[CODIGO]],Tabla1[],11,0),"")</f>
        <v>COMPRA</v>
      </c>
      <c r="L865" s="67" t="s">
        <v>236</v>
      </c>
      <c r="M865" s="67" t="s">
        <v>303</v>
      </c>
      <c r="N865" s="70"/>
      <c r="O865" s="70">
        <f>Tabla2[[#This Row],[CANTIDAD]]*Tabla2[[#This Row],[PREC. UNITARIO]]</f>
        <v>0</v>
      </c>
      <c r="R865" t="str">
        <f>Tabla2[[#This Row],[QUIEN RECIBE]]&amp;"-"&amp;TEXT(Tabla2[[#This Row],[FECHA]],"dd/mm/yyyy")</f>
        <v>APASTEGUI GRANDEZ, LUIS ALFREDO -22/10/2025</v>
      </c>
    </row>
    <row r="866" spans="2:18" ht="20.45" hidden="1" customHeight="1" x14ac:dyDescent="0.25">
      <c r="B866" s="5">
        <v>45951</v>
      </c>
      <c r="C866" s="2" t="str">
        <f>IFERROR(_xlfn.XLOOKUP(Tabla2[[#This Row],[PRODUCTO]],Tabla1[PRODUCTO],Tabla1[CODIGO]),"")</f>
        <v>UE-75</v>
      </c>
      <c r="D866" s="31" t="s">
        <v>578</v>
      </c>
      <c r="E866" s="31" t="str">
        <f>IFERROR(VLOOKUP(Tabla2[[#This Row],[CODIGO]],Tabla1[],3,0),"")</f>
        <v>UTILES DE ESCRITORIO</v>
      </c>
      <c r="F866" s="28" t="str">
        <f>IFERROR(VLOOKUP(Tabla2[[#This Row],[CODIGO]],Tabla1[],5,0),"")</f>
        <v>ALMACEN TICAPAMPA</v>
      </c>
      <c r="G866" s="26" t="str">
        <f>IFERROR(VLOOKUP(Tabla2[[#This Row],[CODIGO]],Tabla1[],6,0),"")</f>
        <v>CAJA</v>
      </c>
      <c r="H866" s="26">
        <f>IFERROR(VLOOKUP(Tabla2[[#This Row],[CODIGO]],Tabla1[],10,0),"")</f>
        <v>2</v>
      </c>
      <c r="I866" s="7">
        <v>2</v>
      </c>
      <c r="J866" s="29" t="s">
        <v>579</v>
      </c>
      <c r="K866" s="26" t="str">
        <f>IFERROR(VLOOKUP(Tabla2[[#This Row],[CODIGO]],Tabla1[],11,0),"")</f>
        <v>COMPRA</v>
      </c>
      <c r="L866" s="67" t="s">
        <v>308</v>
      </c>
      <c r="M866" s="67" t="s">
        <v>236</v>
      </c>
      <c r="N866" s="70"/>
      <c r="O866" s="70">
        <f>Tabla2[[#This Row],[CANTIDAD]]*Tabla2[[#This Row],[PREC. UNITARIO]]</f>
        <v>0</v>
      </c>
      <c r="R866" t="str">
        <f>Tabla2[[#This Row],[QUIEN RECIBE]]&amp;"-"&amp;TEXT(Tabla2[[#This Row],[FECHA]],"dd/mm/yyyy")</f>
        <v>NAVARRO LOZANO, ANGEL JAROL-21/10/2025</v>
      </c>
    </row>
    <row r="867" spans="2:18" ht="20.45" hidden="1" customHeight="1" x14ac:dyDescent="0.25">
      <c r="B867" s="5">
        <v>45945</v>
      </c>
      <c r="C867" s="2" t="str">
        <f>IFERROR(_xlfn.XLOOKUP(Tabla2[[#This Row],[PRODUCTO]],Tabla1[PRODUCTO],Tabla1[CODIGO]),"")</f>
        <v>CEM-1</v>
      </c>
      <c r="D867" s="31" t="s">
        <v>485</v>
      </c>
      <c r="E867" s="31" t="str">
        <f>IFERROR(VLOOKUP(Tabla2[[#This Row],[CODIGO]],Tabla1[],3,0),"")</f>
        <v>CEMENTO</v>
      </c>
      <c r="F867" s="28" t="str">
        <f>IFERROR(VLOOKUP(Tabla2[[#This Row],[CODIGO]],Tabla1[],5,0),"")</f>
        <v>ALMACEN TICAPAMPA</v>
      </c>
      <c r="G867" s="26" t="str">
        <f>IFERROR(VLOOKUP(Tabla2[[#This Row],[CODIGO]],Tabla1[],6,0),"")</f>
        <v>UNI</v>
      </c>
      <c r="H867" s="26">
        <f>IFERROR(VLOOKUP(Tabla2[[#This Row],[CODIGO]],Tabla1[],10,0),"")</f>
        <v>1545</v>
      </c>
      <c r="I867" s="7">
        <v>-12</v>
      </c>
      <c r="J867" s="29" t="s">
        <v>551</v>
      </c>
      <c r="K867" s="26" t="str">
        <f>IFERROR(VLOOKUP(Tabla2[[#This Row],[CODIGO]],Tabla1[],11,0),"")</f>
        <v>COMPRA</v>
      </c>
      <c r="L867" s="67" t="s">
        <v>236</v>
      </c>
      <c r="M867" s="67" t="s">
        <v>239</v>
      </c>
      <c r="N867" s="70">
        <v>23</v>
      </c>
      <c r="O867" s="70">
        <f>Tabla2[[#This Row],[CANTIDAD]]*Tabla2[[#This Row],[PREC. UNITARIO]]</f>
        <v>-276</v>
      </c>
      <c r="R867" t="str">
        <f>Tabla2[[#This Row],[QUIEN RECIBE]]&amp;"-"&amp;TEXT(Tabla2[[#This Row],[FECHA]],"dd/mm/yyyy")</f>
        <v>JEREMIAS PALOMINO, NORBERTO LEONCIO-15/10/2025</v>
      </c>
    </row>
    <row r="868" spans="2:18" ht="20.45" hidden="1" customHeight="1" x14ac:dyDescent="0.25">
      <c r="B868" s="5">
        <v>45946</v>
      </c>
      <c r="C868" s="2" t="str">
        <f>IFERROR(_xlfn.XLOOKUP(Tabla2[[#This Row],[PRODUCTO]],Tabla1[PRODUCTO],Tabla1[CODIGO]),"")</f>
        <v>CEM-1</v>
      </c>
      <c r="D868" s="31" t="s">
        <v>485</v>
      </c>
      <c r="E868" s="31" t="str">
        <f>IFERROR(VLOOKUP(Tabla2[[#This Row],[CODIGO]],Tabla1[],3,0),"")</f>
        <v>CEMENTO</v>
      </c>
      <c r="F868" s="28" t="str">
        <f>IFERROR(VLOOKUP(Tabla2[[#This Row],[CODIGO]],Tabla1[],5,0),"")</f>
        <v>ALMACEN TICAPAMPA</v>
      </c>
      <c r="G868" s="26" t="str">
        <f>IFERROR(VLOOKUP(Tabla2[[#This Row],[CODIGO]],Tabla1[],6,0),"")</f>
        <v>UNI</v>
      </c>
      <c r="H868" s="26">
        <f>IFERROR(VLOOKUP(Tabla2[[#This Row],[CODIGO]],Tabla1[],10,0),"")</f>
        <v>1545</v>
      </c>
      <c r="I868" s="7">
        <v>-31</v>
      </c>
      <c r="J868" s="29" t="s">
        <v>551</v>
      </c>
      <c r="K868" s="26" t="str">
        <f>IFERROR(VLOOKUP(Tabla2[[#This Row],[CODIGO]],Tabla1[],11,0),"")</f>
        <v>COMPRA</v>
      </c>
      <c r="L868" s="67" t="s">
        <v>236</v>
      </c>
      <c r="M868" s="67" t="s">
        <v>239</v>
      </c>
      <c r="N868" s="70">
        <v>23</v>
      </c>
      <c r="O868" s="70">
        <f>Tabla2[[#This Row],[CANTIDAD]]*Tabla2[[#This Row],[PREC. UNITARIO]]</f>
        <v>-713</v>
      </c>
      <c r="R868" t="str">
        <f>Tabla2[[#This Row],[QUIEN RECIBE]]&amp;"-"&amp;TEXT(Tabla2[[#This Row],[FECHA]],"dd/mm/yyyy")</f>
        <v>JEREMIAS PALOMINO, NORBERTO LEONCIO-16/10/2025</v>
      </c>
    </row>
    <row r="869" spans="2:18" ht="20.45" hidden="1" customHeight="1" x14ac:dyDescent="0.25">
      <c r="B869" s="5">
        <v>45946</v>
      </c>
      <c r="C869" s="2" t="str">
        <f>IFERROR(_xlfn.XLOOKUP(Tabla2[[#This Row],[PRODUCTO]],Tabla1[PRODUCTO],Tabla1[CODIGO]),"")</f>
        <v>CEM-1</v>
      </c>
      <c r="D869" s="31" t="s">
        <v>485</v>
      </c>
      <c r="E869" s="31" t="str">
        <f>IFERROR(VLOOKUP(Tabla2[[#This Row],[CODIGO]],Tabla1[],3,0),"")</f>
        <v>CEMENTO</v>
      </c>
      <c r="F869" s="28" t="str">
        <f>IFERROR(VLOOKUP(Tabla2[[#This Row],[CODIGO]],Tabla1[],5,0),"")</f>
        <v>ALMACEN TICAPAMPA</v>
      </c>
      <c r="G869" s="26" t="str">
        <f>IFERROR(VLOOKUP(Tabla2[[#This Row],[CODIGO]],Tabla1[],6,0),"")</f>
        <v>UNI</v>
      </c>
      <c r="H869" s="26">
        <f>IFERROR(VLOOKUP(Tabla2[[#This Row],[CODIGO]],Tabla1[],10,0),"")</f>
        <v>1545</v>
      </c>
      <c r="I869" s="7">
        <v>-41</v>
      </c>
      <c r="J869" s="29" t="s">
        <v>551</v>
      </c>
      <c r="K869" s="26" t="str">
        <f>IFERROR(VLOOKUP(Tabla2[[#This Row],[CODIGO]],Tabla1[],11,0),"")</f>
        <v>COMPRA</v>
      </c>
      <c r="L869" s="67" t="s">
        <v>236</v>
      </c>
      <c r="M869" s="67" t="s">
        <v>239</v>
      </c>
      <c r="N869" s="70">
        <v>23</v>
      </c>
      <c r="O869" s="70">
        <f>Tabla2[[#This Row],[CANTIDAD]]*Tabla2[[#This Row],[PREC. UNITARIO]]</f>
        <v>-943</v>
      </c>
      <c r="R869" t="str">
        <f>Tabla2[[#This Row],[QUIEN RECIBE]]&amp;"-"&amp;TEXT(Tabla2[[#This Row],[FECHA]],"dd/mm/yyyy")</f>
        <v>JEREMIAS PALOMINO, NORBERTO LEONCIO-16/10/2025</v>
      </c>
    </row>
    <row r="870" spans="2:18" ht="20.45" hidden="1" customHeight="1" x14ac:dyDescent="0.25">
      <c r="B870" s="5">
        <v>45948</v>
      </c>
      <c r="C870" s="2" t="str">
        <f>IFERROR(_xlfn.XLOOKUP(Tabla2[[#This Row],[PRODUCTO]],Tabla1[PRODUCTO],Tabla1[CODIGO]),"")</f>
        <v>CEM-1</v>
      </c>
      <c r="D870" s="31" t="s">
        <v>485</v>
      </c>
      <c r="E870" s="31" t="str">
        <f>IFERROR(VLOOKUP(Tabla2[[#This Row],[CODIGO]],Tabla1[],3,0),"")</f>
        <v>CEMENTO</v>
      </c>
      <c r="F870" s="28" t="str">
        <f>IFERROR(VLOOKUP(Tabla2[[#This Row],[CODIGO]],Tabla1[],5,0),"")</f>
        <v>ALMACEN TICAPAMPA</v>
      </c>
      <c r="G870" s="26" t="str">
        <f>IFERROR(VLOOKUP(Tabla2[[#This Row],[CODIGO]],Tabla1[],6,0),"")</f>
        <v>UNI</v>
      </c>
      <c r="H870" s="26">
        <f>IFERROR(VLOOKUP(Tabla2[[#This Row],[CODIGO]],Tabla1[],10,0),"")</f>
        <v>1545</v>
      </c>
      <c r="I870" s="7">
        <v>-30</v>
      </c>
      <c r="J870" s="29" t="s">
        <v>551</v>
      </c>
      <c r="K870" s="26" t="str">
        <f>IFERROR(VLOOKUP(Tabla2[[#This Row],[CODIGO]],Tabla1[],11,0),"")</f>
        <v>COMPRA</v>
      </c>
      <c r="L870" s="67" t="s">
        <v>236</v>
      </c>
      <c r="M870" s="67" t="s">
        <v>239</v>
      </c>
      <c r="N870" s="70">
        <v>23</v>
      </c>
      <c r="O870" s="70">
        <f>Tabla2[[#This Row],[CANTIDAD]]*Tabla2[[#This Row],[PREC. UNITARIO]]</f>
        <v>-690</v>
      </c>
      <c r="R870" t="str">
        <f>Tabla2[[#This Row],[QUIEN RECIBE]]&amp;"-"&amp;TEXT(Tabla2[[#This Row],[FECHA]],"dd/mm/yyyy")</f>
        <v>JEREMIAS PALOMINO, NORBERTO LEONCIO-18/10/2025</v>
      </c>
    </row>
    <row r="871" spans="2:18" ht="20.45" hidden="1" customHeight="1" x14ac:dyDescent="0.25">
      <c r="B871" s="5">
        <v>45951</v>
      </c>
      <c r="C871" s="2" t="str">
        <f>IFERROR(_xlfn.XLOOKUP(Tabla2[[#This Row],[PRODUCTO]],Tabla1[PRODUCTO],Tabla1[CODIGO]),"")</f>
        <v>CEM-1</v>
      </c>
      <c r="D871" s="31" t="s">
        <v>485</v>
      </c>
      <c r="E871" s="31" t="str">
        <f>IFERROR(VLOOKUP(Tabla2[[#This Row],[CODIGO]],Tabla1[],3,0),"")</f>
        <v>CEMENTO</v>
      </c>
      <c r="F871" s="28" t="str">
        <f>IFERROR(VLOOKUP(Tabla2[[#This Row],[CODIGO]],Tabla1[],5,0),"")</f>
        <v>ALMACEN TICAPAMPA</v>
      </c>
      <c r="G871" s="26" t="str">
        <f>IFERROR(VLOOKUP(Tabla2[[#This Row],[CODIGO]],Tabla1[],6,0),"")</f>
        <v>UNI</v>
      </c>
      <c r="H871" s="26">
        <f>IFERROR(VLOOKUP(Tabla2[[#This Row],[CODIGO]],Tabla1[],10,0),"")</f>
        <v>1545</v>
      </c>
      <c r="I871" s="7">
        <v>-200</v>
      </c>
      <c r="J871" s="29" t="s">
        <v>580</v>
      </c>
      <c r="K871" s="26" t="str">
        <f>IFERROR(VLOOKUP(Tabla2[[#This Row],[CODIGO]],Tabla1[],11,0),"")</f>
        <v>COMPRA</v>
      </c>
      <c r="L871" s="67" t="s">
        <v>236</v>
      </c>
      <c r="M871" s="67" t="s">
        <v>545</v>
      </c>
      <c r="N871" s="70">
        <v>23</v>
      </c>
      <c r="O871" s="70">
        <f>Tabla2[[#This Row],[CANTIDAD]]*Tabla2[[#This Row],[PREC. UNITARIO]]</f>
        <v>-4600</v>
      </c>
      <c r="R871" t="str">
        <f>Tabla2[[#This Row],[QUIEN RECIBE]]&amp;"-"&amp;TEXT(Tabla2[[#This Row],[FECHA]],"dd/mm/yyyy")</f>
        <v>ROSAS CHACHAQUE, WILSON JHONY-21/10/2025</v>
      </c>
    </row>
    <row r="872" spans="2:18" ht="20.45" hidden="1" customHeight="1" x14ac:dyDescent="0.25">
      <c r="B872" s="5">
        <v>45951</v>
      </c>
      <c r="C872" s="2" t="str">
        <f>IFERROR(_xlfn.XLOOKUP(Tabla2[[#This Row],[PRODUCTO]],Tabla1[PRODUCTO],Tabla1[CODIGO]),"")</f>
        <v>OTR-12</v>
      </c>
      <c r="D872" s="31" t="s">
        <v>581</v>
      </c>
      <c r="E872" s="31" t="str">
        <f>IFERROR(VLOOKUP(Tabla2[[#This Row],[CODIGO]],Tabla1[],3,0),"")</f>
        <v>OTROS</v>
      </c>
      <c r="F872" s="28" t="str">
        <f>IFERROR(VLOOKUP(Tabla2[[#This Row],[CODIGO]],Tabla1[],5,0),"")</f>
        <v>ALMACEN TICAPAMPA</v>
      </c>
      <c r="G872" s="26" t="str">
        <f>IFERROR(VLOOKUP(Tabla2[[#This Row],[CODIGO]],Tabla1[],6,0),"")</f>
        <v>UNI</v>
      </c>
      <c r="H872" s="26">
        <f>IFERROR(VLOOKUP(Tabla2[[#This Row],[CODIGO]],Tabla1[],10,0),"")</f>
        <v>2</v>
      </c>
      <c r="I872" s="7">
        <v>2</v>
      </c>
      <c r="J872" s="29" t="s">
        <v>559</v>
      </c>
      <c r="K872" s="26" t="str">
        <f>IFERROR(VLOOKUP(Tabla2[[#This Row],[CODIGO]],Tabla1[],11,0),"")</f>
        <v>COMPRA</v>
      </c>
      <c r="L872" s="67" t="s">
        <v>308</v>
      </c>
      <c r="M872" s="67" t="s">
        <v>236</v>
      </c>
      <c r="N872" s="70"/>
      <c r="O872" s="70">
        <f>Tabla2[[#This Row],[CANTIDAD]]*Tabla2[[#This Row],[PREC. UNITARIO]]</f>
        <v>0</v>
      </c>
      <c r="R872" t="str">
        <f>Tabla2[[#This Row],[QUIEN RECIBE]]&amp;"-"&amp;TEXT(Tabla2[[#This Row],[FECHA]],"dd/mm/yyyy")</f>
        <v>NAVARRO LOZANO, ANGEL JAROL-21/10/2025</v>
      </c>
    </row>
    <row r="873" spans="2:18" ht="20.45" hidden="1" customHeight="1" x14ac:dyDescent="0.25">
      <c r="B873" s="5">
        <v>45951</v>
      </c>
      <c r="C873" s="2" t="str">
        <f>IFERROR(_xlfn.XLOOKUP(Tabla2[[#This Row],[PRODUCTO]],Tabla1[PRODUCTO],Tabla1[CODIGO]),"")</f>
        <v>OTR-13</v>
      </c>
      <c r="D873" s="31" t="s">
        <v>583</v>
      </c>
      <c r="E873" s="31" t="str">
        <f>IFERROR(VLOOKUP(Tabla2[[#This Row],[CODIGO]],Tabla1[],3,0),"")</f>
        <v>OTROS</v>
      </c>
      <c r="F873" s="28" t="str">
        <f>IFERROR(VLOOKUP(Tabla2[[#This Row],[CODIGO]],Tabla1[],5,0),"")</f>
        <v>ALMACEN TICAPAMPA</v>
      </c>
      <c r="G873" s="26" t="str">
        <f>IFERROR(VLOOKUP(Tabla2[[#This Row],[CODIGO]],Tabla1[],6,0),"")</f>
        <v>UNI</v>
      </c>
      <c r="H873" s="26">
        <f>IFERROR(VLOOKUP(Tabla2[[#This Row],[CODIGO]],Tabla1[],10,0),"")</f>
        <v>1</v>
      </c>
      <c r="I873" s="7">
        <v>1</v>
      </c>
      <c r="J873" s="29" t="s">
        <v>559</v>
      </c>
      <c r="K873" s="26" t="str">
        <f>IFERROR(VLOOKUP(Tabla2[[#This Row],[CODIGO]],Tabla1[],11,0),"")</f>
        <v>COMPRA</v>
      </c>
      <c r="L873" s="67" t="s">
        <v>308</v>
      </c>
      <c r="M873" s="67" t="s">
        <v>236</v>
      </c>
      <c r="N873" s="70"/>
      <c r="O873" s="70">
        <f>Tabla2[[#This Row],[CANTIDAD]]*Tabla2[[#This Row],[PREC. UNITARIO]]</f>
        <v>0</v>
      </c>
      <c r="R873" t="str">
        <f>Tabla2[[#This Row],[QUIEN RECIBE]]&amp;"-"&amp;TEXT(Tabla2[[#This Row],[FECHA]],"dd/mm/yyyy")</f>
        <v>NAVARRO LOZANO, ANGEL JAROL-21/10/2025</v>
      </c>
    </row>
    <row r="874" spans="2:18" ht="20.45" hidden="1" customHeight="1" x14ac:dyDescent="0.25">
      <c r="B874" s="5">
        <v>45951</v>
      </c>
      <c r="C874" s="2" t="str">
        <f>IFERROR(_xlfn.XLOOKUP(Tabla2[[#This Row],[PRODUCTO]],Tabla1[PRODUCTO],Tabla1[CODIGO]),"")</f>
        <v>OTR-14</v>
      </c>
      <c r="D874" s="31" t="s">
        <v>584</v>
      </c>
      <c r="E874" s="31" t="str">
        <f>IFERROR(VLOOKUP(Tabla2[[#This Row],[CODIGO]],Tabla1[],3,0),"")</f>
        <v>OTROS</v>
      </c>
      <c r="F874" s="28" t="str">
        <f>IFERROR(VLOOKUP(Tabla2[[#This Row],[CODIGO]],Tabla1[],5,0),"")</f>
        <v>ALMACEN TICAPAMPA</v>
      </c>
      <c r="G874" s="26" t="str">
        <f>IFERROR(VLOOKUP(Tabla2[[#This Row],[CODIGO]],Tabla1[],6,0),"")</f>
        <v>UNI</v>
      </c>
      <c r="H874" s="26">
        <f>IFERROR(VLOOKUP(Tabla2[[#This Row],[CODIGO]],Tabla1[],10,0),"")</f>
        <v>1</v>
      </c>
      <c r="I874" s="7">
        <v>1</v>
      </c>
      <c r="J874" s="29" t="s">
        <v>559</v>
      </c>
      <c r="K874" s="26" t="str">
        <f>IFERROR(VLOOKUP(Tabla2[[#This Row],[CODIGO]],Tabla1[],11,0),"")</f>
        <v>COMPRA</v>
      </c>
      <c r="L874" s="67" t="s">
        <v>308</v>
      </c>
      <c r="M874" s="67" t="s">
        <v>236</v>
      </c>
      <c r="N874" s="70"/>
      <c r="O874" s="70">
        <f>Tabla2[[#This Row],[CANTIDAD]]*Tabla2[[#This Row],[PREC. UNITARIO]]</f>
        <v>0</v>
      </c>
      <c r="R874" t="str">
        <f>Tabla2[[#This Row],[QUIEN RECIBE]]&amp;"-"&amp;TEXT(Tabla2[[#This Row],[FECHA]],"dd/mm/yyyy")</f>
        <v>NAVARRO LOZANO, ANGEL JAROL-21/10/2025</v>
      </c>
    </row>
    <row r="875" spans="2:18" ht="20.45" hidden="1" customHeight="1" x14ac:dyDescent="0.25">
      <c r="B875" s="5">
        <v>45951</v>
      </c>
      <c r="C875" s="2" t="str">
        <f>IFERROR(_xlfn.XLOOKUP(Tabla2[[#This Row],[PRODUCTO]],Tabla1[PRODUCTO],Tabla1[CODIGO]),"")</f>
        <v>OTR-15</v>
      </c>
      <c r="D875" s="31" t="s">
        <v>585</v>
      </c>
      <c r="E875" s="31" t="str">
        <f>IFERROR(VLOOKUP(Tabla2[[#This Row],[CODIGO]],Tabla1[],3,0),"")</f>
        <v>OTROS</v>
      </c>
      <c r="F875" s="28" t="str">
        <f>IFERROR(VLOOKUP(Tabla2[[#This Row],[CODIGO]],Tabla1[],5,0),"")</f>
        <v>ALMACEN TICAPAMPA</v>
      </c>
      <c r="G875" s="26" t="str">
        <f>IFERROR(VLOOKUP(Tabla2[[#This Row],[CODIGO]],Tabla1[],6,0),"")</f>
        <v>UNI</v>
      </c>
      <c r="H875" s="26">
        <f>IFERROR(VLOOKUP(Tabla2[[#This Row],[CODIGO]],Tabla1[],10,0),"")</f>
        <v>1</v>
      </c>
      <c r="I875" s="7">
        <v>1</v>
      </c>
      <c r="J875" s="29" t="s">
        <v>559</v>
      </c>
      <c r="K875" s="26" t="str">
        <f>IFERROR(VLOOKUP(Tabla2[[#This Row],[CODIGO]],Tabla1[],11,0),"")</f>
        <v>COMPRA</v>
      </c>
      <c r="L875" s="67" t="s">
        <v>308</v>
      </c>
      <c r="M875" s="67" t="s">
        <v>236</v>
      </c>
      <c r="N875" s="70"/>
      <c r="O875" s="70">
        <f>Tabla2[[#This Row],[CANTIDAD]]*Tabla2[[#This Row],[PREC. UNITARIO]]</f>
        <v>0</v>
      </c>
      <c r="R875" t="str">
        <f>Tabla2[[#This Row],[QUIEN RECIBE]]&amp;"-"&amp;TEXT(Tabla2[[#This Row],[FECHA]],"dd/mm/yyyy")</f>
        <v>NAVARRO LOZANO, ANGEL JAROL-21/10/2025</v>
      </c>
    </row>
    <row r="876" spans="2:18" ht="20.45" hidden="1" customHeight="1" x14ac:dyDescent="0.25">
      <c r="B876" s="5">
        <v>45951</v>
      </c>
      <c r="C876" s="2" t="str">
        <f>IFERROR(_xlfn.XLOOKUP(Tabla2[[#This Row],[PRODUCTO]],Tabla1[PRODUCTO],Tabla1[CODIGO]),"")</f>
        <v>OTR-16</v>
      </c>
      <c r="D876" s="31" t="s">
        <v>586</v>
      </c>
      <c r="E876" s="31" t="str">
        <f>IFERROR(VLOOKUP(Tabla2[[#This Row],[CODIGO]],Tabla1[],3,0),"")</f>
        <v>OTROS</v>
      </c>
      <c r="F876" s="28" t="str">
        <f>IFERROR(VLOOKUP(Tabla2[[#This Row],[CODIGO]],Tabla1[],5,0),"")</f>
        <v>ALMACEN TICAPAMPA</v>
      </c>
      <c r="G876" s="26" t="str">
        <f>IFERROR(VLOOKUP(Tabla2[[#This Row],[CODIGO]],Tabla1[],6,0),"")</f>
        <v>UNI</v>
      </c>
      <c r="H876" s="26">
        <f>IFERROR(VLOOKUP(Tabla2[[#This Row],[CODIGO]],Tabla1[],10,0),"")</f>
        <v>1</v>
      </c>
      <c r="I876" s="7">
        <v>1</v>
      </c>
      <c r="J876" s="29" t="s">
        <v>559</v>
      </c>
      <c r="K876" s="26" t="str">
        <f>IFERROR(VLOOKUP(Tabla2[[#This Row],[CODIGO]],Tabla1[],11,0),"")</f>
        <v>COMPRA</v>
      </c>
      <c r="L876" s="67" t="s">
        <v>308</v>
      </c>
      <c r="M876" s="67" t="s">
        <v>236</v>
      </c>
      <c r="N876" s="70"/>
      <c r="O876" s="70">
        <f>Tabla2[[#This Row],[CANTIDAD]]*Tabla2[[#This Row],[PREC. UNITARIO]]</f>
        <v>0</v>
      </c>
      <c r="R876" t="str">
        <f>Tabla2[[#This Row],[QUIEN RECIBE]]&amp;"-"&amp;TEXT(Tabla2[[#This Row],[FECHA]],"dd/mm/yyyy")</f>
        <v>NAVARRO LOZANO, ANGEL JAROL-21/10/2025</v>
      </c>
    </row>
    <row r="877" spans="2:18" ht="20.45" hidden="1" customHeight="1" x14ac:dyDescent="0.25">
      <c r="B877" s="5">
        <v>45951</v>
      </c>
      <c r="C877" s="2" t="str">
        <f>IFERROR(_xlfn.XLOOKUP(Tabla2[[#This Row],[PRODUCTO]],Tabla1[PRODUCTO],Tabla1[CODIGO]),"")</f>
        <v>OTR-18</v>
      </c>
      <c r="D877" s="31" t="s">
        <v>588</v>
      </c>
      <c r="E877" s="31" t="str">
        <f>IFERROR(VLOOKUP(Tabla2[[#This Row],[CODIGO]],Tabla1[],3,0),"")</f>
        <v>OTROS</v>
      </c>
      <c r="F877" s="28" t="str">
        <f>IFERROR(VLOOKUP(Tabla2[[#This Row],[CODIGO]],Tabla1[],5,0),"")</f>
        <v>ALMACEN TICAPAMPA</v>
      </c>
      <c r="G877" s="26" t="str">
        <f>IFERROR(VLOOKUP(Tabla2[[#This Row],[CODIGO]],Tabla1[],6,0),"")</f>
        <v>UNI</v>
      </c>
      <c r="H877" s="26">
        <f>IFERROR(VLOOKUP(Tabla2[[#This Row],[CODIGO]],Tabla1[],10,0),"")</f>
        <v>1</v>
      </c>
      <c r="I877" s="7">
        <v>1</v>
      </c>
      <c r="J877" s="29" t="s">
        <v>559</v>
      </c>
      <c r="K877" s="26" t="str">
        <f>IFERROR(VLOOKUP(Tabla2[[#This Row],[CODIGO]],Tabla1[],11,0),"")</f>
        <v>COMPRA</v>
      </c>
      <c r="L877" s="67" t="s">
        <v>308</v>
      </c>
      <c r="M877" s="67" t="s">
        <v>236</v>
      </c>
      <c r="N877" s="70"/>
      <c r="O877" s="70">
        <f>Tabla2[[#This Row],[CANTIDAD]]*Tabla2[[#This Row],[PREC. UNITARIO]]</f>
        <v>0</v>
      </c>
      <c r="R877" t="str">
        <f>Tabla2[[#This Row],[QUIEN RECIBE]]&amp;"-"&amp;TEXT(Tabla2[[#This Row],[FECHA]],"dd/mm/yyyy")</f>
        <v>NAVARRO LOZANO, ANGEL JAROL-21/10/2025</v>
      </c>
    </row>
    <row r="878" spans="2:18" ht="20.45" hidden="1" customHeight="1" x14ac:dyDescent="0.25">
      <c r="B878" s="5">
        <v>45951</v>
      </c>
      <c r="C878" s="2" t="str">
        <f>IFERROR(_xlfn.XLOOKUP(Tabla2[[#This Row],[PRODUCTO]],Tabla1[PRODUCTO],Tabla1[CODIGO]),"")</f>
        <v>OTR-17</v>
      </c>
      <c r="D878" s="31" t="s">
        <v>587</v>
      </c>
      <c r="E878" s="31" t="str">
        <f>IFERROR(VLOOKUP(Tabla2[[#This Row],[CODIGO]],Tabla1[],3,0),"")</f>
        <v>OTROS</v>
      </c>
      <c r="F878" s="28" t="str">
        <f>IFERROR(VLOOKUP(Tabla2[[#This Row],[CODIGO]],Tabla1[],5,0),"")</f>
        <v>ALMACEN TICAPAMPA</v>
      </c>
      <c r="G878" s="26" t="str">
        <f>IFERROR(VLOOKUP(Tabla2[[#This Row],[CODIGO]],Tabla1[],6,0),"")</f>
        <v>GLN</v>
      </c>
      <c r="H878" s="26">
        <f>IFERROR(VLOOKUP(Tabla2[[#This Row],[CODIGO]],Tabla1[],10,0),"")</f>
        <v>1</v>
      </c>
      <c r="I878" s="7">
        <v>1</v>
      </c>
      <c r="J878" s="29" t="s">
        <v>559</v>
      </c>
      <c r="K878" s="26" t="str">
        <f>IFERROR(VLOOKUP(Tabla2[[#This Row],[CODIGO]],Tabla1[],11,0),"")</f>
        <v>COMPRA</v>
      </c>
      <c r="L878" s="67" t="s">
        <v>308</v>
      </c>
      <c r="M878" s="67" t="s">
        <v>236</v>
      </c>
      <c r="N878" s="70"/>
      <c r="O878" s="70">
        <f>Tabla2[[#This Row],[CANTIDAD]]*Tabla2[[#This Row],[PREC. UNITARIO]]</f>
        <v>0</v>
      </c>
      <c r="R878" t="str">
        <f>Tabla2[[#This Row],[QUIEN RECIBE]]&amp;"-"&amp;TEXT(Tabla2[[#This Row],[FECHA]],"dd/mm/yyyy")</f>
        <v>NAVARRO LOZANO, ANGEL JAROL-21/10/2025</v>
      </c>
    </row>
    <row r="879" spans="2:18" ht="20.45" hidden="1" customHeight="1" x14ac:dyDescent="0.25">
      <c r="B879" s="5">
        <v>45951</v>
      </c>
      <c r="C879" s="2" t="str">
        <f>IFERROR(_xlfn.XLOOKUP(Tabla2[[#This Row],[PRODUCTO]],Tabla1[PRODUCTO],Tabla1[CODIGO]),"")</f>
        <v>HM-55</v>
      </c>
      <c r="D879" s="31" t="s">
        <v>590</v>
      </c>
      <c r="E879" s="31" t="str">
        <f>IFERROR(VLOOKUP(Tabla2[[#This Row],[CODIGO]],Tabla1[],3,0),"")</f>
        <v>HERRAMIENTAS</v>
      </c>
      <c r="F879" s="28" t="str">
        <f>IFERROR(VLOOKUP(Tabla2[[#This Row],[CODIGO]],Tabla1[],5,0),"")</f>
        <v>ALMACEN TICAPAMPA</v>
      </c>
      <c r="G879" s="26" t="str">
        <f>IFERROR(VLOOKUP(Tabla2[[#This Row],[CODIGO]],Tabla1[],6,0),"")</f>
        <v>UNI</v>
      </c>
      <c r="H879" s="26">
        <f>IFERROR(VLOOKUP(Tabla2[[#This Row],[CODIGO]],Tabla1[],10,0),"")</f>
        <v>10</v>
      </c>
      <c r="I879" s="7">
        <v>10</v>
      </c>
      <c r="J879" s="29" t="s">
        <v>559</v>
      </c>
      <c r="K879" s="26" t="str">
        <f>IFERROR(VLOOKUP(Tabla2[[#This Row],[CODIGO]],Tabla1[],11,0),"")</f>
        <v>COMPRA</v>
      </c>
      <c r="L879" s="67" t="s">
        <v>308</v>
      </c>
      <c r="M879" s="67" t="s">
        <v>236</v>
      </c>
      <c r="N879" s="70"/>
      <c r="O879" s="70">
        <f>Tabla2[[#This Row],[CANTIDAD]]*Tabla2[[#This Row],[PREC. UNITARIO]]</f>
        <v>0</v>
      </c>
      <c r="R879" t="str">
        <f>Tabla2[[#This Row],[QUIEN RECIBE]]&amp;"-"&amp;TEXT(Tabla2[[#This Row],[FECHA]],"dd/mm/yyyy")</f>
        <v>NAVARRO LOZANO, ANGEL JAROL-21/10/2025</v>
      </c>
    </row>
    <row r="880" spans="2:18" ht="20.45" hidden="1" customHeight="1" x14ac:dyDescent="0.25">
      <c r="B880" s="5">
        <v>45951</v>
      </c>
      <c r="C880" s="2" t="str">
        <f>IFERROR(_xlfn.XLOOKUP(Tabla2[[#This Row],[PRODUCTO]],Tabla1[PRODUCTO],Tabla1[CODIGO]),"")</f>
        <v>FER-4</v>
      </c>
      <c r="D880" s="31" t="s">
        <v>570</v>
      </c>
      <c r="E880" s="31" t="str">
        <f>IFERROR(VLOOKUP(Tabla2[[#This Row],[CODIGO]],Tabla1[],3,0),"")</f>
        <v>FERRETERIA</v>
      </c>
      <c r="F880" s="28" t="str">
        <f>IFERROR(VLOOKUP(Tabla2[[#This Row],[CODIGO]],Tabla1[],5,0),"")</f>
        <v>ALMACEN TICAPAMPA</v>
      </c>
      <c r="G880" s="26" t="str">
        <f>IFERROR(VLOOKUP(Tabla2[[#This Row],[CODIGO]],Tabla1[],6,0),"")</f>
        <v>BALDE</v>
      </c>
      <c r="H880" s="26">
        <f>IFERROR(VLOOKUP(Tabla2[[#This Row],[CODIGO]],Tabla1[],10,0),"")</f>
        <v>0</v>
      </c>
      <c r="I880" s="7">
        <v>2</v>
      </c>
      <c r="J880" s="29" t="s">
        <v>559</v>
      </c>
      <c r="K880" s="26" t="str">
        <f>IFERROR(VLOOKUP(Tabla2[[#This Row],[CODIGO]],Tabla1[],11,0),"")</f>
        <v>COMPRA</v>
      </c>
      <c r="L880" s="67" t="s">
        <v>308</v>
      </c>
      <c r="M880" s="67" t="s">
        <v>236</v>
      </c>
      <c r="N880" s="70"/>
      <c r="O880" s="70">
        <f>Tabla2[[#This Row],[CANTIDAD]]*Tabla2[[#This Row],[PREC. UNITARIO]]</f>
        <v>0</v>
      </c>
      <c r="R880" t="str">
        <f>Tabla2[[#This Row],[QUIEN RECIBE]]&amp;"-"&amp;TEXT(Tabla2[[#This Row],[FECHA]],"dd/mm/yyyy")</f>
        <v>NAVARRO LOZANO, ANGEL JAROL-21/10/2025</v>
      </c>
    </row>
    <row r="881" spans="2:18" ht="20.45" hidden="1" customHeight="1" x14ac:dyDescent="0.25">
      <c r="B881" s="5">
        <v>45951</v>
      </c>
      <c r="C881" s="2" t="str">
        <f>IFERROR(_xlfn.XLOOKUP(Tabla2[[#This Row],[PRODUCTO]],Tabla1[PRODUCTO],Tabla1[CODIGO]),"")</f>
        <v>FER-4</v>
      </c>
      <c r="D881" s="31" t="s">
        <v>570</v>
      </c>
      <c r="E881" s="31" t="str">
        <f>IFERROR(VLOOKUP(Tabla2[[#This Row],[CODIGO]],Tabla1[],3,0),"")</f>
        <v>FERRETERIA</v>
      </c>
      <c r="F881" s="28" t="str">
        <f>IFERROR(VLOOKUP(Tabla2[[#This Row],[CODIGO]],Tabla1[],5,0),"")</f>
        <v>ALMACEN TICAPAMPA</v>
      </c>
      <c r="G881" s="26" t="str">
        <f>IFERROR(VLOOKUP(Tabla2[[#This Row],[CODIGO]],Tabla1[],6,0),"")</f>
        <v>BALDE</v>
      </c>
      <c r="H881" s="26">
        <f>IFERROR(VLOOKUP(Tabla2[[#This Row],[CODIGO]],Tabla1[],10,0),"")</f>
        <v>0</v>
      </c>
      <c r="I881" s="7">
        <v>-4</v>
      </c>
      <c r="J881" s="29" t="s">
        <v>591</v>
      </c>
      <c r="K881" s="26" t="str">
        <f>IFERROR(VLOOKUP(Tabla2[[#This Row],[CODIGO]],Tabla1[],11,0),"")</f>
        <v>COMPRA</v>
      </c>
      <c r="L881" s="67" t="s">
        <v>236</v>
      </c>
      <c r="M881" s="67" t="s">
        <v>253</v>
      </c>
      <c r="N881" s="70"/>
      <c r="O881" s="70">
        <f>Tabla2[[#This Row],[CANTIDAD]]*Tabla2[[#This Row],[PREC. UNITARIO]]</f>
        <v>0</v>
      </c>
      <c r="R881" t="str">
        <f>Tabla2[[#This Row],[QUIEN RECIBE]]&amp;"-"&amp;TEXT(Tabla2[[#This Row],[FECHA]],"dd/mm/yyyy")</f>
        <v>ALEJO CHARCA, DENNYS MIRIAM-21/10/2025</v>
      </c>
    </row>
    <row r="882" spans="2:18" ht="20.45" hidden="1" customHeight="1" x14ac:dyDescent="0.25">
      <c r="B882" s="5">
        <v>45952</v>
      </c>
      <c r="C882" s="2" t="str">
        <f>IFERROR(_xlfn.XLOOKUP(Tabla2[[#This Row],[PRODUCTO]],Tabla1[PRODUCTO],Tabla1[CODIGO]),"")</f>
        <v>FER-4</v>
      </c>
      <c r="D882" s="31" t="s">
        <v>570</v>
      </c>
      <c r="E882" s="31" t="str">
        <f>IFERROR(VLOOKUP(Tabla2[[#This Row],[CODIGO]],Tabla1[],3,0),"")</f>
        <v>FERRETERIA</v>
      </c>
      <c r="F882" s="28" t="str">
        <f>IFERROR(VLOOKUP(Tabla2[[#This Row],[CODIGO]],Tabla1[],5,0),"")</f>
        <v>ALMACEN TICAPAMPA</v>
      </c>
      <c r="G882" s="26" t="str">
        <f>IFERROR(VLOOKUP(Tabla2[[#This Row],[CODIGO]],Tabla1[],6,0),"")</f>
        <v>BALDE</v>
      </c>
      <c r="H882" s="26">
        <f>IFERROR(VLOOKUP(Tabla2[[#This Row],[CODIGO]],Tabla1[],10,0),"")</f>
        <v>0</v>
      </c>
      <c r="I882" s="7">
        <v>-5</v>
      </c>
      <c r="J882" s="29" t="s">
        <v>591</v>
      </c>
      <c r="K882" s="26" t="str">
        <f>IFERROR(VLOOKUP(Tabla2[[#This Row],[CODIGO]],Tabla1[],11,0),"")</f>
        <v>COMPRA</v>
      </c>
      <c r="L882" s="67" t="s">
        <v>236</v>
      </c>
      <c r="M882" s="67" t="s">
        <v>253</v>
      </c>
      <c r="N882" s="70"/>
      <c r="O882" s="70">
        <f>Tabla2[[#This Row],[CANTIDAD]]*Tabla2[[#This Row],[PREC. UNITARIO]]</f>
        <v>0</v>
      </c>
      <c r="R882" t="str">
        <f>Tabla2[[#This Row],[QUIEN RECIBE]]&amp;"-"&amp;TEXT(Tabla2[[#This Row],[FECHA]],"dd/mm/yyyy")</f>
        <v>ALEJO CHARCA, DENNYS MIRIAM-22/10/2025</v>
      </c>
    </row>
    <row r="883" spans="2:18" ht="20.45" hidden="1" customHeight="1" x14ac:dyDescent="0.25">
      <c r="B883" s="5">
        <v>45951</v>
      </c>
      <c r="C883" s="2" t="str">
        <f>IFERROR(_xlfn.XLOOKUP(Tabla2[[#This Row],[PRODUCTO]],Tabla1[PRODUCTO],Tabla1[CODIGO]),"")</f>
        <v>OTR-19</v>
      </c>
      <c r="D883" s="31" t="s">
        <v>592</v>
      </c>
      <c r="E883" s="31" t="str">
        <f>IFERROR(VLOOKUP(Tabla2[[#This Row],[CODIGO]],Tabla1[],3,0),"")</f>
        <v>OTROS</v>
      </c>
      <c r="F883" s="28" t="str">
        <f>IFERROR(VLOOKUP(Tabla2[[#This Row],[CODIGO]],Tabla1[],5,0),"")</f>
        <v>ALMACEN TICAPAMPA</v>
      </c>
      <c r="G883" s="26" t="str">
        <f>IFERROR(VLOOKUP(Tabla2[[#This Row],[CODIGO]],Tabla1[],6,0),"")</f>
        <v>UNI</v>
      </c>
      <c r="H883" s="26">
        <f>IFERROR(VLOOKUP(Tabla2[[#This Row],[CODIGO]],Tabla1[],10,0),"")</f>
        <v>1</v>
      </c>
      <c r="I883" s="7">
        <v>1</v>
      </c>
      <c r="J883" s="29" t="s">
        <v>559</v>
      </c>
      <c r="K883" s="26" t="str">
        <f>IFERROR(VLOOKUP(Tabla2[[#This Row],[CODIGO]],Tabla1[],11,0),"")</f>
        <v>ALMACEN CENTRAL</v>
      </c>
      <c r="L883" s="67" t="s">
        <v>308</v>
      </c>
      <c r="M883" s="67" t="s">
        <v>236</v>
      </c>
      <c r="N883" s="70"/>
      <c r="O883" s="70">
        <f>Tabla2[[#This Row],[CANTIDAD]]*Tabla2[[#This Row],[PREC. UNITARIO]]</f>
        <v>0</v>
      </c>
      <c r="R883" t="str">
        <f>Tabla2[[#This Row],[QUIEN RECIBE]]&amp;"-"&amp;TEXT(Tabla2[[#This Row],[FECHA]],"dd/mm/yyyy")</f>
        <v>NAVARRO LOZANO, ANGEL JAROL-21/10/2025</v>
      </c>
    </row>
    <row r="884" spans="2:18" ht="20.45" hidden="1" customHeight="1" x14ac:dyDescent="0.25">
      <c r="B884" s="5">
        <v>45952</v>
      </c>
      <c r="C884" s="2" t="str">
        <f>IFERROR(_xlfn.XLOOKUP(Tabla2[[#This Row],[PRODUCTO]],Tabla1[PRODUCTO],Tabla1[CODIGO]),"")</f>
        <v>OTR-19</v>
      </c>
      <c r="D884" s="31" t="s">
        <v>592</v>
      </c>
      <c r="E884" s="31" t="str">
        <f>IFERROR(VLOOKUP(Tabla2[[#This Row],[CODIGO]],Tabla1[],3,0),"")</f>
        <v>OTROS</v>
      </c>
      <c r="F884" s="28" t="str">
        <f>IFERROR(VLOOKUP(Tabla2[[#This Row],[CODIGO]],Tabla1[],5,0),"")</f>
        <v>ALMACEN TICAPAMPA</v>
      </c>
      <c r="G884" s="26" t="str">
        <f>IFERROR(VLOOKUP(Tabla2[[#This Row],[CODIGO]],Tabla1[],6,0),"")</f>
        <v>UNI</v>
      </c>
      <c r="H884" s="26">
        <f>IFERROR(VLOOKUP(Tabla2[[#This Row],[CODIGO]],Tabla1[],10,0),"")</f>
        <v>1</v>
      </c>
      <c r="I884" s="7">
        <v>-1</v>
      </c>
      <c r="J884" s="29" t="s">
        <v>594</v>
      </c>
      <c r="K884" s="26" t="str">
        <f>IFERROR(VLOOKUP(Tabla2[[#This Row],[CODIGO]],Tabla1[],11,0),"")</f>
        <v>ALMACEN CENTRAL</v>
      </c>
      <c r="L884" s="67" t="s">
        <v>236</v>
      </c>
      <c r="M884" s="67" t="s">
        <v>239</v>
      </c>
      <c r="N884" s="70"/>
      <c r="O884" s="70">
        <f>Tabla2[[#This Row],[CANTIDAD]]*Tabla2[[#This Row],[PREC. UNITARIO]]</f>
        <v>0</v>
      </c>
      <c r="R884" t="str">
        <f>Tabla2[[#This Row],[QUIEN RECIBE]]&amp;"-"&amp;TEXT(Tabla2[[#This Row],[FECHA]],"dd/mm/yyyy")</f>
        <v>JEREMIAS PALOMINO, NORBERTO LEONCIO-22/10/2025</v>
      </c>
    </row>
    <row r="885" spans="2:18" ht="20.45" hidden="1" customHeight="1" x14ac:dyDescent="0.25">
      <c r="B885" s="5">
        <v>45952</v>
      </c>
      <c r="C885" s="2" t="str">
        <f>IFERROR(_xlfn.XLOOKUP(Tabla2[[#This Row],[PRODUCTO]],Tabla1[PRODUCTO],Tabla1[CODIGO]),"")</f>
        <v>AGU-1</v>
      </c>
      <c r="D885" s="31" t="s">
        <v>357</v>
      </c>
      <c r="E885" s="31" t="str">
        <f>IFERROR(VLOOKUP(Tabla2[[#This Row],[CODIGO]],Tabla1[],3,0),"")</f>
        <v>AGUA</v>
      </c>
      <c r="F885" s="28" t="str">
        <f>IFERROR(VLOOKUP(Tabla2[[#This Row],[CODIGO]],Tabla1[],5,0),"")</f>
        <v>ALMACEN TICAPAMPA</v>
      </c>
      <c r="G885" s="26" t="str">
        <f>IFERROR(VLOOKUP(Tabla2[[#This Row],[CODIGO]],Tabla1[],6,0),"")</f>
        <v>UNI</v>
      </c>
      <c r="H885" s="26">
        <f>IFERROR(VLOOKUP(Tabla2[[#This Row],[CODIGO]],Tabla1[],10,0),"")</f>
        <v>9</v>
      </c>
      <c r="I885" s="7">
        <v>-1</v>
      </c>
      <c r="J885" s="29" t="s">
        <v>595</v>
      </c>
      <c r="K885" s="26" t="str">
        <f>IFERROR(VLOOKUP(Tabla2[[#This Row],[CODIGO]],Tabla1[],11,0),"")</f>
        <v>COMPRA</v>
      </c>
      <c r="L885" s="67" t="s">
        <v>236</v>
      </c>
      <c r="M885" s="67" t="s">
        <v>301</v>
      </c>
      <c r="N885" s="70">
        <v>8</v>
      </c>
      <c r="O885" s="70">
        <f>Tabla2[[#This Row],[CANTIDAD]]*Tabla2[[#This Row],[PREC. UNITARIO]]</f>
        <v>-8</v>
      </c>
      <c r="R885" t="str">
        <f>Tabla2[[#This Row],[QUIEN RECIBE]]&amp;"-"&amp;TEXT(Tabla2[[#This Row],[FECHA]],"dd/mm/yyyy")</f>
        <v>GUTARATE SABINO, ADRIEL ANTONY-22/10/2025</v>
      </c>
    </row>
    <row r="886" spans="2:18" ht="20.45" hidden="1" customHeight="1" x14ac:dyDescent="0.25">
      <c r="B886" s="5">
        <v>45953</v>
      </c>
      <c r="C886" s="2" t="str">
        <f>IFERROR(_xlfn.XLOOKUP(Tabla2[[#This Row],[PRODUCTO]],Tabla1[PRODUCTO],Tabla1[CODIGO]),"")</f>
        <v>UE-58</v>
      </c>
      <c r="D886" s="31" t="s">
        <v>421</v>
      </c>
      <c r="E886" s="31" t="str">
        <f>IFERROR(VLOOKUP(Tabla2[[#This Row],[CODIGO]],Tabla1[],3,0),"")</f>
        <v>UTILES DE ESCRITORIO</v>
      </c>
      <c r="F886" s="28" t="str">
        <f>IFERROR(VLOOKUP(Tabla2[[#This Row],[CODIGO]],Tabla1[],5,0),"")</f>
        <v>ALMACEN TICAPAMPA</v>
      </c>
      <c r="G886" s="26" t="str">
        <f>IFERROR(VLOOKUP(Tabla2[[#This Row],[CODIGO]],Tabla1[],6,0),"")</f>
        <v>UNI</v>
      </c>
      <c r="H886" s="26">
        <f>IFERROR(VLOOKUP(Tabla2[[#This Row],[CODIGO]],Tabla1[],10,0),"")</f>
        <v>28</v>
      </c>
      <c r="I886" s="7">
        <v>-2</v>
      </c>
      <c r="J886" s="29" t="s">
        <v>420</v>
      </c>
      <c r="K886" s="26" t="str">
        <f>IFERROR(VLOOKUP(Tabla2[[#This Row],[CODIGO]],Tabla1[],11,0),"")</f>
        <v>COMPRA</v>
      </c>
      <c r="L886" s="67" t="s">
        <v>472</v>
      </c>
      <c r="M886" s="67" t="s">
        <v>256</v>
      </c>
      <c r="N886" s="70"/>
      <c r="O886" s="70">
        <f>Tabla2[[#This Row],[CANTIDAD]]*Tabla2[[#This Row],[PREC. UNITARIO]]</f>
        <v>0</v>
      </c>
      <c r="R886" t="str">
        <f>Tabla2[[#This Row],[QUIEN RECIBE]]&amp;"-"&amp;TEXT(Tabla2[[#This Row],[FECHA]],"dd/mm/yyyy")</f>
        <v>SILVA BORDA, ARLETTE NINOSKA-23/10/2025</v>
      </c>
    </row>
    <row r="887" spans="2:18" ht="20.45" hidden="1" customHeight="1" x14ac:dyDescent="0.25">
      <c r="B887" s="5">
        <v>45953</v>
      </c>
      <c r="C887" s="2" t="str">
        <f>IFERROR(_xlfn.XLOOKUP(Tabla2[[#This Row],[PRODUCTO]],Tabla1[PRODUCTO],Tabla1[CODIGO]),"")</f>
        <v>UE-20</v>
      </c>
      <c r="D887" s="31" t="s">
        <v>174</v>
      </c>
      <c r="E887" s="31" t="str">
        <f>IFERROR(VLOOKUP(Tabla2[[#This Row],[CODIGO]],Tabla1[],3,0),"")</f>
        <v>UTILES DE ESCRITORIO</v>
      </c>
      <c r="F887" s="28" t="str">
        <f>IFERROR(VLOOKUP(Tabla2[[#This Row],[CODIGO]],Tabla1[],5,0),"")</f>
        <v>ALMACEN TICAPAMPA</v>
      </c>
      <c r="G887" s="26" t="str">
        <f>IFERROR(VLOOKUP(Tabla2[[#This Row],[CODIGO]],Tabla1[],6,0),"")</f>
        <v>UNI</v>
      </c>
      <c r="H887" s="26">
        <f>IFERROR(VLOOKUP(Tabla2[[#This Row],[CODIGO]],Tabla1[],10,0),"")</f>
        <v>8</v>
      </c>
      <c r="I887" s="7">
        <v>-1</v>
      </c>
      <c r="J887" s="29" t="s">
        <v>420</v>
      </c>
      <c r="K887" s="26" t="str">
        <f>IFERROR(VLOOKUP(Tabla2[[#This Row],[CODIGO]],Tabla1[],11,0),"")</f>
        <v>COMPRA</v>
      </c>
      <c r="L887" s="67" t="s">
        <v>472</v>
      </c>
      <c r="M887" s="67" t="s">
        <v>256</v>
      </c>
      <c r="N887" s="70"/>
      <c r="O887" s="70">
        <f>Tabla2[[#This Row],[CANTIDAD]]*Tabla2[[#This Row],[PREC. UNITARIO]]</f>
        <v>0</v>
      </c>
      <c r="R887" t="str">
        <f>Tabla2[[#This Row],[QUIEN RECIBE]]&amp;"-"&amp;TEXT(Tabla2[[#This Row],[FECHA]],"dd/mm/yyyy")</f>
        <v>SILVA BORDA, ARLETTE NINOSKA-23/10/2025</v>
      </c>
    </row>
    <row r="888" spans="2:18" ht="20.45" hidden="1" customHeight="1" x14ac:dyDescent="0.25">
      <c r="B888" s="5">
        <v>45953</v>
      </c>
      <c r="C888" s="2" t="str">
        <f>IFERROR(_xlfn.XLOOKUP(Tabla2[[#This Row],[PRODUCTO]],Tabla1[PRODUCTO],Tabla1[CODIGO]),"")</f>
        <v>UE-58</v>
      </c>
      <c r="D888" s="31" t="s">
        <v>421</v>
      </c>
      <c r="E888" s="31" t="str">
        <f>IFERROR(VLOOKUP(Tabla2[[#This Row],[CODIGO]],Tabla1[],3,0),"")</f>
        <v>UTILES DE ESCRITORIO</v>
      </c>
      <c r="F888" s="28" t="str">
        <f>IFERROR(VLOOKUP(Tabla2[[#This Row],[CODIGO]],Tabla1[],5,0),"")</f>
        <v>ALMACEN TICAPAMPA</v>
      </c>
      <c r="G888" s="26" t="str">
        <f>IFERROR(VLOOKUP(Tabla2[[#This Row],[CODIGO]],Tabla1[],6,0),"")</f>
        <v>UNI</v>
      </c>
      <c r="H888" s="26">
        <f>IFERROR(VLOOKUP(Tabla2[[#This Row],[CODIGO]],Tabla1[],10,0),"")</f>
        <v>28</v>
      </c>
      <c r="I888" s="7">
        <v>-1</v>
      </c>
      <c r="J888" s="29" t="s">
        <v>350</v>
      </c>
      <c r="K888" s="26" t="str">
        <f>IFERROR(VLOOKUP(Tabla2[[#This Row],[CODIGO]],Tabla1[],11,0),"")</f>
        <v>COMPRA</v>
      </c>
      <c r="L888" s="67" t="s">
        <v>236</v>
      </c>
      <c r="M888" s="67" t="s">
        <v>307</v>
      </c>
      <c r="N888" s="70"/>
      <c r="O888" s="70">
        <f>Tabla2[[#This Row],[CANTIDAD]]*Tabla2[[#This Row],[PREC. UNITARIO]]</f>
        <v>0</v>
      </c>
      <c r="R888" t="str">
        <f>Tabla2[[#This Row],[QUIEN RECIBE]]&amp;"-"&amp;TEXT(Tabla2[[#This Row],[FECHA]],"dd/mm/yyyy")</f>
        <v>CACERES CALACHUA, YEYSON JORGE-23/10/2025</v>
      </c>
    </row>
    <row r="889" spans="2:18" ht="20.45" hidden="1" customHeight="1" x14ac:dyDescent="0.25">
      <c r="B889" s="5">
        <v>45940</v>
      </c>
      <c r="C889" s="2" t="str">
        <f>IFERROR(_xlfn.XLOOKUP(Tabla2[[#This Row],[PRODUCTO]],Tabla1[PRODUCTO],Tabla1[CODIGO]),"")</f>
        <v>HM-52</v>
      </c>
      <c r="D889" s="31" t="s">
        <v>504</v>
      </c>
      <c r="E889" s="31" t="str">
        <f>IFERROR(VLOOKUP(Tabla2[[#This Row],[CODIGO]],Tabla1[],3,0),"")</f>
        <v>HERRAMIENTAS</v>
      </c>
      <c r="F889" s="28" t="str">
        <f>IFERROR(VLOOKUP(Tabla2[[#This Row],[CODIGO]],Tabla1[],5,0),"")</f>
        <v>ALMACEN TICAPAMPA</v>
      </c>
      <c r="G889" s="26" t="str">
        <f>IFERROR(VLOOKUP(Tabla2[[#This Row],[CODIGO]],Tabla1[],6,0),"")</f>
        <v>UNI</v>
      </c>
      <c r="H889" s="26">
        <f>IFERROR(VLOOKUP(Tabla2[[#This Row],[CODIGO]],Tabla1[],10,0),"")</f>
        <v>8</v>
      </c>
      <c r="I889" s="7">
        <v>-2</v>
      </c>
      <c r="J889" s="29" t="s">
        <v>386</v>
      </c>
      <c r="K889" s="26" t="str">
        <f>IFERROR(VLOOKUP(Tabla2[[#This Row],[CODIGO]],Tabla1[],11,0),"")</f>
        <v>COMPRA</v>
      </c>
      <c r="L889" s="67" t="s">
        <v>236</v>
      </c>
      <c r="M889" s="67" t="s">
        <v>450</v>
      </c>
      <c r="N889" s="70"/>
      <c r="O889" s="70">
        <f>Tabla2[[#This Row],[CANTIDAD]]*Tabla2[[#This Row],[PREC. UNITARIO]]</f>
        <v>0</v>
      </c>
      <c r="R889" t="str">
        <f>Tabla2[[#This Row],[QUIEN RECIBE]]&amp;"-"&amp;TEXT(Tabla2[[#This Row],[FECHA]],"dd/mm/yyyy")</f>
        <v>MAQUERA QUISPE, LEONIDAS EDWIN-10/10/2025</v>
      </c>
    </row>
    <row r="890" spans="2:18" ht="20.45" hidden="1" customHeight="1" x14ac:dyDescent="0.25">
      <c r="B890" s="5">
        <v>45953</v>
      </c>
      <c r="C890" s="2" t="str">
        <f>IFERROR(_xlfn.XLOOKUP(Tabla2[[#This Row],[PRODUCTO]],Tabla1[PRODUCTO],Tabla1[CODIGO]),"")</f>
        <v>CEM-1</v>
      </c>
      <c r="D890" s="31" t="s">
        <v>485</v>
      </c>
      <c r="E890" s="31" t="str">
        <f>IFERROR(VLOOKUP(Tabla2[[#This Row],[CODIGO]],Tabla1[],3,0),"")</f>
        <v>CEMENTO</v>
      </c>
      <c r="F890" s="28" t="str">
        <f>IFERROR(VLOOKUP(Tabla2[[#This Row],[CODIGO]],Tabla1[],5,0),"")</f>
        <v>ALMACEN TICAPAMPA</v>
      </c>
      <c r="G890" s="26" t="str">
        <f>IFERROR(VLOOKUP(Tabla2[[#This Row],[CODIGO]],Tabla1[],6,0),"")</f>
        <v>UNI</v>
      </c>
      <c r="H890" s="26">
        <f>IFERROR(VLOOKUP(Tabla2[[#This Row],[CODIGO]],Tabla1[],10,0),"")</f>
        <v>1545</v>
      </c>
      <c r="I890" s="7">
        <v>-150</v>
      </c>
      <c r="J890" s="29" t="s">
        <v>556</v>
      </c>
      <c r="K890" s="26" t="str">
        <f>IFERROR(VLOOKUP(Tabla2[[#This Row],[CODIGO]],Tabla1[],11,0),"")</f>
        <v>COMPRA</v>
      </c>
      <c r="L890" s="67" t="s">
        <v>236</v>
      </c>
      <c r="M890" s="67" t="s">
        <v>509</v>
      </c>
      <c r="N890" s="70">
        <v>23</v>
      </c>
      <c r="O890" s="70">
        <f>Tabla2[[#This Row],[CANTIDAD]]*Tabla2[[#This Row],[PREC. UNITARIO]]</f>
        <v>-3450</v>
      </c>
      <c r="R890" t="str">
        <f>Tabla2[[#This Row],[QUIEN RECIBE]]&amp;"-"&amp;TEXT(Tabla2[[#This Row],[FECHA]],"dd/mm/yyyy")</f>
        <v>ACOSTA ROJAS, ERICK-23/10/2025</v>
      </c>
    </row>
    <row r="891" spans="2:18" ht="20.45" hidden="1" customHeight="1" x14ac:dyDescent="0.25">
      <c r="B891" s="5">
        <v>45952</v>
      </c>
      <c r="C891" s="2" t="str">
        <f>IFERROR(_xlfn.XLOOKUP(Tabla2[[#This Row],[PRODUCTO]],Tabla1[PRODUCTO],Tabla1[CODIGO]),"")</f>
        <v>CEM-1</v>
      </c>
      <c r="D891" s="31" t="s">
        <v>485</v>
      </c>
      <c r="E891" s="31" t="str">
        <f>IFERROR(VLOOKUP(Tabla2[[#This Row],[CODIGO]],Tabla1[],3,0),"")</f>
        <v>CEMENTO</v>
      </c>
      <c r="F891" s="28" t="str">
        <f>IFERROR(VLOOKUP(Tabla2[[#This Row],[CODIGO]],Tabla1[],5,0),"")</f>
        <v>ALMACEN TICAPAMPA</v>
      </c>
      <c r="G891" s="26" t="str">
        <f>IFERROR(VLOOKUP(Tabla2[[#This Row],[CODIGO]],Tabla1[],6,0),"")</f>
        <v>UNI</v>
      </c>
      <c r="H891" s="26">
        <f>IFERROR(VLOOKUP(Tabla2[[#This Row],[CODIGO]],Tabla1[],10,0),"")</f>
        <v>1545</v>
      </c>
      <c r="I891" s="7">
        <v>-20</v>
      </c>
      <c r="J891" s="29" t="s">
        <v>556</v>
      </c>
      <c r="K891" s="26" t="str">
        <f>IFERROR(VLOOKUP(Tabla2[[#This Row],[CODIGO]],Tabla1[],11,0),"")</f>
        <v>COMPRA</v>
      </c>
      <c r="L891" s="67" t="s">
        <v>236</v>
      </c>
      <c r="M891" s="67" t="s">
        <v>509</v>
      </c>
      <c r="N891" s="70">
        <v>23</v>
      </c>
      <c r="O891" s="70">
        <f>Tabla2[[#This Row],[CANTIDAD]]*Tabla2[[#This Row],[PREC. UNITARIO]]</f>
        <v>-460</v>
      </c>
      <c r="R891" t="str">
        <f>Tabla2[[#This Row],[QUIEN RECIBE]]&amp;"-"&amp;TEXT(Tabla2[[#This Row],[FECHA]],"dd/mm/yyyy")</f>
        <v>ACOSTA ROJAS, ERICK-22/10/2025</v>
      </c>
    </row>
    <row r="892" spans="2:18" ht="20.45" hidden="1" customHeight="1" x14ac:dyDescent="0.25">
      <c r="B892" s="5">
        <v>45954</v>
      </c>
      <c r="C892" s="2" t="str">
        <f>IFERROR(_xlfn.XLOOKUP(Tabla2[[#This Row],[PRODUCTO]],Tabla1[PRODUCTO],Tabla1[CODIGO]),"")</f>
        <v>IS-28</v>
      </c>
      <c r="D892" s="31" t="s">
        <v>79</v>
      </c>
      <c r="E892" s="31" t="str">
        <f>IFERROR(VLOOKUP(Tabla2[[#This Row],[CODIGO]],Tabla1[],3,0),"")</f>
        <v>IMPLEMENTOS DE SEGURIDAD</v>
      </c>
      <c r="F892" s="28" t="str">
        <f>IFERROR(VLOOKUP(Tabla2[[#This Row],[CODIGO]],Tabla1[],5,0),"")</f>
        <v>ALMACEN TICAPAMPA</v>
      </c>
      <c r="G892" s="26" t="str">
        <f>IFERROR(VLOOKUP(Tabla2[[#This Row],[CODIGO]],Tabla1[],6,0),"")</f>
        <v>UNI</v>
      </c>
      <c r="H892" s="26">
        <f>IFERROR(VLOOKUP(Tabla2[[#This Row],[CODIGO]],Tabla1[],10,0),"")</f>
        <v>32</v>
      </c>
      <c r="I892" s="7">
        <v>-1</v>
      </c>
      <c r="J892" s="29" t="s">
        <v>596</v>
      </c>
      <c r="K892" s="26" t="str">
        <f>IFERROR(VLOOKUP(Tabla2[[#This Row],[CODIGO]],Tabla1[],11,0),"")</f>
        <v>COMPRA</v>
      </c>
      <c r="L892" s="67" t="s">
        <v>236</v>
      </c>
      <c r="M892" s="67" t="s">
        <v>307</v>
      </c>
      <c r="N892" s="70"/>
      <c r="O892" s="70">
        <f>Tabla2[[#This Row],[CANTIDAD]]*Tabla2[[#This Row],[PREC. UNITARIO]]</f>
        <v>0</v>
      </c>
      <c r="R892" t="str">
        <f>Tabla2[[#This Row],[QUIEN RECIBE]]&amp;"-"&amp;TEXT(Tabla2[[#This Row],[FECHA]],"dd/mm/yyyy")</f>
        <v>CACERES CALACHUA, YEYSON JORGE-24/10/2025</v>
      </c>
    </row>
    <row r="893" spans="2:18" ht="20.45" hidden="1" customHeight="1" x14ac:dyDescent="0.25">
      <c r="B893" s="5">
        <v>45952</v>
      </c>
      <c r="C893" s="2" t="str">
        <f>IFERROR(_xlfn.XLOOKUP(Tabla2[[#This Row],[PRODUCTO]],Tabla1[PRODUCTO],Tabla1[CODIGO]),"")</f>
        <v>CEM-1</v>
      </c>
      <c r="D893" s="31" t="s">
        <v>485</v>
      </c>
      <c r="E893" s="31" t="str">
        <f>IFERROR(VLOOKUP(Tabla2[[#This Row],[CODIGO]],Tabla1[],3,0),"")</f>
        <v>CEMENTO</v>
      </c>
      <c r="F893" s="28" t="str">
        <f>IFERROR(VLOOKUP(Tabla2[[#This Row],[CODIGO]],Tabla1[],5,0),"")</f>
        <v>ALMACEN TICAPAMPA</v>
      </c>
      <c r="G893" s="26" t="str">
        <f>IFERROR(VLOOKUP(Tabla2[[#This Row],[CODIGO]],Tabla1[],6,0),"")</f>
        <v>UNI</v>
      </c>
      <c r="H893" s="26">
        <f>IFERROR(VLOOKUP(Tabla2[[#This Row],[CODIGO]],Tabla1[],10,0),"")</f>
        <v>1545</v>
      </c>
      <c r="I893" s="7">
        <v>-368</v>
      </c>
      <c r="J893" s="29" t="s">
        <v>597</v>
      </c>
      <c r="K893" s="26" t="str">
        <f>IFERROR(VLOOKUP(Tabla2[[#This Row],[CODIGO]],Tabla1[],11,0),"")</f>
        <v>COMPRA</v>
      </c>
      <c r="L893" s="67" t="s">
        <v>236</v>
      </c>
      <c r="M893" s="67" t="s">
        <v>258</v>
      </c>
      <c r="N893" s="70"/>
      <c r="O893" s="70">
        <f>Tabla2[[#This Row],[CANTIDAD]]*Tabla2[[#This Row],[PREC. UNITARIO]]</f>
        <v>0</v>
      </c>
      <c r="R893" t="str">
        <f>Tabla2[[#This Row],[QUIEN RECIBE]]&amp;"-"&amp;TEXT(Tabla2[[#This Row],[FECHA]],"dd/mm/yyyy")</f>
        <v>ADUVIRE ARGUATA, MARIO ARTURO-22/10/2025</v>
      </c>
    </row>
    <row r="894" spans="2:18" ht="20.45" hidden="1" customHeight="1" x14ac:dyDescent="0.25">
      <c r="B894" s="5">
        <v>45953</v>
      </c>
      <c r="C894" s="2" t="str">
        <f>IFERROR(_xlfn.XLOOKUP(Tabla2[[#This Row],[PRODUCTO]],Tabla1[PRODUCTO],Tabla1[CODIGO]),"")</f>
        <v>CEM-1</v>
      </c>
      <c r="D894" s="31" t="s">
        <v>485</v>
      </c>
      <c r="E894" s="31" t="str">
        <f>IFERROR(VLOOKUP(Tabla2[[#This Row],[CODIGO]],Tabla1[],3,0),"")</f>
        <v>CEMENTO</v>
      </c>
      <c r="F894" s="28" t="str">
        <f>IFERROR(VLOOKUP(Tabla2[[#This Row],[CODIGO]],Tabla1[],5,0),"")</f>
        <v>ALMACEN TICAPAMPA</v>
      </c>
      <c r="G894" s="26" t="str">
        <f>IFERROR(VLOOKUP(Tabla2[[#This Row],[CODIGO]],Tabla1[],6,0),"")</f>
        <v>UNI</v>
      </c>
      <c r="H894" s="26">
        <f>IFERROR(VLOOKUP(Tabla2[[#This Row],[CODIGO]],Tabla1[],10,0),"")</f>
        <v>1545</v>
      </c>
      <c r="I894" s="7">
        <v>-6</v>
      </c>
      <c r="J894" s="29"/>
      <c r="K894" s="26" t="str">
        <f>IFERROR(VLOOKUP(Tabla2[[#This Row],[CODIGO]],Tabla1[],11,0),"")</f>
        <v>COMPRA</v>
      </c>
      <c r="L894" s="67" t="s">
        <v>236</v>
      </c>
      <c r="M894" s="67" t="s">
        <v>239</v>
      </c>
      <c r="N894" s="70"/>
      <c r="O894" s="70">
        <f>Tabla2[[#This Row],[CANTIDAD]]*Tabla2[[#This Row],[PREC. UNITARIO]]</f>
        <v>0</v>
      </c>
      <c r="R894" t="str">
        <f>Tabla2[[#This Row],[QUIEN RECIBE]]&amp;"-"&amp;TEXT(Tabla2[[#This Row],[FECHA]],"dd/mm/yyyy")</f>
        <v>JEREMIAS PALOMINO, NORBERTO LEONCIO-23/10/2025</v>
      </c>
    </row>
    <row r="895" spans="2:18" ht="20.45" hidden="1" customHeight="1" x14ac:dyDescent="0.25">
      <c r="B895" s="5">
        <v>45954</v>
      </c>
      <c r="C895" s="2" t="str">
        <f>IFERROR(_xlfn.XLOOKUP(Tabla2[[#This Row],[PRODUCTO]],Tabla1[PRODUCTO],Tabla1[CODIGO]),"")</f>
        <v>CEM-1</v>
      </c>
      <c r="D895" s="31" t="s">
        <v>485</v>
      </c>
      <c r="E895" s="31" t="str">
        <f>IFERROR(VLOOKUP(Tabla2[[#This Row],[CODIGO]],Tabla1[],3,0),"")</f>
        <v>CEMENTO</v>
      </c>
      <c r="F895" s="28" t="str">
        <f>IFERROR(VLOOKUP(Tabla2[[#This Row],[CODIGO]],Tabla1[],5,0),"")</f>
        <v>ALMACEN TICAPAMPA</v>
      </c>
      <c r="G895" s="26" t="str">
        <f>IFERROR(VLOOKUP(Tabla2[[#This Row],[CODIGO]],Tabla1[],6,0),"")</f>
        <v>UNI</v>
      </c>
      <c r="H895" s="26">
        <f>IFERROR(VLOOKUP(Tabla2[[#This Row],[CODIGO]],Tabla1[],10,0),"")</f>
        <v>1545</v>
      </c>
      <c r="I895" s="7">
        <v>-12</v>
      </c>
      <c r="J895" s="29"/>
      <c r="K895" s="26" t="str">
        <f>IFERROR(VLOOKUP(Tabla2[[#This Row],[CODIGO]],Tabla1[],11,0),"")</f>
        <v>COMPRA</v>
      </c>
      <c r="L895" s="67" t="s">
        <v>236</v>
      </c>
      <c r="M895" s="67" t="s">
        <v>239</v>
      </c>
      <c r="N895" s="70"/>
      <c r="O895" s="70">
        <f>Tabla2[[#This Row],[CANTIDAD]]*Tabla2[[#This Row],[PREC. UNITARIO]]</f>
        <v>0</v>
      </c>
      <c r="R895" t="str">
        <f>Tabla2[[#This Row],[QUIEN RECIBE]]&amp;"-"&amp;TEXT(Tabla2[[#This Row],[FECHA]],"dd/mm/yyyy")</f>
        <v>JEREMIAS PALOMINO, NORBERTO LEONCIO-24/10/2025</v>
      </c>
    </row>
    <row r="896" spans="2:18" ht="20.45" hidden="1" customHeight="1" x14ac:dyDescent="0.25">
      <c r="B896" s="5">
        <v>45954</v>
      </c>
      <c r="C896" s="2" t="str">
        <f>IFERROR(_xlfn.XLOOKUP(Tabla2[[#This Row],[PRODUCTO]],Tabla1[PRODUCTO],Tabla1[CODIGO]),"")</f>
        <v>UE-58</v>
      </c>
      <c r="D896" s="31" t="s">
        <v>421</v>
      </c>
      <c r="E896" s="31" t="str">
        <f>IFERROR(VLOOKUP(Tabla2[[#This Row],[CODIGO]],Tabla1[],3,0),"")</f>
        <v>UTILES DE ESCRITORIO</v>
      </c>
      <c r="F896" s="28" t="str">
        <f>IFERROR(VLOOKUP(Tabla2[[#This Row],[CODIGO]],Tabla1[],5,0),"")</f>
        <v>ALMACEN TICAPAMPA</v>
      </c>
      <c r="G896" s="26" t="str">
        <f>IFERROR(VLOOKUP(Tabla2[[#This Row],[CODIGO]],Tabla1[],6,0),"")</f>
        <v>UNI</v>
      </c>
      <c r="H896" s="26">
        <f>IFERROR(VLOOKUP(Tabla2[[#This Row],[CODIGO]],Tabla1[],10,0),"")</f>
        <v>28</v>
      </c>
      <c r="I896" s="7">
        <v>-1</v>
      </c>
      <c r="J896" s="29" t="s">
        <v>350</v>
      </c>
      <c r="K896" s="26" t="str">
        <f>IFERROR(VLOOKUP(Tabla2[[#This Row],[CODIGO]],Tabla1[],11,0),"")</f>
        <v>COMPRA</v>
      </c>
      <c r="L896" s="67" t="s">
        <v>236</v>
      </c>
      <c r="M896" s="67" t="s">
        <v>303</v>
      </c>
      <c r="N896" s="70"/>
      <c r="O896" s="70">
        <f>Tabla2[[#This Row],[CANTIDAD]]*Tabla2[[#This Row],[PREC. UNITARIO]]</f>
        <v>0</v>
      </c>
      <c r="R896" t="str">
        <f>Tabla2[[#This Row],[QUIEN RECIBE]]&amp;"-"&amp;TEXT(Tabla2[[#This Row],[FECHA]],"dd/mm/yyyy")</f>
        <v>APASTEGUI GRANDEZ, LUIS ALFREDO -24/10/2025</v>
      </c>
    </row>
    <row r="897" ht="20.45" customHeight="1" x14ac:dyDescent="0.25"/>
    <row r="898" ht="20.45" customHeight="1" x14ac:dyDescent="0.25"/>
    <row r="899" ht="20.45" customHeight="1" x14ac:dyDescent="0.25"/>
    <row r="900" ht="20.45" customHeight="1" x14ac:dyDescent="0.25"/>
    <row r="901" ht="20.45" customHeight="1" x14ac:dyDescent="0.25"/>
    <row r="902" ht="20.45" customHeight="1" x14ac:dyDescent="0.25"/>
    <row r="903" ht="20.45" customHeight="1" x14ac:dyDescent="0.25"/>
    <row r="904" ht="20.45" customHeight="1" x14ac:dyDescent="0.25"/>
    <row r="905" ht="20.45" customHeight="1" x14ac:dyDescent="0.25"/>
    <row r="906" ht="20.45" customHeight="1" x14ac:dyDescent="0.25"/>
    <row r="907" ht="20.45" customHeight="1" x14ac:dyDescent="0.25"/>
    <row r="908" ht="20.45" customHeight="1" x14ac:dyDescent="0.25"/>
    <row r="909" ht="20.45" customHeight="1" x14ac:dyDescent="0.25"/>
    <row r="910" ht="20.45" customHeight="1" x14ac:dyDescent="0.25"/>
    <row r="911" ht="20.45" customHeight="1" x14ac:dyDescent="0.25"/>
    <row r="912" ht="20.45" customHeight="1" x14ac:dyDescent="0.25"/>
    <row r="913" ht="20.45" customHeight="1" x14ac:dyDescent="0.25"/>
    <row r="914" ht="20.45" customHeight="1" x14ac:dyDescent="0.25"/>
    <row r="915" ht="20.45" customHeight="1" x14ac:dyDescent="0.25"/>
    <row r="916" ht="20.45" customHeight="1" x14ac:dyDescent="0.25"/>
    <row r="917" ht="20.45" customHeight="1" x14ac:dyDescent="0.25"/>
    <row r="918" ht="20.45" customHeight="1" x14ac:dyDescent="0.25"/>
    <row r="919" ht="20.45" customHeight="1" x14ac:dyDescent="0.25"/>
    <row r="920" ht="20.45" customHeight="1" x14ac:dyDescent="0.25"/>
    <row r="921" ht="20.45" customHeight="1" x14ac:dyDescent="0.25"/>
    <row r="922" ht="20.45" customHeight="1" x14ac:dyDescent="0.25"/>
    <row r="923" ht="20.45" customHeight="1" x14ac:dyDescent="0.25"/>
    <row r="924" ht="20.45" customHeight="1" x14ac:dyDescent="0.25"/>
    <row r="925" ht="20.45" customHeight="1" x14ac:dyDescent="0.25"/>
    <row r="926" ht="20.45" customHeight="1" x14ac:dyDescent="0.25"/>
    <row r="927" ht="20.45" customHeight="1" x14ac:dyDescent="0.25"/>
    <row r="928" ht="20.45" customHeight="1" x14ac:dyDescent="0.25"/>
    <row r="929" ht="20.45" customHeight="1" x14ac:dyDescent="0.25"/>
    <row r="930" ht="20.45" customHeight="1" x14ac:dyDescent="0.25"/>
    <row r="931" ht="20.45" customHeight="1" x14ac:dyDescent="0.25"/>
    <row r="932" ht="20.45" customHeight="1" x14ac:dyDescent="0.25"/>
    <row r="933" ht="20.45" customHeight="1" x14ac:dyDescent="0.25"/>
    <row r="934" ht="20.45" customHeight="1" x14ac:dyDescent="0.25"/>
    <row r="935" ht="20.45" customHeight="1" x14ac:dyDescent="0.25"/>
    <row r="936" ht="20.45" customHeight="1" x14ac:dyDescent="0.25"/>
    <row r="937" ht="20.45" customHeight="1" x14ac:dyDescent="0.25"/>
    <row r="938" ht="20.45" customHeight="1" x14ac:dyDescent="0.25"/>
    <row r="939" ht="20.45" customHeight="1" x14ac:dyDescent="0.25"/>
    <row r="940" ht="20.45" customHeight="1" x14ac:dyDescent="0.25"/>
    <row r="941" ht="20.45" customHeight="1" x14ac:dyDescent="0.25"/>
    <row r="942" ht="20.45" customHeight="1" x14ac:dyDescent="0.25"/>
    <row r="943" ht="20.45" customHeight="1" x14ac:dyDescent="0.25"/>
    <row r="944" ht="20.45" customHeight="1" x14ac:dyDescent="0.25"/>
    <row r="945" ht="20.45" customHeight="1" x14ac:dyDescent="0.25"/>
    <row r="946" ht="20.45" customHeight="1" x14ac:dyDescent="0.25"/>
    <row r="947" ht="20.45" customHeight="1" x14ac:dyDescent="0.25"/>
    <row r="948" ht="20.45" customHeight="1" x14ac:dyDescent="0.25"/>
    <row r="949" ht="20.45" customHeight="1" x14ac:dyDescent="0.25"/>
    <row r="950" ht="20.45" customHeight="1" x14ac:dyDescent="0.25"/>
    <row r="951" ht="20.45" customHeight="1" x14ac:dyDescent="0.25"/>
    <row r="952" ht="20.45" customHeight="1" x14ac:dyDescent="0.25"/>
    <row r="953" ht="20.45" customHeight="1" x14ac:dyDescent="0.25"/>
    <row r="954" ht="20.45" customHeight="1" x14ac:dyDescent="0.25"/>
    <row r="955" ht="20.45" customHeight="1" x14ac:dyDescent="0.25"/>
    <row r="956" ht="20.45" customHeight="1" x14ac:dyDescent="0.25"/>
    <row r="957" ht="20.45" customHeight="1" x14ac:dyDescent="0.25"/>
    <row r="958" ht="20.45" customHeight="1" x14ac:dyDescent="0.25"/>
    <row r="959" ht="20.45" customHeight="1" x14ac:dyDescent="0.25"/>
    <row r="960" ht="20.45" customHeight="1" x14ac:dyDescent="0.25"/>
    <row r="961" ht="20.45" customHeight="1" x14ac:dyDescent="0.25"/>
    <row r="962" ht="20.45" customHeight="1" x14ac:dyDescent="0.25"/>
    <row r="963" ht="20.45" customHeight="1" x14ac:dyDescent="0.25"/>
    <row r="964" ht="20.45" customHeight="1" x14ac:dyDescent="0.25"/>
    <row r="965" ht="20.45" customHeight="1" x14ac:dyDescent="0.25"/>
    <row r="966" ht="20.45" customHeight="1" x14ac:dyDescent="0.25"/>
    <row r="967" ht="20.45" customHeight="1" x14ac:dyDescent="0.25"/>
    <row r="968" ht="20.45" customHeight="1" x14ac:dyDescent="0.25"/>
    <row r="969" ht="20.45" customHeight="1" x14ac:dyDescent="0.25"/>
    <row r="970" ht="20.45" customHeight="1" x14ac:dyDescent="0.25"/>
    <row r="971" ht="20.45" customHeight="1" x14ac:dyDescent="0.25"/>
    <row r="972" ht="20.45" customHeight="1" x14ac:dyDescent="0.25"/>
    <row r="973" ht="20.45" customHeight="1" x14ac:dyDescent="0.25"/>
    <row r="974" ht="20.45" customHeight="1" x14ac:dyDescent="0.25"/>
    <row r="975" ht="20.45" customHeight="1" x14ac:dyDescent="0.25"/>
    <row r="976" ht="20.45" customHeight="1" x14ac:dyDescent="0.25"/>
    <row r="977" ht="20.45" customHeight="1" x14ac:dyDescent="0.25"/>
    <row r="978" ht="20.45" customHeight="1" x14ac:dyDescent="0.25"/>
    <row r="979" ht="20.45" customHeight="1" x14ac:dyDescent="0.25"/>
    <row r="980" ht="20.45" customHeight="1" x14ac:dyDescent="0.25"/>
    <row r="981" ht="20.45" customHeight="1" x14ac:dyDescent="0.25"/>
    <row r="982" ht="20.45" customHeight="1" x14ac:dyDescent="0.25"/>
    <row r="983" ht="20.45" customHeight="1" x14ac:dyDescent="0.25"/>
    <row r="984" ht="20.45" customHeight="1" x14ac:dyDescent="0.25"/>
    <row r="985" ht="20.45" customHeight="1" x14ac:dyDescent="0.25"/>
    <row r="986" ht="20.45" customHeight="1" x14ac:dyDescent="0.25"/>
    <row r="987" ht="20.45" customHeight="1" x14ac:dyDescent="0.25"/>
    <row r="988" ht="20.45" customHeight="1" x14ac:dyDescent="0.25"/>
    <row r="989" ht="20.45" customHeight="1" x14ac:dyDescent="0.25"/>
    <row r="990" ht="20.45" customHeight="1" x14ac:dyDescent="0.25"/>
    <row r="991" ht="20.45" customHeight="1" x14ac:dyDescent="0.25"/>
    <row r="992" ht="20.45" customHeight="1" x14ac:dyDescent="0.25"/>
    <row r="993" ht="20.45" customHeight="1" x14ac:dyDescent="0.25"/>
    <row r="994" ht="20.45" customHeight="1" x14ac:dyDescent="0.25"/>
    <row r="995" ht="20.45" customHeight="1" x14ac:dyDescent="0.25"/>
    <row r="996" ht="20.45" customHeight="1" x14ac:dyDescent="0.25"/>
    <row r="997" ht="20.45" customHeight="1" x14ac:dyDescent="0.25"/>
    <row r="998" ht="20.45" customHeight="1" x14ac:dyDescent="0.25"/>
    <row r="999" ht="20.45" customHeight="1" x14ac:dyDescent="0.25"/>
    <row r="1000" ht="20.45" customHeight="1" x14ac:dyDescent="0.25"/>
    <row r="1001" ht="20.45" customHeight="1" x14ac:dyDescent="0.25"/>
    <row r="1002" ht="20.45" customHeight="1" x14ac:dyDescent="0.25"/>
    <row r="1003" ht="20.45" customHeight="1" x14ac:dyDescent="0.25"/>
    <row r="1004" ht="20.45" customHeight="1" x14ac:dyDescent="0.25"/>
    <row r="1005" ht="20.45" customHeight="1" x14ac:dyDescent="0.25"/>
    <row r="1006" ht="20.45" customHeight="1" x14ac:dyDescent="0.25"/>
    <row r="1007" ht="20.45" customHeight="1" x14ac:dyDescent="0.25"/>
    <row r="1008" ht="20.45" customHeight="1" x14ac:dyDescent="0.25"/>
    <row r="1009" ht="20.45" customHeight="1" x14ac:dyDescent="0.25"/>
    <row r="1010" ht="20.45" customHeight="1" x14ac:dyDescent="0.25"/>
    <row r="1011" ht="20.45" customHeight="1" x14ac:dyDescent="0.25"/>
    <row r="1012" ht="20.45" customHeight="1" x14ac:dyDescent="0.25"/>
    <row r="1013" ht="20.45" customHeight="1" x14ac:dyDescent="0.25"/>
    <row r="1014" ht="20.45" customHeight="1" x14ac:dyDescent="0.25"/>
    <row r="1015" ht="20.45" customHeight="1" x14ac:dyDescent="0.25"/>
    <row r="1016" ht="20.45" customHeight="1" x14ac:dyDescent="0.25"/>
    <row r="1017" ht="20.45" customHeight="1" x14ac:dyDescent="0.25"/>
    <row r="1018" ht="20.45" customHeight="1" x14ac:dyDescent="0.25"/>
    <row r="1019" ht="20.45" customHeight="1" x14ac:dyDescent="0.25"/>
    <row r="1020" ht="20.45" customHeight="1" x14ac:dyDescent="0.25"/>
    <row r="1021" ht="20.45" customHeight="1" x14ac:dyDescent="0.25"/>
    <row r="1022" ht="20.45" customHeight="1" x14ac:dyDescent="0.25"/>
    <row r="1023" ht="20.45" customHeight="1" x14ac:dyDescent="0.25"/>
    <row r="1024" ht="20.45" customHeight="1" x14ac:dyDescent="0.25"/>
    <row r="1025" ht="20.45" customHeight="1" x14ac:dyDescent="0.25"/>
    <row r="1026" ht="20.45" customHeight="1" x14ac:dyDescent="0.25"/>
    <row r="1027" ht="20.45" customHeight="1" x14ac:dyDescent="0.25"/>
    <row r="1028" ht="20.45" customHeight="1" x14ac:dyDescent="0.25"/>
    <row r="1029" ht="20.45" customHeight="1" x14ac:dyDescent="0.25"/>
    <row r="1030" ht="20.45" customHeight="1" x14ac:dyDescent="0.25"/>
    <row r="1031" ht="20.45" customHeight="1" x14ac:dyDescent="0.25"/>
    <row r="1032" ht="20.45" customHeight="1" x14ac:dyDescent="0.25"/>
    <row r="1033" ht="20.45" customHeight="1" x14ac:dyDescent="0.25"/>
    <row r="1034" ht="20.45" customHeight="1" x14ac:dyDescent="0.25"/>
    <row r="1035" ht="20.45" customHeight="1" x14ac:dyDescent="0.25"/>
    <row r="1036" ht="20.45" customHeight="1" x14ac:dyDescent="0.25"/>
    <row r="1037" ht="20.45" customHeight="1" x14ac:dyDescent="0.25"/>
    <row r="1038" ht="20.45" customHeight="1" x14ac:dyDescent="0.25"/>
    <row r="1039" ht="20.45" customHeight="1" x14ac:dyDescent="0.25"/>
    <row r="1040" ht="20.45" customHeight="1" x14ac:dyDescent="0.25"/>
    <row r="1041" ht="20.45" customHeight="1" x14ac:dyDescent="0.25"/>
    <row r="1042" ht="20.45" customHeight="1" x14ac:dyDescent="0.25"/>
    <row r="1043" ht="20.45" customHeight="1" x14ac:dyDescent="0.25"/>
    <row r="1044" ht="20.45" customHeight="1" x14ac:dyDescent="0.25"/>
    <row r="1045" ht="20.45" customHeight="1" x14ac:dyDescent="0.25"/>
    <row r="1046" ht="20.45" customHeight="1" x14ac:dyDescent="0.25"/>
    <row r="1047" ht="20.45" customHeight="1" x14ac:dyDescent="0.25"/>
    <row r="1048" ht="20.45" customHeight="1" x14ac:dyDescent="0.25"/>
    <row r="1049" ht="20.45" customHeight="1" x14ac:dyDescent="0.25"/>
    <row r="1050" ht="20.45" customHeight="1" x14ac:dyDescent="0.25"/>
    <row r="1051" ht="20.45" customHeight="1" x14ac:dyDescent="0.25"/>
    <row r="1052" ht="20.45" customHeight="1" x14ac:dyDescent="0.25"/>
    <row r="1053" ht="20.45" customHeight="1" x14ac:dyDescent="0.25"/>
    <row r="1054" ht="20.45" customHeight="1" x14ac:dyDescent="0.25"/>
    <row r="1055" ht="20.45" customHeight="1" x14ac:dyDescent="0.25"/>
    <row r="1056" ht="20.45" customHeight="1" x14ac:dyDescent="0.25"/>
    <row r="1057" ht="20.45" customHeight="1" x14ac:dyDescent="0.25"/>
    <row r="1058" ht="20.45" customHeight="1" x14ac:dyDescent="0.25"/>
    <row r="1059" ht="20.45" customHeight="1" x14ac:dyDescent="0.25"/>
    <row r="1060" ht="20.45" customHeight="1" x14ac:dyDescent="0.25"/>
    <row r="1061" ht="20.45" customHeight="1" x14ac:dyDescent="0.25"/>
    <row r="1062" ht="20.45" customHeight="1" x14ac:dyDescent="0.25"/>
    <row r="1063" ht="20.45" customHeight="1" x14ac:dyDescent="0.25"/>
    <row r="1064" ht="20.45" customHeight="1" x14ac:dyDescent="0.25"/>
    <row r="1065" ht="20.45" customHeight="1" x14ac:dyDescent="0.25"/>
    <row r="1066" ht="20.45" customHeight="1" x14ac:dyDescent="0.25"/>
    <row r="1067" ht="20.45" customHeight="1" x14ac:dyDescent="0.25"/>
    <row r="1068" ht="20.45" customHeight="1" x14ac:dyDescent="0.25"/>
    <row r="1069" ht="20.45" customHeight="1" x14ac:dyDescent="0.25"/>
    <row r="1070" ht="20.45" customHeight="1" x14ac:dyDescent="0.25"/>
    <row r="1071" ht="20.45" customHeight="1" x14ac:dyDescent="0.25"/>
    <row r="1072" ht="20.45" customHeight="1" x14ac:dyDescent="0.25"/>
    <row r="1073" ht="20.45" customHeight="1" x14ac:dyDescent="0.25"/>
    <row r="1074" ht="20.45" customHeight="1" x14ac:dyDescent="0.25"/>
    <row r="1075" ht="20.45" customHeight="1" x14ac:dyDescent="0.25"/>
    <row r="1076" ht="20.45" customHeight="1" x14ac:dyDescent="0.25"/>
    <row r="1077" ht="20.45" customHeight="1" x14ac:dyDescent="0.25"/>
    <row r="1078" ht="20.45" customHeight="1" x14ac:dyDescent="0.25"/>
    <row r="1079" ht="20.45" customHeight="1" x14ac:dyDescent="0.25"/>
    <row r="1080" ht="20.45" customHeight="1" x14ac:dyDescent="0.25"/>
    <row r="1081" ht="20.45" customHeight="1" x14ac:dyDescent="0.25"/>
    <row r="1082" ht="20.45" customHeight="1" x14ac:dyDescent="0.25"/>
    <row r="1083" ht="20.45" customHeight="1" x14ac:dyDescent="0.25"/>
    <row r="1084" ht="20.45" customHeight="1" x14ac:dyDescent="0.25"/>
    <row r="1085" ht="20.45" customHeight="1" x14ac:dyDescent="0.25"/>
    <row r="1086" ht="20.45" customHeight="1" x14ac:dyDescent="0.25"/>
    <row r="1087" ht="20.45" customHeight="1" x14ac:dyDescent="0.25"/>
    <row r="1088" ht="20.45" customHeight="1" x14ac:dyDescent="0.25"/>
    <row r="1089" ht="20.45" customHeight="1" x14ac:dyDescent="0.25"/>
    <row r="1090" ht="20.45" customHeight="1" x14ac:dyDescent="0.25"/>
    <row r="1091" ht="20.45" customHeight="1" x14ac:dyDescent="0.25"/>
    <row r="1092" ht="20.45" customHeight="1" x14ac:dyDescent="0.25"/>
    <row r="1093" ht="20.45" customHeight="1" x14ac:dyDescent="0.25"/>
    <row r="1094" ht="20.45" customHeight="1" x14ac:dyDescent="0.25"/>
    <row r="1095" ht="20.45" customHeight="1" x14ac:dyDescent="0.25"/>
    <row r="1096" ht="20.45" customHeight="1" x14ac:dyDescent="0.25"/>
    <row r="1097" ht="20.45" customHeight="1" x14ac:dyDescent="0.25"/>
    <row r="1098" ht="20.45" customHeight="1" x14ac:dyDescent="0.25"/>
    <row r="1099" ht="20.45" customHeight="1" x14ac:dyDescent="0.25"/>
    <row r="1100" ht="20.45" customHeight="1" x14ac:dyDescent="0.25"/>
    <row r="1101" ht="20.45" customHeight="1" x14ac:dyDescent="0.25"/>
    <row r="1102" ht="20.45" customHeight="1" x14ac:dyDescent="0.25"/>
    <row r="1103" ht="20.45" customHeight="1" x14ac:dyDescent="0.25"/>
    <row r="1104" ht="20.45" customHeight="1" x14ac:dyDescent="0.25"/>
    <row r="1105" ht="20.45" customHeight="1" x14ac:dyDescent="0.25"/>
    <row r="1106" ht="20.45" customHeight="1" x14ac:dyDescent="0.25"/>
    <row r="1107" ht="20.45" customHeight="1" x14ac:dyDescent="0.25"/>
    <row r="1108" ht="20.45" customHeight="1" x14ac:dyDescent="0.25"/>
    <row r="1109" ht="20.45" customHeight="1" x14ac:dyDescent="0.25"/>
    <row r="1110" ht="20.45" customHeight="1" x14ac:dyDescent="0.25"/>
    <row r="1111" ht="20.45" customHeight="1" x14ac:dyDescent="0.25"/>
    <row r="1112" ht="20.45" customHeight="1" x14ac:dyDescent="0.25"/>
    <row r="1113" ht="20.45" customHeight="1" x14ac:dyDescent="0.25"/>
    <row r="1114" ht="20.45" customHeight="1" x14ac:dyDescent="0.25"/>
    <row r="1115" ht="20.45" customHeight="1" x14ac:dyDescent="0.25"/>
    <row r="1116" ht="20.45" customHeight="1" x14ac:dyDescent="0.25"/>
    <row r="1117" ht="20.45" customHeight="1" x14ac:dyDescent="0.25"/>
    <row r="1118" ht="20.45" customHeight="1" x14ac:dyDescent="0.25"/>
    <row r="1119" ht="20.45" customHeight="1" x14ac:dyDescent="0.25"/>
    <row r="1120" ht="20.45" customHeight="1" x14ac:dyDescent="0.25"/>
    <row r="1121" ht="20.45" customHeight="1" x14ac:dyDescent="0.25"/>
    <row r="1122" ht="20.45" customHeight="1" x14ac:dyDescent="0.25"/>
    <row r="1123" ht="20.45" customHeight="1" x14ac:dyDescent="0.25"/>
    <row r="1124" ht="20.45" customHeight="1" x14ac:dyDescent="0.25"/>
    <row r="1125" ht="20.45" customHeight="1" x14ac:dyDescent="0.25"/>
    <row r="1126" ht="20.45" customHeight="1" x14ac:dyDescent="0.25"/>
    <row r="1127" ht="20.45" customHeight="1" x14ac:dyDescent="0.25"/>
    <row r="1128" ht="20.45" customHeight="1" x14ac:dyDescent="0.25"/>
    <row r="1129" ht="20.45" customHeight="1" x14ac:dyDescent="0.25"/>
    <row r="1130" ht="20.45" customHeight="1" x14ac:dyDescent="0.25"/>
    <row r="1131" ht="20.45" customHeight="1" x14ac:dyDescent="0.25"/>
    <row r="1132" ht="20.45" customHeight="1" x14ac:dyDescent="0.25"/>
    <row r="1133" ht="20.45" customHeight="1" x14ac:dyDescent="0.25"/>
    <row r="1134" ht="20.45" customHeight="1" x14ac:dyDescent="0.25"/>
    <row r="1135" ht="20.45" customHeight="1" x14ac:dyDescent="0.25"/>
    <row r="1136" ht="20.45" customHeight="1" x14ac:dyDescent="0.25"/>
    <row r="1137" ht="20.45" customHeight="1" x14ac:dyDescent="0.25"/>
    <row r="1138" ht="20.45" customHeight="1" x14ac:dyDescent="0.25"/>
    <row r="1139" ht="20.45" customHeight="1" x14ac:dyDescent="0.25"/>
    <row r="1140" ht="20.45" customHeight="1" x14ac:dyDescent="0.25"/>
    <row r="1141" ht="20.45" customHeight="1" x14ac:dyDescent="0.25"/>
    <row r="1142" ht="20.45" customHeight="1" x14ac:dyDescent="0.25"/>
    <row r="1143" ht="20.45" customHeight="1" x14ac:dyDescent="0.25"/>
    <row r="1144" ht="20.45" customHeight="1" x14ac:dyDescent="0.25"/>
    <row r="1145" ht="20.45" customHeight="1" x14ac:dyDescent="0.25"/>
    <row r="1146" ht="20.45" customHeight="1" x14ac:dyDescent="0.25"/>
    <row r="1147" ht="20.45" customHeight="1" x14ac:dyDescent="0.25"/>
    <row r="1148" ht="20.45" customHeight="1" x14ac:dyDescent="0.25"/>
    <row r="1149" ht="20.45" customHeight="1" x14ac:dyDescent="0.25"/>
    <row r="1150" ht="20.45" customHeight="1" x14ac:dyDescent="0.25"/>
    <row r="1151" ht="20.45" customHeight="1" x14ac:dyDescent="0.25"/>
    <row r="1152" ht="20.45" customHeight="1" x14ac:dyDescent="0.25"/>
    <row r="1153" ht="20.45" customHeight="1" x14ac:dyDescent="0.25"/>
    <row r="1154" ht="20.45" customHeight="1" x14ac:dyDescent="0.25"/>
    <row r="1155" ht="20.45" customHeight="1" x14ac:dyDescent="0.25"/>
    <row r="1156" ht="20.45" customHeight="1" x14ac:dyDescent="0.25"/>
    <row r="1157" ht="20.45" customHeight="1" x14ac:dyDescent="0.25"/>
    <row r="1158" ht="20.45" customHeight="1" x14ac:dyDescent="0.25"/>
    <row r="1159" ht="20.45" customHeight="1" x14ac:dyDescent="0.25"/>
    <row r="1160" ht="20.45" customHeight="1" x14ac:dyDescent="0.25"/>
    <row r="1161" ht="20.45" customHeight="1" x14ac:dyDescent="0.25"/>
    <row r="1162" ht="20.45" customHeight="1" x14ac:dyDescent="0.25"/>
    <row r="1163" ht="20.45" customHeight="1" x14ac:dyDescent="0.25"/>
    <row r="1164" ht="20.45" customHeight="1" x14ac:dyDescent="0.25"/>
    <row r="1165" ht="20.45" customHeight="1" x14ac:dyDescent="0.25"/>
    <row r="1166" ht="20.45" customHeight="1" x14ac:dyDescent="0.25"/>
    <row r="1167" ht="20.45" customHeight="1" x14ac:dyDescent="0.25"/>
    <row r="1168" ht="20.45" customHeight="1" x14ac:dyDescent="0.25"/>
    <row r="1169" ht="20.45" customHeight="1" x14ac:dyDescent="0.25"/>
    <row r="1170" ht="20.45" customHeight="1" x14ac:dyDescent="0.25"/>
    <row r="1171" ht="20.45" customHeight="1" x14ac:dyDescent="0.25"/>
    <row r="1172" ht="20.45" customHeight="1" x14ac:dyDescent="0.25"/>
    <row r="1173" ht="20.45" customHeight="1" x14ac:dyDescent="0.25"/>
    <row r="1174" ht="20.45" customHeight="1" x14ac:dyDescent="0.25"/>
    <row r="1175" ht="20.45" customHeight="1" x14ac:dyDescent="0.25"/>
    <row r="1176" ht="20.45" customHeight="1" x14ac:dyDescent="0.25"/>
    <row r="1177" ht="20.45" customHeight="1" x14ac:dyDescent="0.25"/>
    <row r="1178" ht="20.45" customHeight="1" x14ac:dyDescent="0.25"/>
    <row r="1179" ht="20.45" customHeight="1" x14ac:dyDescent="0.25"/>
    <row r="1180" ht="20.45" customHeight="1" x14ac:dyDescent="0.25"/>
    <row r="1181" ht="20.45" customHeight="1" x14ac:dyDescent="0.25"/>
    <row r="1182" ht="20.45" customHeight="1" x14ac:dyDescent="0.25"/>
    <row r="1183" ht="20.45" customHeight="1" x14ac:dyDescent="0.25"/>
    <row r="1184" ht="20.45" customHeight="1" x14ac:dyDescent="0.25"/>
    <row r="1185" ht="20.45" customHeight="1" x14ac:dyDescent="0.25"/>
    <row r="1186" ht="20.45" customHeight="1" x14ac:dyDescent="0.25"/>
    <row r="1187" ht="20.45" customHeight="1" x14ac:dyDescent="0.25"/>
    <row r="1188" ht="20.45" customHeight="1" x14ac:dyDescent="0.25"/>
    <row r="1189" ht="20.45" customHeight="1" x14ac:dyDescent="0.25"/>
    <row r="1190" ht="20.45" customHeight="1" x14ac:dyDescent="0.25"/>
    <row r="1191" ht="20.45" customHeight="1" x14ac:dyDescent="0.25"/>
    <row r="1192" ht="20.45" customHeight="1" x14ac:dyDescent="0.25"/>
    <row r="1193" ht="20.45" customHeight="1" x14ac:dyDescent="0.25"/>
    <row r="1194" ht="20.45" customHeight="1" x14ac:dyDescent="0.25"/>
    <row r="1195" ht="20.45" customHeight="1" x14ac:dyDescent="0.25"/>
    <row r="1196" ht="20.45" customHeight="1" x14ac:dyDescent="0.25"/>
    <row r="1197" ht="20.45" customHeight="1" x14ac:dyDescent="0.25"/>
    <row r="1198" ht="20.45" customHeight="1" x14ac:dyDescent="0.25"/>
    <row r="1199" ht="20.45" customHeight="1" x14ac:dyDescent="0.25"/>
    <row r="1200" ht="20.45" customHeight="1" x14ac:dyDescent="0.25"/>
    <row r="1201" ht="20.45" customHeight="1" x14ac:dyDescent="0.25"/>
    <row r="1202" ht="20.45" customHeight="1" x14ac:dyDescent="0.25"/>
    <row r="1203" ht="20.45" customHeight="1" x14ac:dyDescent="0.25"/>
    <row r="1204" ht="20.45" customHeight="1" x14ac:dyDescent="0.25"/>
    <row r="1205" ht="20.45" customHeight="1" x14ac:dyDescent="0.25"/>
    <row r="1206" ht="20.45" customHeight="1" x14ac:dyDescent="0.25"/>
    <row r="1207" ht="20.45" customHeight="1" x14ac:dyDescent="0.25"/>
    <row r="1208" ht="20.45" customHeight="1" x14ac:dyDescent="0.25"/>
    <row r="1209" ht="20.45" customHeight="1" x14ac:dyDescent="0.25"/>
    <row r="1210" ht="20.45" customHeight="1" x14ac:dyDescent="0.25"/>
    <row r="1211" ht="20.45" customHeight="1" x14ac:dyDescent="0.25"/>
    <row r="1212" ht="20.45" customHeight="1" x14ac:dyDescent="0.25"/>
    <row r="1213" ht="20.45" customHeight="1" x14ac:dyDescent="0.25"/>
    <row r="1214" ht="20.45" customHeight="1" x14ac:dyDescent="0.25"/>
    <row r="1215" ht="20.45" customHeight="1" x14ac:dyDescent="0.25"/>
    <row r="1216" ht="20.45" customHeight="1" x14ac:dyDescent="0.25"/>
    <row r="1217" ht="20.45" customHeight="1" x14ac:dyDescent="0.25"/>
    <row r="1218" ht="20.45" customHeight="1" x14ac:dyDescent="0.25"/>
    <row r="1219" ht="20.45" customHeight="1" x14ac:dyDescent="0.25"/>
    <row r="1220" ht="20.45" customHeight="1" x14ac:dyDescent="0.25"/>
    <row r="1221" ht="20.45" customHeight="1" x14ac:dyDescent="0.25"/>
    <row r="1222" ht="20.45" customHeight="1" x14ac:dyDescent="0.25"/>
    <row r="1223" ht="20.45" customHeight="1" x14ac:dyDescent="0.25"/>
    <row r="1224" ht="20.45" customHeight="1" x14ac:dyDescent="0.25"/>
    <row r="1225" ht="20.45" customHeight="1" x14ac:dyDescent="0.25"/>
    <row r="1226" ht="20.45" customHeight="1" x14ac:dyDescent="0.25"/>
    <row r="1227" ht="20.45" customHeight="1" x14ac:dyDescent="0.25"/>
    <row r="1228" ht="20.45" customHeight="1" x14ac:dyDescent="0.25"/>
    <row r="1229" ht="20.45" customHeight="1" x14ac:dyDescent="0.25"/>
    <row r="1230" ht="20.45" customHeight="1" x14ac:dyDescent="0.25"/>
    <row r="1231" ht="20.45" customHeight="1" x14ac:dyDescent="0.25"/>
    <row r="1232" ht="20.45" customHeight="1" x14ac:dyDescent="0.25"/>
    <row r="1233" ht="20.45" customHeight="1" x14ac:dyDescent="0.25"/>
    <row r="1234" ht="20.45" customHeight="1" x14ac:dyDescent="0.25"/>
    <row r="1235" ht="20.45" customHeight="1" x14ac:dyDescent="0.25"/>
    <row r="1236" ht="20.45" customHeight="1" x14ac:dyDescent="0.25"/>
    <row r="1237" ht="20.45" customHeight="1" x14ac:dyDescent="0.25"/>
    <row r="1238" ht="20.45" customHeight="1" x14ac:dyDescent="0.25"/>
    <row r="1239" ht="20.45" customHeight="1" x14ac:dyDescent="0.25"/>
    <row r="1240" ht="20.45" customHeight="1" x14ac:dyDescent="0.25"/>
    <row r="1241" ht="20.45" customHeight="1" x14ac:dyDescent="0.25"/>
    <row r="1242" ht="20.45" customHeight="1" x14ac:dyDescent="0.25"/>
    <row r="1243" ht="20.45" customHeight="1" x14ac:dyDescent="0.25"/>
    <row r="1244" ht="20.45" customHeight="1" x14ac:dyDescent="0.25"/>
    <row r="1245" ht="20.45" customHeight="1" x14ac:dyDescent="0.25"/>
    <row r="1246" ht="20.45" customHeight="1" x14ac:dyDescent="0.25"/>
    <row r="1247" ht="20.45" customHeight="1" x14ac:dyDescent="0.25"/>
    <row r="1248" ht="20.45" customHeight="1" x14ac:dyDescent="0.25"/>
    <row r="1249" ht="20.45" customHeight="1" x14ac:dyDescent="0.25"/>
    <row r="1250" ht="20.45" customHeight="1" x14ac:dyDescent="0.25"/>
    <row r="1251" ht="20.45" customHeight="1" x14ac:dyDescent="0.25"/>
    <row r="1252" ht="20.45" customHeight="1" x14ac:dyDescent="0.25"/>
    <row r="1253" ht="20.45" customHeight="1" x14ac:dyDescent="0.25"/>
    <row r="1254" ht="20.45" customHeight="1" x14ac:dyDescent="0.25"/>
    <row r="1255" ht="20.45" customHeight="1" x14ac:dyDescent="0.25"/>
    <row r="1256" ht="20.45" customHeight="1" x14ac:dyDescent="0.25"/>
    <row r="1257" ht="20.45" customHeight="1" x14ac:dyDescent="0.25"/>
    <row r="1258" ht="20.45" customHeight="1" x14ac:dyDescent="0.25"/>
    <row r="1259" ht="20.45" customHeight="1" x14ac:dyDescent="0.25"/>
    <row r="1260" ht="20.45" customHeight="1" x14ac:dyDescent="0.25"/>
    <row r="1261" ht="20.45" customHeight="1" x14ac:dyDescent="0.25"/>
    <row r="1262" ht="20.45" customHeight="1" x14ac:dyDescent="0.25"/>
    <row r="1263" ht="20.45" customHeight="1" x14ac:dyDescent="0.25"/>
    <row r="1264" ht="20.45" customHeight="1" x14ac:dyDescent="0.25"/>
    <row r="1265" ht="20.45" customHeight="1" x14ac:dyDescent="0.25"/>
    <row r="1266" ht="20.45" customHeight="1" x14ac:dyDescent="0.25"/>
    <row r="1267" ht="20.45" customHeight="1" x14ac:dyDescent="0.25"/>
    <row r="1268" ht="20.45" customHeight="1" x14ac:dyDescent="0.25"/>
    <row r="1269" ht="20.45" customHeight="1" x14ac:dyDescent="0.25"/>
    <row r="1270" ht="20.45" customHeight="1" x14ac:dyDescent="0.25"/>
    <row r="1271" ht="20.45" customHeight="1" x14ac:dyDescent="0.25"/>
    <row r="1272" ht="20.45" customHeight="1" x14ac:dyDescent="0.25"/>
    <row r="1273" ht="20.45" customHeight="1" x14ac:dyDescent="0.25"/>
    <row r="1274" ht="20.45" customHeight="1" x14ac:dyDescent="0.25"/>
    <row r="1275" ht="20.45" customHeight="1" x14ac:dyDescent="0.25"/>
    <row r="1276" ht="20.45" customHeight="1" x14ac:dyDescent="0.25"/>
    <row r="1277" ht="20.45" customHeight="1" x14ac:dyDescent="0.25"/>
    <row r="1278" ht="20.45" customHeight="1" x14ac:dyDescent="0.25"/>
    <row r="1279" ht="20.45" customHeight="1" x14ac:dyDescent="0.25"/>
    <row r="1280" ht="20.45" customHeight="1" x14ac:dyDescent="0.25"/>
    <row r="1281" ht="20.45" customHeight="1" x14ac:dyDescent="0.25"/>
    <row r="1282" ht="20.45" customHeight="1" x14ac:dyDescent="0.25"/>
    <row r="1283" ht="20.45" customHeight="1" x14ac:dyDescent="0.25"/>
    <row r="1284" ht="20.45" customHeight="1" x14ac:dyDescent="0.25"/>
    <row r="1285" ht="20.45" customHeight="1" x14ac:dyDescent="0.25"/>
    <row r="1286" ht="20.45" customHeight="1" x14ac:dyDescent="0.25"/>
    <row r="1287" ht="20.45" customHeight="1" x14ac:dyDescent="0.25"/>
    <row r="1288" ht="20.45" customHeight="1" x14ac:dyDescent="0.25"/>
    <row r="1289" ht="20.45" customHeight="1" x14ac:dyDescent="0.25"/>
    <row r="1290" ht="20.45" customHeight="1" x14ac:dyDescent="0.25"/>
    <row r="1291" ht="20.45" customHeight="1" x14ac:dyDescent="0.25"/>
    <row r="1292" ht="20.45" customHeight="1" x14ac:dyDescent="0.25"/>
    <row r="1293" ht="20.45" customHeight="1" x14ac:dyDescent="0.25"/>
    <row r="1294" ht="20.45" customHeight="1" x14ac:dyDescent="0.25"/>
    <row r="1295" ht="20.45" customHeight="1" x14ac:dyDescent="0.25"/>
    <row r="1296" ht="20.45" customHeight="1" x14ac:dyDescent="0.25"/>
    <row r="1297" ht="20.45" customHeight="1" x14ac:dyDescent="0.25"/>
    <row r="1298" ht="20.45" customHeight="1" x14ac:dyDescent="0.25"/>
    <row r="1299" ht="20.45" customHeight="1" x14ac:dyDescent="0.25"/>
    <row r="1300" ht="20.45" customHeight="1" x14ac:dyDescent="0.25"/>
    <row r="1301" ht="20.45" customHeight="1" x14ac:dyDescent="0.25"/>
    <row r="1302" ht="20.45" customHeight="1" x14ac:dyDescent="0.25"/>
    <row r="1303" ht="20.45" customHeight="1" x14ac:dyDescent="0.25"/>
    <row r="1304" ht="20.45" customHeight="1" x14ac:dyDescent="0.25"/>
    <row r="1305" ht="20.45" customHeight="1" x14ac:dyDescent="0.25"/>
    <row r="1306" ht="20.45" customHeight="1" x14ac:dyDescent="0.25"/>
    <row r="1307" ht="20.45" customHeight="1" x14ac:dyDescent="0.25"/>
    <row r="1308" ht="20.45" customHeight="1" x14ac:dyDescent="0.25"/>
    <row r="1309" ht="20.45" customHeight="1" x14ac:dyDescent="0.25"/>
    <row r="1310" ht="20.45" customHeight="1" x14ac:dyDescent="0.25"/>
    <row r="1311" ht="20.45" customHeight="1" x14ac:dyDescent="0.25"/>
    <row r="1312" ht="20.45" customHeight="1" x14ac:dyDescent="0.25"/>
    <row r="1313" ht="20.45" customHeight="1" x14ac:dyDescent="0.25"/>
    <row r="1314" ht="20.45" customHeight="1" x14ac:dyDescent="0.25"/>
    <row r="1315" ht="20.45" customHeight="1" x14ac:dyDescent="0.25"/>
    <row r="1316" ht="20.45" customHeight="1" x14ac:dyDescent="0.25"/>
    <row r="1317" ht="20.45" customHeight="1" x14ac:dyDescent="0.25"/>
    <row r="1318" ht="20.45" customHeight="1" x14ac:dyDescent="0.25"/>
    <row r="1319" ht="20.45" customHeight="1" x14ac:dyDescent="0.25"/>
    <row r="1320" ht="20.45" customHeight="1" x14ac:dyDescent="0.25"/>
    <row r="1321" ht="20.45" customHeight="1" x14ac:dyDescent="0.25"/>
    <row r="1322" ht="20.45" customHeight="1" x14ac:dyDescent="0.25"/>
    <row r="1323" ht="20.45" customHeight="1" x14ac:dyDescent="0.25"/>
    <row r="1324" ht="20.45" customHeight="1" x14ac:dyDescent="0.25"/>
    <row r="1325" ht="20.45" customHeight="1" x14ac:dyDescent="0.25"/>
    <row r="1326" ht="20.45" customHeight="1" x14ac:dyDescent="0.25"/>
    <row r="1327" ht="20.45" customHeight="1" x14ac:dyDescent="0.25"/>
    <row r="1328" ht="20.45" customHeight="1" x14ac:dyDescent="0.25"/>
    <row r="1329" ht="20.45" customHeight="1" x14ac:dyDescent="0.25"/>
    <row r="1330" ht="20.45" customHeight="1" x14ac:dyDescent="0.25"/>
    <row r="1331" ht="20.45" customHeight="1" x14ac:dyDescent="0.25"/>
  </sheetData>
  <phoneticPr fontId="12" type="noConversion"/>
  <dataValidations count="1">
    <dataValidation type="custom" allowBlank="1" showInputMessage="1" showErrorMessage="1" errorTitle="EXISTENCIA INSUFICIENTE" error="La existencia actual no es la suficienta para cumplir con la salida que se esta ingresando" sqref="I8:I896" xr:uid="{212DE097-3DD1-4845-B839-84A7F2C68AB5}">
      <formula1>H8&gt;=0</formula1>
    </dataValidation>
  </dataValidation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BFCFEC5-5319-4C16-848D-C4CC98858C4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I8:I896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5AFDF9-DB07-4E0F-A919-95BE731C64FC}">
          <x14:formula1>
            <xm:f>DATOS!$B$2:$B$1600</xm:f>
          </x14:formula1>
          <xm:sqref>L8:L896</xm:sqref>
        </x14:dataValidation>
        <x14:dataValidation type="list" allowBlank="1" showInputMessage="1" showErrorMessage="1" xr:uid="{8FBB7B3B-D3DC-4480-BAC3-AE41BB9CB86A}">
          <x14:formula1>
            <xm:f>DATOS!$B:$B</xm:f>
          </x14:formula1>
          <xm:sqref>M8:M896</xm:sqref>
        </x14:dataValidation>
        <x14:dataValidation type="list" allowBlank="1" showInputMessage="1" showErrorMessage="1" xr:uid="{7E2210FE-8089-44E6-8E26-88F5488C9960}">
          <x14:formula1>
            <xm:f>PRODUCTOS!$C$8:$C$1744</xm:f>
          </x14:formula1>
          <xm:sqref>D8:D896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ACFF-3126-452B-B1E1-4448EA080427}">
  <sheetPr codeName="Hoja5"/>
  <dimension ref="B8:N132"/>
  <sheetViews>
    <sheetView tabSelected="1" topLeftCell="F1" workbookViewId="0">
      <selection activeCell="L9" sqref="L9"/>
    </sheetView>
  </sheetViews>
  <sheetFormatPr baseColWidth="10" defaultRowHeight="15" x14ac:dyDescent="0.25"/>
  <cols>
    <col min="2" max="2" width="11.85546875" customWidth="1"/>
    <col min="4" max="4" width="41.28515625" customWidth="1"/>
    <col min="5" max="5" width="12" customWidth="1"/>
    <col min="7" max="7" width="40.5703125" customWidth="1"/>
    <col min="8" max="8" width="32.5703125" customWidth="1"/>
    <col min="9" max="9" width="16.28515625" customWidth="1"/>
    <col min="10" max="10" width="53.7109375" customWidth="1"/>
    <col min="11" max="11" width="14.28515625" customWidth="1"/>
    <col min="12" max="12" width="13.5703125" customWidth="1"/>
    <col min="13" max="13" width="11.7109375" customWidth="1"/>
  </cols>
  <sheetData>
    <row r="8" spans="2:14" s="1" customFormat="1" ht="30" customHeight="1" x14ac:dyDescent="0.25">
      <c r="B8" s="1" t="s">
        <v>11</v>
      </c>
      <c r="C8" s="1" t="s">
        <v>471</v>
      </c>
      <c r="D8" s="1" t="s">
        <v>223</v>
      </c>
      <c r="E8" s="1" t="s">
        <v>221</v>
      </c>
      <c r="F8" s="1" t="s">
        <v>3</v>
      </c>
      <c r="G8" s="1" t="s">
        <v>224</v>
      </c>
      <c r="H8" s="1" t="s">
        <v>220</v>
      </c>
      <c r="I8" s="1" t="s">
        <v>226</v>
      </c>
      <c r="J8" s="1" t="s">
        <v>228</v>
      </c>
      <c r="K8" s="1" t="s">
        <v>287</v>
      </c>
      <c r="L8" s="1" t="s">
        <v>288</v>
      </c>
      <c r="M8" s="1" t="s">
        <v>289</v>
      </c>
      <c r="N8" s="1" t="s">
        <v>292</v>
      </c>
    </row>
    <row r="9" spans="2:14" hidden="1" x14ac:dyDescent="0.25">
      <c r="B9" s="5">
        <v>45917</v>
      </c>
      <c r="C9" s="2" t="str">
        <f>_xlfn.XLOOKUP(ENTREGA[[#This Row],[DESCRIPCION PRODUCTO]],PRODUCTOS!$C$8:$C$1853,PRODUCTOS!$B$8:$B$1853,"")</f>
        <v>IS-3</v>
      </c>
      <c r="D9" t="s">
        <v>53</v>
      </c>
      <c r="E9" s="2">
        <v>1</v>
      </c>
      <c r="F9" s="2" t="s">
        <v>38</v>
      </c>
      <c r="G9" s="22" t="s">
        <v>253</v>
      </c>
      <c r="H9" s="22" t="s">
        <v>270</v>
      </c>
      <c r="I9" t="s">
        <v>227</v>
      </c>
      <c r="J9" t="str">
        <f>CONCATENATE(ENTREGA[[#This Row],[A QUIEN SE ENTRGA]],"",TEXT(ENTREGA[[#This Row],[FECHA]],"dd/mm/yyyy"))</f>
        <v>ALEJO CHARCA, DENNYS MIRIAM17/09/2025</v>
      </c>
      <c r="K9" t="s">
        <v>291</v>
      </c>
    </row>
    <row r="10" spans="2:14" hidden="1" x14ac:dyDescent="0.25">
      <c r="B10" s="5">
        <v>45917</v>
      </c>
      <c r="C10" s="2" t="str">
        <f>_xlfn.XLOOKUP(ENTREGA[[#This Row],[DESCRIPCION PRODUCTO]],PRODUCTOS!$C$8:$C$1853,PRODUCTOS!$B$8:$B$1853,"")</f>
        <v>IS-11</v>
      </c>
      <c r="D10" t="s">
        <v>61</v>
      </c>
      <c r="E10" s="2">
        <v>2</v>
      </c>
      <c r="F10" s="2" t="s">
        <v>38</v>
      </c>
      <c r="G10" s="22" t="s">
        <v>253</v>
      </c>
      <c r="H10" s="22" t="s">
        <v>270</v>
      </c>
      <c r="I10" t="s">
        <v>227</v>
      </c>
      <c r="J10" t="str">
        <f>CONCATENATE(ENTREGA[[#This Row],[A QUIEN SE ENTRGA]],"",TEXT(ENTREGA[[#This Row],[FECHA]],"dd/mm/yyyy"))</f>
        <v>ALEJO CHARCA, DENNYS MIRIAM17/09/2025</v>
      </c>
      <c r="K10" t="s">
        <v>291</v>
      </c>
    </row>
    <row r="11" spans="2:14" hidden="1" x14ac:dyDescent="0.25">
      <c r="B11" s="5">
        <v>45917</v>
      </c>
      <c r="C11" s="2" t="str">
        <f>_xlfn.XLOOKUP(ENTREGA[[#This Row],[DESCRIPCION PRODUCTO]],PRODUCTOS!$C$8:$C$1853,PRODUCTOS!$B$8:$B$1853,"")</f>
        <v>IS-18</v>
      </c>
      <c r="D11" t="s">
        <v>67</v>
      </c>
      <c r="E11" s="2">
        <v>1</v>
      </c>
      <c r="F11" s="2" t="s">
        <v>38</v>
      </c>
      <c r="G11" s="22" t="s">
        <v>253</v>
      </c>
      <c r="H11" s="22" t="s">
        <v>270</v>
      </c>
      <c r="I11" t="s">
        <v>227</v>
      </c>
      <c r="J11" t="str">
        <f>CONCATENATE(ENTREGA[[#This Row],[A QUIEN SE ENTRGA]],"",TEXT(ENTREGA[[#This Row],[FECHA]],"dd/mm/yyyy"))</f>
        <v>ALEJO CHARCA, DENNYS MIRIAM17/09/2025</v>
      </c>
      <c r="K11" t="s">
        <v>291</v>
      </c>
    </row>
    <row r="12" spans="2:14" hidden="1" x14ac:dyDescent="0.25">
      <c r="B12" s="5">
        <v>45917</v>
      </c>
      <c r="C12" s="2" t="str">
        <f>_xlfn.XLOOKUP(ENTREGA[[#This Row],[DESCRIPCION PRODUCTO]],PRODUCTOS!$C$8:$C$1853,PRODUCTOS!$B$8:$B$1853,"")</f>
        <v>IS-8</v>
      </c>
      <c r="D12" t="s">
        <v>58</v>
      </c>
      <c r="E12" s="2">
        <v>1</v>
      </c>
      <c r="F12" s="2" t="s">
        <v>38</v>
      </c>
      <c r="G12" s="22" t="s">
        <v>253</v>
      </c>
      <c r="H12" s="22" t="s">
        <v>270</v>
      </c>
      <c r="I12" t="s">
        <v>227</v>
      </c>
      <c r="J12" t="str">
        <f>CONCATENATE(ENTREGA[[#This Row],[A QUIEN SE ENTRGA]],"",TEXT(ENTREGA[[#This Row],[FECHA]],"dd/mm/yyyy"))</f>
        <v>ALEJO CHARCA, DENNYS MIRIAM17/09/2025</v>
      </c>
      <c r="K12" t="s">
        <v>291</v>
      </c>
    </row>
    <row r="13" spans="2:14" hidden="1" x14ac:dyDescent="0.25">
      <c r="B13" s="5">
        <v>45917</v>
      </c>
      <c r="C13" s="2" t="str">
        <f>_xlfn.XLOOKUP(ENTREGA[[#This Row],[DESCRIPCION PRODUCTO]],PRODUCTOS!$C$8:$C$1853,PRODUCTOS!$B$8:$B$1853,"")</f>
        <v>IS-23</v>
      </c>
      <c r="D13" t="s">
        <v>75</v>
      </c>
      <c r="E13" s="2">
        <v>1</v>
      </c>
      <c r="F13" s="2" t="s">
        <v>38</v>
      </c>
      <c r="G13" s="22" t="s">
        <v>253</v>
      </c>
      <c r="H13" s="22" t="s">
        <v>270</v>
      </c>
      <c r="I13" t="s">
        <v>227</v>
      </c>
      <c r="J13" t="str">
        <f>CONCATENATE(ENTREGA[[#This Row],[A QUIEN SE ENTRGA]],"",TEXT(ENTREGA[[#This Row],[FECHA]],"dd/mm/yyyy"))</f>
        <v>ALEJO CHARCA, DENNYS MIRIAM17/09/2025</v>
      </c>
      <c r="K13" t="s">
        <v>291</v>
      </c>
    </row>
    <row r="14" spans="2:14" hidden="1" x14ac:dyDescent="0.25">
      <c r="B14" s="5">
        <v>45917</v>
      </c>
      <c r="C14" s="2" t="str">
        <f>_xlfn.XLOOKUP(ENTREGA[[#This Row],[DESCRIPCION PRODUCTO]],PRODUCTOS!$C$8:$C$1853,PRODUCTOS!$B$8:$B$1853,"")</f>
        <v>IS-28</v>
      </c>
      <c r="D14" t="s">
        <v>79</v>
      </c>
      <c r="E14" s="2">
        <v>1</v>
      </c>
      <c r="F14" s="2" t="s">
        <v>38</v>
      </c>
      <c r="G14" s="22" t="s">
        <v>253</v>
      </c>
      <c r="H14" s="22" t="s">
        <v>270</v>
      </c>
      <c r="I14" t="s">
        <v>227</v>
      </c>
      <c r="J14" t="str">
        <f>CONCATENATE(ENTREGA[[#This Row],[A QUIEN SE ENTRGA]],"",TEXT(ENTREGA[[#This Row],[FECHA]],"dd/mm/yyyy"))</f>
        <v>ALEJO CHARCA, DENNYS MIRIAM17/09/2025</v>
      </c>
      <c r="K14" t="s">
        <v>291</v>
      </c>
    </row>
    <row r="15" spans="2:14" hidden="1" x14ac:dyDescent="0.25">
      <c r="B15" s="5">
        <v>45917</v>
      </c>
      <c r="C15" s="2" t="str">
        <f>_xlfn.XLOOKUP(ENTREGA[[#This Row],[DESCRIPCION PRODUCTO]],PRODUCTOS!$C$8:$C$1853,PRODUCTOS!$B$8:$B$1853,"")</f>
        <v>IS-25</v>
      </c>
      <c r="D15" t="s">
        <v>77</v>
      </c>
      <c r="E15" s="2">
        <v>1</v>
      </c>
      <c r="F15" s="2" t="s">
        <v>38</v>
      </c>
      <c r="G15" s="22" t="s">
        <v>253</v>
      </c>
      <c r="H15" s="22" t="s">
        <v>270</v>
      </c>
      <c r="I15" t="s">
        <v>227</v>
      </c>
      <c r="J15" t="str">
        <f>CONCATENATE(ENTREGA[[#This Row],[A QUIEN SE ENTRGA]],"",TEXT(ENTREGA[[#This Row],[FECHA]],"dd/mm/yyyy"))</f>
        <v>ALEJO CHARCA, DENNYS MIRIAM17/09/2025</v>
      </c>
      <c r="K15" t="s">
        <v>291</v>
      </c>
    </row>
    <row r="16" spans="2:14" hidden="1" x14ac:dyDescent="0.25">
      <c r="B16" s="5">
        <v>45917</v>
      </c>
      <c r="C16" s="2" t="str">
        <f>_xlfn.XLOOKUP(ENTREGA[[#This Row],[DESCRIPCION PRODUCTO]],PRODUCTOS!$C$8:$C$1853,PRODUCTOS!$B$8:$B$1853,"")</f>
        <v>IS-14</v>
      </c>
      <c r="D16" t="s">
        <v>271</v>
      </c>
      <c r="E16" s="2">
        <v>1</v>
      </c>
      <c r="F16" s="2" t="s">
        <v>38</v>
      </c>
      <c r="G16" s="22" t="s">
        <v>253</v>
      </c>
      <c r="H16" s="22" t="s">
        <v>270</v>
      </c>
      <c r="I16" t="s">
        <v>227</v>
      </c>
      <c r="J16" t="str">
        <f>CONCATENATE(ENTREGA[[#This Row],[A QUIEN SE ENTRGA]],"",TEXT(ENTREGA[[#This Row],[FECHA]],"dd/mm/yyyy"))</f>
        <v>ALEJO CHARCA, DENNYS MIRIAM17/09/2025</v>
      </c>
      <c r="K16" t="s">
        <v>291</v>
      </c>
    </row>
    <row r="17" spans="2:11" hidden="1" x14ac:dyDescent="0.25">
      <c r="B17" s="5">
        <v>45917</v>
      </c>
      <c r="C17" s="18" t="str">
        <f>_xlfn.XLOOKUP(ENTREGA[[#This Row],[DESCRIPCION PRODUCTO]],PRODUCTOS!$C$8:$C$1853,PRODUCTOS!$B$8:$B$1853,"")</f>
        <v>IS-5</v>
      </c>
      <c r="D17" t="s">
        <v>55</v>
      </c>
      <c r="E17" s="2">
        <v>1</v>
      </c>
      <c r="F17" s="2" t="s">
        <v>38</v>
      </c>
      <c r="G17" s="22" t="s">
        <v>256</v>
      </c>
      <c r="H17" s="22" t="s">
        <v>270</v>
      </c>
      <c r="I17" t="s">
        <v>227</v>
      </c>
      <c r="J17" t="str">
        <f>CONCATENATE(ENTREGA[[#This Row],[A QUIEN SE ENTRGA]],"",TEXT(ENTREGA[[#This Row],[FECHA]],"dd/mm/yyyy"))</f>
        <v>SILVA BORDA, ARLETTE NINOSKA17/09/2025</v>
      </c>
      <c r="K17" t="s">
        <v>291</v>
      </c>
    </row>
    <row r="18" spans="2:11" hidden="1" x14ac:dyDescent="0.25">
      <c r="B18" s="5">
        <v>45917</v>
      </c>
      <c r="C18" s="2" t="str">
        <f>_xlfn.XLOOKUP(ENTREGA[[#This Row],[DESCRIPCION PRODUCTO]],PRODUCTOS!$C$8:$C$1853,PRODUCTOS!$B$8:$B$1853,"")</f>
        <v>IS-11</v>
      </c>
      <c r="D18" t="s">
        <v>61</v>
      </c>
      <c r="E18" s="2">
        <v>1</v>
      </c>
      <c r="F18" s="2" t="s">
        <v>38</v>
      </c>
      <c r="G18" s="22" t="s">
        <v>256</v>
      </c>
      <c r="H18" s="22" t="s">
        <v>270</v>
      </c>
      <c r="I18" t="s">
        <v>227</v>
      </c>
      <c r="J18" t="str">
        <f>CONCATENATE(ENTREGA[[#This Row],[A QUIEN SE ENTRGA]],"",TEXT(ENTREGA[[#This Row],[FECHA]],"dd/mm/yyyy"))</f>
        <v>SILVA BORDA, ARLETTE NINOSKA17/09/2025</v>
      </c>
      <c r="K18" t="s">
        <v>291</v>
      </c>
    </row>
    <row r="19" spans="2:11" hidden="1" x14ac:dyDescent="0.25">
      <c r="B19" s="5">
        <v>45917</v>
      </c>
      <c r="C19" s="2" t="str">
        <f>_xlfn.XLOOKUP(ENTREGA[[#This Row],[DESCRIPCION PRODUCTO]],PRODUCTOS!$C$8:$C$1853,PRODUCTOS!$B$8:$B$1853,"")</f>
        <v>IS-12</v>
      </c>
      <c r="D19" t="s">
        <v>62</v>
      </c>
      <c r="E19" s="2">
        <v>1</v>
      </c>
      <c r="F19" s="2" t="s">
        <v>38</v>
      </c>
      <c r="G19" s="22" t="s">
        <v>256</v>
      </c>
      <c r="H19" s="22" t="s">
        <v>270</v>
      </c>
      <c r="I19" t="s">
        <v>227</v>
      </c>
      <c r="J19" t="str">
        <f>CONCATENATE(ENTREGA[[#This Row],[A QUIEN SE ENTRGA]],"",TEXT(ENTREGA[[#This Row],[FECHA]],"dd/mm/yyyy"))</f>
        <v>SILVA BORDA, ARLETTE NINOSKA17/09/2025</v>
      </c>
      <c r="K19" t="s">
        <v>291</v>
      </c>
    </row>
    <row r="20" spans="2:11" hidden="1" x14ac:dyDescent="0.25">
      <c r="B20" s="5">
        <v>45917</v>
      </c>
      <c r="C20" s="2" t="str">
        <f>_xlfn.XLOOKUP(ENTREGA[[#This Row],[DESCRIPCION PRODUCTO]],PRODUCTOS!$C$8:$C$1853,PRODUCTOS!$B$8:$B$1853,"")</f>
        <v>IS-18</v>
      </c>
      <c r="D20" t="s">
        <v>67</v>
      </c>
      <c r="E20" s="2">
        <v>1</v>
      </c>
      <c r="F20" s="2" t="s">
        <v>38</v>
      </c>
      <c r="G20" s="22" t="s">
        <v>256</v>
      </c>
      <c r="H20" s="22" t="s">
        <v>270</v>
      </c>
      <c r="I20" t="s">
        <v>227</v>
      </c>
      <c r="J20" t="str">
        <f>CONCATENATE(ENTREGA[[#This Row],[A QUIEN SE ENTRGA]],"",TEXT(ENTREGA[[#This Row],[FECHA]],"dd/mm/yyyy"))</f>
        <v>SILVA BORDA, ARLETTE NINOSKA17/09/2025</v>
      </c>
      <c r="K20" t="s">
        <v>291</v>
      </c>
    </row>
    <row r="21" spans="2:11" hidden="1" x14ac:dyDescent="0.25">
      <c r="B21" s="5">
        <v>45917</v>
      </c>
      <c r="C21" s="2" t="str">
        <f>_xlfn.XLOOKUP(ENTREGA[[#This Row],[DESCRIPCION PRODUCTO]],PRODUCTOS!$C$8:$C$1853,PRODUCTOS!$B$8:$B$1853,"")</f>
        <v>IS-8</v>
      </c>
      <c r="D21" t="s">
        <v>58</v>
      </c>
      <c r="E21" s="2">
        <v>1</v>
      </c>
      <c r="F21" s="2" t="s">
        <v>38</v>
      </c>
      <c r="G21" s="22" t="s">
        <v>256</v>
      </c>
      <c r="H21" s="22" t="s">
        <v>270</v>
      </c>
      <c r="I21" t="s">
        <v>227</v>
      </c>
      <c r="J21" t="str">
        <f>CONCATENATE(ENTREGA[[#This Row],[A QUIEN SE ENTRGA]],"",TEXT(ENTREGA[[#This Row],[FECHA]],"dd/mm/yyyy"))</f>
        <v>SILVA BORDA, ARLETTE NINOSKA17/09/2025</v>
      </c>
      <c r="K21" t="s">
        <v>291</v>
      </c>
    </row>
    <row r="22" spans="2:11" hidden="1" x14ac:dyDescent="0.25">
      <c r="B22" s="5">
        <v>45917</v>
      </c>
      <c r="C22" s="2" t="str">
        <f>_xlfn.XLOOKUP(ENTREGA[[#This Row],[DESCRIPCION PRODUCTO]],PRODUCTOS!$C$8:$C$1853,PRODUCTOS!$B$8:$B$1853,"")</f>
        <v>IS-23</v>
      </c>
      <c r="D22" t="s">
        <v>75</v>
      </c>
      <c r="E22" s="2">
        <v>1</v>
      </c>
      <c r="F22" s="2" t="s">
        <v>38</v>
      </c>
      <c r="G22" s="22" t="s">
        <v>256</v>
      </c>
      <c r="H22" s="22" t="s">
        <v>270</v>
      </c>
      <c r="I22" t="s">
        <v>227</v>
      </c>
      <c r="J22" t="str">
        <f>CONCATENATE(ENTREGA[[#This Row],[A QUIEN SE ENTRGA]],"",TEXT(ENTREGA[[#This Row],[FECHA]],"dd/mm/yyyy"))</f>
        <v>SILVA BORDA, ARLETTE NINOSKA17/09/2025</v>
      </c>
      <c r="K22" t="s">
        <v>291</v>
      </c>
    </row>
    <row r="23" spans="2:11" hidden="1" x14ac:dyDescent="0.25">
      <c r="B23" s="5">
        <v>45917</v>
      </c>
      <c r="C23" s="2" t="str">
        <f>_xlfn.XLOOKUP(ENTREGA[[#This Row],[DESCRIPCION PRODUCTO]],PRODUCTOS!$C$8:$C$1853,PRODUCTOS!$B$8:$B$1853,"")</f>
        <v>IS-28</v>
      </c>
      <c r="D23" t="s">
        <v>79</v>
      </c>
      <c r="E23" s="2">
        <v>1</v>
      </c>
      <c r="F23" s="2" t="s">
        <v>38</v>
      </c>
      <c r="G23" s="22" t="s">
        <v>256</v>
      </c>
      <c r="H23" s="22" t="s">
        <v>270</v>
      </c>
      <c r="I23" t="s">
        <v>227</v>
      </c>
      <c r="J23" t="str">
        <f>CONCATENATE(ENTREGA[[#This Row],[A QUIEN SE ENTRGA]],"",TEXT(ENTREGA[[#This Row],[FECHA]],"dd/mm/yyyy"))</f>
        <v>SILVA BORDA, ARLETTE NINOSKA17/09/2025</v>
      </c>
      <c r="K23" t="s">
        <v>291</v>
      </c>
    </row>
    <row r="24" spans="2:11" hidden="1" x14ac:dyDescent="0.25">
      <c r="B24" s="5">
        <v>45917</v>
      </c>
      <c r="C24" s="2" t="str">
        <f>_xlfn.XLOOKUP(ENTREGA[[#This Row],[DESCRIPCION PRODUCTO]],PRODUCTOS!$C$8:$C$1853,PRODUCTOS!$B$8:$B$1853,"")</f>
        <v>IS-25</v>
      </c>
      <c r="D24" t="s">
        <v>77</v>
      </c>
      <c r="E24" s="2">
        <v>1</v>
      </c>
      <c r="F24" s="2" t="s">
        <v>38</v>
      </c>
      <c r="G24" s="22" t="s">
        <v>256</v>
      </c>
      <c r="H24" s="22" t="s">
        <v>270</v>
      </c>
      <c r="I24" t="s">
        <v>227</v>
      </c>
      <c r="J24" t="str">
        <f>CONCATENATE(ENTREGA[[#This Row],[A QUIEN SE ENTRGA]],"",TEXT(ENTREGA[[#This Row],[FECHA]],"dd/mm/yyyy"))</f>
        <v>SILVA BORDA, ARLETTE NINOSKA17/09/2025</v>
      </c>
      <c r="K24" t="s">
        <v>291</v>
      </c>
    </row>
    <row r="25" spans="2:11" hidden="1" x14ac:dyDescent="0.25">
      <c r="B25" s="5">
        <v>45917</v>
      </c>
      <c r="C25" s="2" t="str">
        <f>_xlfn.XLOOKUP(ENTREGA[[#This Row],[DESCRIPCION PRODUCTO]],PRODUCTOS!$C$8:$C$1853,PRODUCTOS!$B$8:$B$1853,"")</f>
        <v>IS-14</v>
      </c>
      <c r="D25" t="s">
        <v>271</v>
      </c>
      <c r="E25" s="2">
        <v>1</v>
      </c>
      <c r="F25" s="2" t="s">
        <v>38</v>
      </c>
      <c r="G25" s="22" t="s">
        <v>256</v>
      </c>
      <c r="H25" s="22" t="s">
        <v>270</v>
      </c>
      <c r="I25" t="s">
        <v>227</v>
      </c>
      <c r="J25" t="str">
        <f>CONCATENATE(ENTREGA[[#This Row],[A QUIEN SE ENTRGA]],"",TEXT(ENTREGA[[#This Row],[FECHA]],"dd/mm/yyyy"))</f>
        <v>SILVA BORDA, ARLETTE NINOSKA17/09/2025</v>
      </c>
      <c r="K25" t="s">
        <v>291</v>
      </c>
    </row>
    <row r="26" spans="2:11" hidden="1" x14ac:dyDescent="0.25">
      <c r="B26" s="5">
        <v>45917</v>
      </c>
      <c r="C26" s="2" t="str">
        <f>_xlfn.XLOOKUP(ENTREGA[[#This Row],[DESCRIPCION PRODUCTO]],PRODUCTOS!$C$8:$C$1853,PRODUCTOS!$B$8:$B$1853,"")</f>
        <v>IS-4</v>
      </c>
      <c r="D26" t="s">
        <v>54</v>
      </c>
      <c r="E26" s="2">
        <v>1</v>
      </c>
      <c r="F26" s="2" t="s">
        <v>38</v>
      </c>
      <c r="G26" s="22" t="s">
        <v>260</v>
      </c>
      <c r="H26" s="22" t="s">
        <v>270</v>
      </c>
      <c r="I26" t="s">
        <v>227</v>
      </c>
      <c r="J26" t="str">
        <f>CONCATENATE(ENTREGA[[#This Row],[A QUIEN SE ENTRGA]],"",TEXT(ENTREGA[[#This Row],[FECHA]],"dd/mm/yyyy"))</f>
        <v>SALAZAR BAZAN, ROCÍO DALILA17/09/2025</v>
      </c>
      <c r="K26" t="s">
        <v>291</v>
      </c>
    </row>
    <row r="27" spans="2:11" hidden="1" x14ac:dyDescent="0.25">
      <c r="B27" s="5">
        <v>45917</v>
      </c>
      <c r="C27" s="2" t="str">
        <f>_xlfn.XLOOKUP(ENTREGA[[#This Row],[DESCRIPCION PRODUCTO]],PRODUCTOS!$C$8:$C$1853,PRODUCTOS!$B$8:$B$1853,"")</f>
        <v>IS-11</v>
      </c>
      <c r="D27" t="s">
        <v>61</v>
      </c>
      <c r="E27" s="2">
        <v>2</v>
      </c>
      <c r="F27" s="2" t="s">
        <v>38</v>
      </c>
      <c r="G27" s="22" t="s">
        <v>260</v>
      </c>
      <c r="H27" s="22" t="s">
        <v>270</v>
      </c>
      <c r="I27" t="s">
        <v>227</v>
      </c>
      <c r="J27" t="str">
        <f>CONCATENATE(ENTREGA[[#This Row],[A QUIEN SE ENTRGA]],"",TEXT(ENTREGA[[#This Row],[FECHA]],"dd/mm/yyyy"))</f>
        <v>SALAZAR BAZAN, ROCÍO DALILA17/09/2025</v>
      </c>
      <c r="K27" t="s">
        <v>291</v>
      </c>
    </row>
    <row r="28" spans="2:11" hidden="1" x14ac:dyDescent="0.25">
      <c r="B28" s="5">
        <v>45917</v>
      </c>
      <c r="C28" s="2" t="str">
        <f>_xlfn.XLOOKUP(ENTREGA[[#This Row],[DESCRIPCION PRODUCTO]],PRODUCTOS!$C$8:$C$1853,PRODUCTOS!$B$8:$B$1853,"")</f>
        <v>IS-18</v>
      </c>
      <c r="D28" t="s">
        <v>67</v>
      </c>
      <c r="E28" s="2">
        <v>1</v>
      </c>
      <c r="F28" s="2" t="s">
        <v>38</v>
      </c>
      <c r="G28" s="22" t="s">
        <v>260</v>
      </c>
      <c r="H28" s="22" t="s">
        <v>270</v>
      </c>
      <c r="I28" t="s">
        <v>227</v>
      </c>
      <c r="J28" t="str">
        <f>CONCATENATE(ENTREGA[[#This Row],[A QUIEN SE ENTRGA]],"",TEXT(ENTREGA[[#This Row],[FECHA]],"dd/mm/yyyy"))</f>
        <v>SALAZAR BAZAN, ROCÍO DALILA17/09/2025</v>
      </c>
      <c r="K28" t="s">
        <v>291</v>
      </c>
    </row>
    <row r="29" spans="2:11" hidden="1" x14ac:dyDescent="0.25">
      <c r="B29" s="5">
        <v>45917</v>
      </c>
      <c r="C29" s="2" t="str">
        <f>_xlfn.XLOOKUP(ENTREGA[[#This Row],[DESCRIPCION PRODUCTO]],PRODUCTOS!$C$8:$C$1853,PRODUCTOS!$B$8:$B$1853,"")</f>
        <v>IS-8</v>
      </c>
      <c r="D29" t="s">
        <v>58</v>
      </c>
      <c r="E29" s="2">
        <v>1</v>
      </c>
      <c r="F29" s="2" t="s">
        <v>38</v>
      </c>
      <c r="G29" s="22" t="s">
        <v>260</v>
      </c>
      <c r="H29" s="22" t="s">
        <v>270</v>
      </c>
      <c r="I29" t="s">
        <v>227</v>
      </c>
      <c r="J29" t="str">
        <f>CONCATENATE(ENTREGA[[#This Row],[A QUIEN SE ENTRGA]],"",TEXT(ENTREGA[[#This Row],[FECHA]],"dd/mm/yyyy"))</f>
        <v>SALAZAR BAZAN, ROCÍO DALILA17/09/2025</v>
      </c>
      <c r="K29" t="s">
        <v>291</v>
      </c>
    </row>
    <row r="30" spans="2:11" hidden="1" x14ac:dyDescent="0.25">
      <c r="B30" s="5">
        <v>45917</v>
      </c>
      <c r="C30" s="2" t="str">
        <f>_xlfn.XLOOKUP(ENTREGA[[#This Row],[DESCRIPCION PRODUCTO]],PRODUCTOS!$C$8:$C$1853,PRODUCTOS!$B$8:$B$1853,"")</f>
        <v>IS-23</v>
      </c>
      <c r="D30" t="s">
        <v>75</v>
      </c>
      <c r="E30" s="2">
        <v>1</v>
      </c>
      <c r="F30" s="2" t="s">
        <v>38</v>
      </c>
      <c r="G30" s="22" t="s">
        <v>260</v>
      </c>
      <c r="H30" s="22" t="s">
        <v>270</v>
      </c>
      <c r="I30" t="s">
        <v>227</v>
      </c>
      <c r="J30" t="str">
        <f>CONCATENATE(ENTREGA[[#This Row],[A QUIEN SE ENTRGA]],"",TEXT(ENTREGA[[#This Row],[FECHA]],"dd/mm/yyyy"))</f>
        <v>SALAZAR BAZAN, ROCÍO DALILA17/09/2025</v>
      </c>
      <c r="K30" t="s">
        <v>291</v>
      </c>
    </row>
    <row r="31" spans="2:11" hidden="1" x14ac:dyDescent="0.25">
      <c r="B31" s="5">
        <v>45917</v>
      </c>
      <c r="C31" s="2" t="str">
        <f>_xlfn.XLOOKUP(ENTREGA[[#This Row],[DESCRIPCION PRODUCTO]],PRODUCTOS!$C$8:$C$1853,PRODUCTOS!$B$8:$B$1853,"")</f>
        <v>IS-28</v>
      </c>
      <c r="D31" t="s">
        <v>79</v>
      </c>
      <c r="E31" s="2">
        <v>1</v>
      </c>
      <c r="F31" s="2" t="s">
        <v>38</v>
      </c>
      <c r="G31" s="22" t="s">
        <v>260</v>
      </c>
      <c r="H31" s="22" t="s">
        <v>270</v>
      </c>
      <c r="I31" t="s">
        <v>227</v>
      </c>
      <c r="J31" t="str">
        <f>CONCATENATE(ENTREGA[[#This Row],[A QUIEN SE ENTRGA]],"",TEXT(ENTREGA[[#This Row],[FECHA]],"dd/mm/yyyy"))</f>
        <v>SALAZAR BAZAN, ROCÍO DALILA17/09/2025</v>
      </c>
      <c r="K31" t="s">
        <v>291</v>
      </c>
    </row>
    <row r="32" spans="2:11" hidden="1" x14ac:dyDescent="0.25">
      <c r="B32" s="5">
        <v>45917</v>
      </c>
      <c r="C32" s="2" t="str">
        <f>_xlfn.XLOOKUP(ENTREGA[[#This Row],[DESCRIPCION PRODUCTO]],PRODUCTOS!$C$8:$C$1853,PRODUCTOS!$B$8:$B$1853,"")</f>
        <v>IS-25</v>
      </c>
      <c r="D32" t="s">
        <v>77</v>
      </c>
      <c r="E32" s="2">
        <v>1</v>
      </c>
      <c r="F32" s="2" t="s">
        <v>38</v>
      </c>
      <c r="G32" s="22" t="s">
        <v>260</v>
      </c>
      <c r="H32" s="22" t="s">
        <v>270</v>
      </c>
      <c r="I32" t="s">
        <v>227</v>
      </c>
      <c r="J32" t="str">
        <f>CONCATENATE(ENTREGA[[#This Row],[A QUIEN SE ENTRGA]],"",TEXT(ENTREGA[[#This Row],[FECHA]],"dd/mm/yyyy"))</f>
        <v>SALAZAR BAZAN, ROCÍO DALILA17/09/2025</v>
      </c>
      <c r="K32" t="s">
        <v>291</v>
      </c>
    </row>
    <row r="33" spans="2:14" hidden="1" x14ac:dyDescent="0.25">
      <c r="B33" s="5">
        <v>45917</v>
      </c>
      <c r="C33" s="2" t="str">
        <f>_xlfn.XLOOKUP(ENTREGA[[#This Row],[DESCRIPCION PRODUCTO]],PRODUCTOS!$C$8:$C$1853,PRODUCTOS!$B$8:$B$1853,"")</f>
        <v>IS-14</v>
      </c>
      <c r="D33" t="s">
        <v>271</v>
      </c>
      <c r="E33" s="2">
        <v>1</v>
      </c>
      <c r="F33" s="2" t="s">
        <v>38</v>
      </c>
      <c r="G33" s="22" t="s">
        <v>260</v>
      </c>
      <c r="H33" s="22" t="s">
        <v>270</v>
      </c>
      <c r="I33" t="s">
        <v>227</v>
      </c>
      <c r="J33" t="str">
        <f>CONCATENATE(ENTREGA[[#This Row],[A QUIEN SE ENTRGA]],"",TEXT(ENTREGA[[#This Row],[FECHA]],"dd/mm/yyyy"))</f>
        <v>SALAZAR BAZAN, ROCÍO DALILA17/09/2025</v>
      </c>
      <c r="K33" t="s">
        <v>291</v>
      </c>
    </row>
    <row r="34" spans="2:14" hidden="1" x14ac:dyDescent="0.25">
      <c r="B34" s="5">
        <v>45918</v>
      </c>
      <c r="C34" s="2" t="str">
        <f>_xlfn.XLOOKUP(ENTREGA[[#This Row],[DESCRIPCION PRODUCTO]],PRODUCTOS!$C$8:$C$1853,PRODUCTOS!$B$8:$B$1853,"")</f>
        <v>HM-3</v>
      </c>
      <c r="D34" t="s">
        <v>294</v>
      </c>
      <c r="E34" s="2">
        <v>1</v>
      </c>
      <c r="F34" s="2" t="s">
        <v>38</v>
      </c>
      <c r="G34" s="22" t="s">
        <v>239</v>
      </c>
      <c r="H34" s="22" t="s">
        <v>236</v>
      </c>
      <c r="I34" t="s">
        <v>19</v>
      </c>
      <c r="J34" t="str">
        <f>CONCATENATE(ENTREGA[[#This Row],[A QUIEN SE ENTRGA]],"",TEXT(ENTREGA[[#This Row],[FECHA]],"dd/mm/yyyy"))</f>
        <v>JEREMIAS PALOMINO, NORBERTO LEONCIO18/09/2025</v>
      </c>
      <c r="K34" t="s">
        <v>291</v>
      </c>
    </row>
    <row r="35" spans="2:14" x14ac:dyDescent="0.25">
      <c r="B35" s="5">
        <v>45918</v>
      </c>
      <c r="C35" s="2" t="str">
        <f>_xlfn.XLOOKUP(ENTREGA[[#This Row],[DESCRIPCION PRODUCTO]],PRODUCTOS!$C$8:$C$1853,PRODUCTOS!$B$8:$B$1853,"")</f>
        <v>ISA-8</v>
      </c>
      <c r="D35" t="s">
        <v>279</v>
      </c>
      <c r="E35" s="2">
        <v>1</v>
      </c>
      <c r="F35" s="2" t="s">
        <v>38</v>
      </c>
      <c r="G35" s="22" t="s">
        <v>258</v>
      </c>
      <c r="H35" s="22" t="s">
        <v>270</v>
      </c>
      <c r="I35" t="s">
        <v>282</v>
      </c>
      <c r="J35" t="str">
        <f>CONCATENATE(ENTREGA[[#This Row],[A QUIEN SE ENTRGA]],"",TEXT(ENTREGA[[#This Row],[FECHA]],"dd/mm/yyyy"))</f>
        <v>ADUVIRE ARGUATA, MARIO ARTURO18/09/2025</v>
      </c>
      <c r="K35" t="s">
        <v>291</v>
      </c>
    </row>
    <row r="36" spans="2:14" hidden="1" x14ac:dyDescent="0.25">
      <c r="B36" s="5">
        <v>45919</v>
      </c>
      <c r="C36" s="2" t="str">
        <f>_xlfn.XLOOKUP(ENTREGA[[#This Row],[DESCRIPCION PRODUCTO]],PRODUCTOS!$C$8:$C$1853,PRODUCTOS!$B$8:$B$1853,"")</f>
        <v>HM-4</v>
      </c>
      <c r="D36" t="s">
        <v>293</v>
      </c>
      <c r="E36" s="2">
        <v>1</v>
      </c>
      <c r="F36" s="2" t="s">
        <v>38</v>
      </c>
      <c r="G36" s="22" t="s">
        <v>262</v>
      </c>
      <c r="H36" s="22" t="s">
        <v>270</v>
      </c>
      <c r="I36" t="s">
        <v>19</v>
      </c>
      <c r="J36" t="str">
        <f>CONCATENATE(ENTREGA[[#This Row],[A QUIEN SE ENTRGA]],"",TEXT(ENTREGA[[#This Row],[FECHA]],"dd/mm/yyyy"))</f>
        <v>CHACON ORTIZ, JOSE ANTONIO19/09/2025</v>
      </c>
      <c r="K36" t="s">
        <v>290</v>
      </c>
      <c r="L36" s="66">
        <v>0.59722222222222221</v>
      </c>
      <c r="N36" s="5"/>
    </row>
    <row r="37" spans="2:14" hidden="1" x14ac:dyDescent="0.25">
      <c r="B37" s="5">
        <v>45919</v>
      </c>
      <c r="C37" s="2" t="str">
        <f>_xlfn.XLOOKUP(ENTREGA[[#This Row],[DESCRIPCION PRODUCTO]],PRODUCTOS!$C$8:$C$1853,PRODUCTOS!$B$8:$B$1853,"")</f>
        <v>HM-5</v>
      </c>
      <c r="D37" t="s">
        <v>295</v>
      </c>
      <c r="E37" s="2">
        <v>1</v>
      </c>
      <c r="F37" s="2" t="s">
        <v>38</v>
      </c>
      <c r="G37" s="22" t="s">
        <v>262</v>
      </c>
      <c r="H37" s="22" t="s">
        <v>270</v>
      </c>
      <c r="I37" t="s">
        <v>19</v>
      </c>
      <c r="J37" t="str">
        <f>CONCATENATE(ENTREGA[[#This Row],[A QUIEN SE ENTRGA]],"",TEXT(ENTREGA[[#This Row],[FECHA]],"dd/mm/yyyy"))</f>
        <v>CHACON ORTIZ, JOSE ANTONIO19/09/2025</v>
      </c>
      <c r="K37" t="s">
        <v>291</v>
      </c>
      <c r="L37" s="66">
        <v>0.59722222222222221</v>
      </c>
    </row>
    <row r="38" spans="2:14" hidden="1" x14ac:dyDescent="0.25">
      <c r="B38" s="5">
        <v>45919</v>
      </c>
      <c r="C38" s="2" t="str">
        <f>_xlfn.XLOOKUP(ENTREGA[[#This Row],[DESCRIPCION PRODUCTO]],PRODUCTOS!$C$8:$C$1853,PRODUCTOS!$B$8:$B$1853,"")</f>
        <v>COM-2</v>
      </c>
      <c r="D38" t="s">
        <v>296</v>
      </c>
      <c r="E38" s="2">
        <v>83</v>
      </c>
      <c r="F38" s="2" t="s">
        <v>41</v>
      </c>
      <c r="G38" s="22" t="s">
        <v>299</v>
      </c>
      <c r="H38" s="22" t="s">
        <v>270</v>
      </c>
      <c r="I38" t="s">
        <v>26</v>
      </c>
      <c r="J38" t="str">
        <f>CONCATENATE(ENTREGA[[#This Row],[A QUIEN SE ENTRGA]],"",TEXT(ENTREGA[[#This Row],[FECHA]],"dd/mm/yyyy"))</f>
        <v>VILLEGAS ROGER19/09/2025</v>
      </c>
      <c r="K38" t="s">
        <v>291</v>
      </c>
    </row>
    <row r="39" spans="2:14" hidden="1" x14ac:dyDescent="0.25">
      <c r="B39" s="5">
        <v>45922</v>
      </c>
      <c r="C39" s="2" t="str">
        <f>_xlfn.XLOOKUP(ENTREGA[[#This Row],[DESCRIPCION PRODUCTO]],PRODUCTOS!$C$8:$C$1853,PRODUCTOS!$B$8:$B$1853,"")</f>
        <v>IS-1</v>
      </c>
      <c r="D39" t="s">
        <v>50</v>
      </c>
      <c r="E39" s="2">
        <v>2</v>
      </c>
      <c r="F39" s="2" t="s">
        <v>38</v>
      </c>
      <c r="G39" s="22" t="s">
        <v>258</v>
      </c>
      <c r="H39" s="22" t="s">
        <v>270</v>
      </c>
      <c r="I39" t="s">
        <v>227</v>
      </c>
      <c r="J39" t="str">
        <f>CONCATENATE(ENTREGA[[#This Row],[A QUIEN SE ENTRGA]],"",TEXT(ENTREGA[[#This Row],[FECHA]],"dd/mm/yyyy"))</f>
        <v>ADUVIRE ARGUATA, MARIO ARTURO22/09/2025</v>
      </c>
      <c r="K39" t="s">
        <v>291</v>
      </c>
      <c r="L39" s="66">
        <v>0.29166666666666669</v>
      </c>
    </row>
    <row r="40" spans="2:14" hidden="1" x14ac:dyDescent="0.25">
      <c r="B40" s="5">
        <v>45922</v>
      </c>
      <c r="C40" s="2" t="str">
        <f>_xlfn.XLOOKUP(ENTREGA[[#This Row],[DESCRIPCION PRODUCTO]],PRODUCTOS!$C$8:$C$1853,PRODUCTOS!$B$8:$B$1853,"")</f>
        <v>IS-36</v>
      </c>
      <c r="D40" t="s">
        <v>300</v>
      </c>
      <c r="E40" s="2">
        <v>2</v>
      </c>
      <c r="F40" s="2" t="s">
        <v>38</v>
      </c>
      <c r="G40" s="22" t="s">
        <v>258</v>
      </c>
      <c r="H40" s="22" t="s">
        <v>270</v>
      </c>
      <c r="I40" t="s">
        <v>227</v>
      </c>
      <c r="J40" t="str">
        <f>CONCATENATE(ENTREGA[[#This Row],[A QUIEN SE ENTRGA]],"",TEXT(ENTREGA[[#This Row],[FECHA]],"dd/mm/yyyy"))</f>
        <v>ADUVIRE ARGUATA, MARIO ARTURO22/09/2025</v>
      </c>
      <c r="K40" t="s">
        <v>291</v>
      </c>
      <c r="L40" s="66">
        <v>0.29166666666666669</v>
      </c>
    </row>
    <row r="41" spans="2:14" hidden="1" x14ac:dyDescent="0.25">
      <c r="B41" s="5">
        <v>45922</v>
      </c>
      <c r="C41" s="2" t="str">
        <f>_xlfn.XLOOKUP(ENTREGA[[#This Row],[DESCRIPCION PRODUCTO]],PRODUCTOS!$C$8:$C$1853,PRODUCTOS!$B$8:$B$1853,"")</f>
        <v>IS-31</v>
      </c>
      <c r="D41" t="s">
        <v>82</v>
      </c>
      <c r="E41" s="2">
        <v>1</v>
      </c>
      <c r="F41" s="2" t="s">
        <v>38</v>
      </c>
      <c r="G41" s="22" t="s">
        <v>258</v>
      </c>
      <c r="H41" s="22" t="s">
        <v>270</v>
      </c>
      <c r="I41" t="s">
        <v>227</v>
      </c>
      <c r="J41" t="str">
        <f>CONCATENATE(ENTREGA[[#This Row],[A QUIEN SE ENTRGA]],"",TEXT(ENTREGA[[#This Row],[FECHA]],"dd/mm/yyyy"))</f>
        <v>ADUVIRE ARGUATA, MARIO ARTURO22/09/2025</v>
      </c>
      <c r="K41" t="s">
        <v>291</v>
      </c>
      <c r="L41" s="66">
        <v>0.29166666666666669</v>
      </c>
    </row>
    <row r="42" spans="2:14" hidden="1" x14ac:dyDescent="0.25">
      <c r="B42" s="5">
        <v>45922</v>
      </c>
      <c r="C42" s="2" t="str">
        <f>_xlfn.XLOOKUP(ENTREGA[[#This Row],[DESCRIPCION PRODUCTO]],PRODUCTOS!$C$8:$C$1853,PRODUCTOS!$B$8:$B$1853,"")</f>
        <v>IS-17</v>
      </c>
      <c r="D42" t="s">
        <v>66</v>
      </c>
      <c r="E42" s="2">
        <v>2</v>
      </c>
      <c r="F42" s="2" t="s">
        <v>38</v>
      </c>
      <c r="G42" s="22" t="s">
        <v>258</v>
      </c>
      <c r="H42" s="22" t="s">
        <v>270</v>
      </c>
      <c r="I42" t="s">
        <v>227</v>
      </c>
      <c r="J42" t="str">
        <f>CONCATENATE(ENTREGA[[#This Row],[A QUIEN SE ENTRGA]],"",TEXT(ENTREGA[[#This Row],[FECHA]],"dd/mm/yyyy"))</f>
        <v>ADUVIRE ARGUATA, MARIO ARTURO22/09/2025</v>
      </c>
      <c r="K42" t="s">
        <v>291</v>
      </c>
      <c r="L42" s="66">
        <v>0.29166666666666669</v>
      </c>
    </row>
    <row r="43" spans="2:14" hidden="1" x14ac:dyDescent="0.25">
      <c r="B43" s="5">
        <v>45922</v>
      </c>
      <c r="C43" s="2" t="str">
        <f>_xlfn.XLOOKUP(ENTREGA[[#This Row],[DESCRIPCION PRODUCTO]],PRODUCTOS!$C$8:$C$1853,PRODUCTOS!$B$8:$B$1853,"")</f>
        <v>IS-28</v>
      </c>
      <c r="D43" t="s">
        <v>79</v>
      </c>
      <c r="E43" s="2">
        <v>1</v>
      </c>
      <c r="F43" s="2" t="s">
        <v>38</v>
      </c>
      <c r="G43" s="22" t="s">
        <v>258</v>
      </c>
      <c r="H43" s="22" t="s">
        <v>270</v>
      </c>
      <c r="I43" t="s">
        <v>227</v>
      </c>
      <c r="J43" t="str">
        <f>CONCATENATE(ENTREGA[[#This Row],[A QUIEN SE ENTRGA]],"",TEXT(ENTREGA[[#This Row],[FECHA]],"dd/mm/yyyy"))</f>
        <v>ADUVIRE ARGUATA, MARIO ARTURO22/09/2025</v>
      </c>
      <c r="K43" t="s">
        <v>291</v>
      </c>
      <c r="L43" s="66">
        <v>0.29166666666666669</v>
      </c>
    </row>
    <row r="44" spans="2:14" hidden="1" x14ac:dyDescent="0.25">
      <c r="B44" s="5">
        <v>45922</v>
      </c>
      <c r="C44" s="2" t="str">
        <f>_xlfn.XLOOKUP(ENTREGA[[#This Row],[DESCRIPCION PRODUCTO]],PRODUCTOS!$C$8:$C$1853,PRODUCTOS!$B$8:$B$1853,"")</f>
        <v>IS-14</v>
      </c>
      <c r="D44" t="s">
        <v>271</v>
      </c>
      <c r="E44" s="2">
        <v>1</v>
      </c>
      <c r="F44" s="2" t="s">
        <v>38</v>
      </c>
      <c r="G44" s="22" t="s">
        <v>258</v>
      </c>
      <c r="H44" s="22" t="s">
        <v>270</v>
      </c>
      <c r="I44" t="s">
        <v>227</v>
      </c>
      <c r="J44" t="str">
        <f>CONCATENATE(ENTREGA[[#This Row],[A QUIEN SE ENTRGA]],"",TEXT(ENTREGA[[#This Row],[FECHA]],"dd/mm/yyyy"))</f>
        <v>ADUVIRE ARGUATA, MARIO ARTURO22/09/2025</v>
      </c>
      <c r="K44" t="s">
        <v>291</v>
      </c>
      <c r="L44" s="66">
        <v>0.29166666666666669</v>
      </c>
    </row>
    <row r="45" spans="2:14" hidden="1" x14ac:dyDescent="0.25">
      <c r="B45" s="5">
        <v>45922</v>
      </c>
      <c r="C45" s="2" t="str">
        <f>_xlfn.XLOOKUP(ENTREGA[[#This Row],[DESCRIPCION PRODUCTO]],PRODUCTOS!$C$8:$C$1853,PRODUCTOS!$B$8:$B$1853,"")</f>
        <v>IS-30</v>
      </c>
      <c r="D45" t="s">
        <v>81</v>
      </c>
      <c r="E45" s="2">
        <v>1</v>
      </c>
      <c r="F45" s="2" t="s">
        <v>38</v>
      </c>
      <c r="G45" s="22" t="s">
        <v>258</v>
      </c>
      <c r="H45" s="22" t="s">
        <v>270</v>
      </c>
      <c r="I45" t="s">
        <v>227</v>
      </c>
      <c r="J45" t="str">
        <f>CONCATENATE(ENTREGA[[#This Row],[A QUIEN SE ENTRGA]],"",TEXT(ENTREGA[[#This Row],[FECHA]],"dd/mm/yyyy"))</f>
        <v>ADUVIRE ARGUATA, MARIO ARTURO22/09/2025</v>
      </c>
      <c r="K45" t="s">
        <v>291</v>
      </c>
      <c r="L45" s="66">
        <v>0.29166666666666669</v>
      </c>
    </row>
    <row r="46" spans="2:14" hidden="1" x14ac:dyDescent="0.25">
      <c r="B46" s="5">
        <v>45922</v>
      </c>
      <c r="C46" s="2" t="str">
        <f>_xlfn.XLOOKUP(ENTREGA[[#This Row],[DESCRIPCION PRODUCTO]],PRODUCTOS!$C$8:$C$1853,PRODUCTOS!$B$8:$B$1853,"")</f>
        <v>IS-31</v>
      </c>
      <c r="D46" t="s">
        <v>82</v>
      </c>
      <c r="E46" s="2">
        <v>1</v>
      </c>
      <c r="F46" s="2" t="s">
        <v>38</v>
      </c>
      <c r="G46" s="22" t="s">
        <v>239</v>
      </c>
      <c r="H46" s="22" t="s">
        <v>270</v>
      </c>
      <c r="I46" t="s">
        <v>227</v>
      </c>
      <c r="J46" t="str">
        <f>CONCATENATE(ENTREGA[[#This Row],[A QUIEN SE ENTRGA]],"",TEXT(ENTREGA[[#This Row],[FECHA]],"dd/mm/yyyy"))</f>
        <v>JEREMIAS PALOMINO, NORBERTO LEONCIO22/09/2025</v>
      </c>
      <c r="K46" t="s">
        <v>291</v>
      </c>
      <c r="L46" s="66">
        <v>0.29166666666666669</v>
      </c>
    </row>
    <row r="47" spans="2:14" hidden="1" x14ac:dyDescent="0.25">
      <c r="B47" s="5">
        <v>45922</v>
      </c>
      <c r="C47" s="2" t="str">
        <f>_xlfn.XLOOKUP(ENTREGA[[#This Row],[DESCRIPCION PRODUCTO]],PRODUCTOS!$C$8:$C$1853,PRODUCTOS!$B$8:$B$1853,"")</f>
        <v>IS-14</v>
      </c>
      <c r="D47" t="s">
        <v>271</v>
      </c>
      <c r="E47" s="2">
        <v>1</v>
      </c>
      <c r="F47" s="2" t="s">
        <v>38</v>
      </c>
      <c r="G47" s="22" t="s">
        <v>239</v>
      </c>
      <c r="H47" s="22" t="s">
        <v>270</v>
      </c>
      <c r="I47" t="s">
        <v>227</v>
      </c>
      <c r="J47" t="str">
        <f>CONCATENATE(ENTREGA[[#This Row],[A QUIEN SE ENTRGA]],"",TEXT(ENTREGA[[#This Row],[FECHA]],"dd/mm/yyyy"))</f>
        <v>JEREMIAS PALOMINO, NORBERTO LEONCIO22/09/2025</v>
      </c>
      <c r="K47" t="s">
        <v>291</v>
      </c>
      <c r="L47" s="66">
        <v>0.29166666666666669</v>
      </c>
    </row>
    <row r="48" spans="2:14" hidden="1" x14ac:dyDescent="0.25">
      <c r="B48" s="5">
        <v>45922</v>
      </c>
      <c r="C48" s="2" t="str">
        <f>_xlfn.XLOOKUP(ENTREGA[[#This Row],[DESCRIPCION PRODUCTO]],PRODUCTOS!$C$8:$C$1853,PRODUCTOS!$B$8:$B$1853,"")</f>
        <v>IS-31</v>
      </c>
      <c r="D48" t="s">
        <v>82</v>
      </c>
      <c r="E48" s="2">
        <v>1</v>
      </c>
      <c r="F48" s="2" t="s">
        <v>38</v>
      </c>
      <c r="G48" s="22" t="s">
        <v>242</v>
      </c>
      <c r="H48" s="22" t="s">
        <v>270</v>
      </c>
      <c r="I48" t="s">
        <v>227</v>
      </c>
      <c r="J48" t="str">
        <f>CONCATENATE(ENTREGA[[#This Row],[A QUIEN SE ENTRGA]],"",TEXT(ENTREGA[[#This Row],[FECHA]],"dd/mm/yyyy"))</f>
        <v>MAYTAHUARI ACOSTA, SAMMER AXEL22/09/2025</v>
      </c>
      <c r="K48" t="s">
        <v>291</v>
      </c>
      <c r="L48" s="66">
        <v>0.29166666666666669</v>
      </c>
    </row>
    <row r="49" spans="2:12" hidden="1" x14ac:dyDescent="0.25">
      <c r="B49" s="5">
        <v>45922</v>
      </c>
      <c r="C49" s="2" t="str">
        <f>_xlfn.XLOOKUP(ENTREGA[[#This Row],[DESCRIPCION PRODUCTO]],PRODUCTOS!$C$8:$C$1853,PRODUCTOS!$B$8:$B$1853,"")</f>
        <v>IS-14</v>
      </c>
      <c r="D49" t="s">
        <v>271</v>
      </c>
      <c r="E49" s="2">
        <v>1</v>
      </c>
      <c r="F49" s="2" t="s">
        <v>38</v>
      </c>
      <c r="G49" s="22" t="s">
        <v>242</v>
      </c>
      <c r="H49" s="22" t="s">
        <v>270</v>
      </c>
      <c r="I49" t="s">
        <v>227</v>
      </c>
      <c r="J49" t="str">
        <f>CONCATENATE(ENTREGA[[#This Row],[A QUIEN SE ENTRGA]],"",TEXT(ENTREGA[[#This Row],[FECHA]],"dd/mm/yyyy"))</f>
        <v>MAYTAHUARI ACOSTA, SAMMER AXEL22/09/2025</v>
      </c>
      <c r="K49" t="s">
        <v>291</v>
      </c>
      <c r="L49" s="66">
        <v>0.29166666666666669</v>
      </c>
    </row>
    <row r="50" spans="2:12" hidden="1" x14ac:dyDescent="0.25">
      <c r="B50" s="5">
        <v>45922</v>
      </c>
      <c r="C50" s="2" t="str">
        <f>_xlfn.XLOOKUP(ENTREGA[[#This Row],[DESCRIPCION PRODUCTO]],PRODUCTOS!$C$8:$C$1853,PRODUCTOS!$B$8:$B$1853,"")</f>
        <v>IS-31</v>
      </c>
      <c r="D50" t="s">
        <v>82</v>
      </c>
      <c r="E50" s="2">
        <v>1</v>
      </c>
      <c r="F50" s="2" t="s">
        <v>38</v>
      </c>
      <c r="G50" s="22" t="s">
        <v>241</v>
      </c>
      <c r="H50" s="22" t="s">
        <v>270</v>
      </c>
      <c r="I50" t="s">
        <v>227</v>
      </c>
      <c r="J50" t="str">
        <f>CONCATENATE(ENTREGA[[#This Row],[A QUIEN SE ENTRGA]],"",TEXT(ENTREGA[[#This Row],[FECHA]],"dd/mm/yyyy"))</f>
        <v>PIÑA CHUJANDAMA, KEVIN22/09/2025</v>
      </c>
      <c r="K50" t="s">
        <v>291</v>
      </c>
      <c r="L50" s="66">
        <v>0.29166666666666669</v>
      </c>
    </row>
    <row r="51" spans="2:12" hidden="1" x14ac:dyDescent="0.25">
      <c r="B51" s="5">
        <v>45922</v>
      </c>
      <c r="C51" s="2" t="str">
        <f>_xlfn.XLOOKUP(ENTREGA[[#This Row],[DESCRIPCION PRODUCTO]],PRODUCTOS!$C$8:$C$1853,PRODUCTOS!$B$8:$B$1853,"")</f>
        <v>IS-14</v>
      </c>
      <c r="D51" t="s">
        <v>271</v>
      </c>
      <c r="E51" s="2">
        <v>1</v>
      </c>
      <c r="F51" s="2" t="s">
        <v>38</v>
      </c>
      <c r="G51" s="22" t="s">
        <v>241</v>
      </c>
      <c r="H51" s="22" t="s">
        <v>270</v>
      </c>
      <c r="I51" t="s">
        <v>227</v>
      </c>
      <c r="J51" t="str">
        <f>CONCATENATE(ENTREGA[[#This Row],[A QUIEN SE ENTRGA]],"",TEXT(ENTREGA[[#This Row],[FECHA]],"dd/mm/yyyy"))</f>
        <v>PIÑA CHUJANDAMA, KEVIN22/09/2025</v>
      </c>
      <c r="K51" t="s">
        <v>291</v>
      </c>
      <c r="L51" s="66">
        <v>0.29166666666666669</v>
      </c>
    </row>
    <row r="52" spans="2:12" hidden="1" x14ac:dyDescent="0.25">
      <c r="B52" s="5">
        <v>45922</v>
      </c>
      <c r="C52" s="2" t="str">
        <f>_xlfn.XLOOKUP(ENTREGA[[#This Row],[DESCRIPCION PRODUCTO]],PRODUCTOS!$C$8:$C$1853,PRODUCTOS!$B$8:$B$1853,"")</f>
        <v>IS-31</v>
      </c>
      <c r="D52" t="s">
        <v>82</v>
      </c>
      <c r="E52" s="2">
        <v>1</v>
      </c>
      <c r="F52" s="2" t="s">
        <v>38</v>
      </c>
      <c r="G52" s="22" t="s">
        <v>240</v>
      </c>
      <c r="H52" s="22" t="s">
        <v>270</v>
      </c>
      <c r="I52" t="s">
        <v>227</v>
      </c>
      <c r="J52" t="str">
        <f>CONCATENATE(ENTREGA[[#This Row],[A QUIEN SE ENTRGA]],"",TEXT(ENTREGA[[#This Row],[FECHA]],"dd/mm/yyyy"))</f>
        <v>LOZANO MALDONADO, HERNAN22/09/2025</v>
      </c>
      <c r="K52" t="s">
        <v>291</v>
      </c>
      <c r="L52" s="66">
        <v>0.29166666666666669</v>
      </c>
    </row>
    <row r="53" spans="2:12" hidden="1" x14ac:dyDescent="0.25">
      <c r="B53" s="5">
        <v>45922</v>
      </c>
      <c r="C53" s="2" t="str">
        <f>_xlfn.XLOOKUP(ENTREGA[[#This Row],[DESCRIPCION PRODUCTO]],PRODUCTOS!$C$8:$C$1853,PRODUCTOS!$B$8:$B$1853,"")</f>
        <v>IS-14</v>
      </c>
      <c r="D53" t="s">
        <v>271</v>
      </c>
      <c r="E53" s="2">
        <v>1</v>
      </c>
      <c r="F53" s="2" t="s">
        <v>38</v>
      </c>
      <c r="G53" s="22" t="s">
        <v>240</v>
      </c>
      <c r="H53" s="22" t="s">
        <v>270</v>
      </c>
      <c r="I53" t="s">
        <v>227</v>
      </c>
      <c r="J53" t="str">
        <f>CONCATENATE(ENTREGA[[#This Row],[A QUIEN SE ENTRGA]],"",TEXT(ENTREGA[[#This Row],[FECHA]],"dd/mm/yyyy"))</f>
        <v>LOZANO MALDONADO, HERNAN22/09/2025</v>
      </c>
      <c r="K53" t="s">
        <v>291</v>
      </c>
      <c r="L53" s="66">
        <v>0.29166666666666669</v>
      </c>
    </row>
    <row r="54" spans="2:12" hidden="1" x14ac:dyDescent="0.25">
      <c r="B54" s="5">
        <v>45922</v>
      </c>
      <c r="C54" s="2" t="str">
        <f>_xlfn.XLOOKUP(ENTREGA[[#This Row],[DESCRIPCION PRODUCTO]],PRODUCTOS!$C$8:$C$1853,PRODUCTOS!$B$8:$B$1853,"")</f>
        <v>IS-21</v>
      </c>
      <c r="D54" t="s">
        <v>70</v>
      </c>
      <c r="E54" s="2">
        <v>1</v>
      </c>
      <c r="F54" s="2" t="s">
        <v>38</v>
      </c>
      <c r="G54" s="22" t="s">
        <v>240</v>
      </c>
      <c r="H54" s="22" t="s">
        <v>270</v>
      </c>
      <c r="I54" t="s">
        <v>227</v>
      </c>
      <c r="J54" t="str">
        <f>CONCATENATE(ENTREGA[[#This Row],[A QUIEN SE ENTRGA]],"",TEXT(ENTREGA[[#This Row],[FECHA]],"dd/mm/yyyy"))</f>
        <v>LOZANO MALDONADO, HERNAN22/09/2025</v>
      </c>
      <c r="K54" t="s">
        <v>291</v>
      </c>
      <c r="L54" s="66">
        <v>0.29166666666666669</v>
      </c>
    </row>
    <row r="55" spans="2:12" hidden="1" x14ac:dyDescent="0.25">
      <c r="B55" s="5">
        <v>45922</v>
      </c>
      <c r="C55" s="2" t="str">
        <f>_xlfn.XLOOKUP(ENTREGA[[#This Row],[DESCRIPCION PRODUCTO]],PRODUCTOS!$C$8:$C$1853,PRODUCTOS!$B$8:$B$1853,"")</f>
        <v>IS-31</v>
      </c>
      <c r="D55" t="s">
        <v>82</v>
      </c>
      <c r="E55" s="2">
        <v>1</v>
      </c>
      <c r="F55" s="2" t="s">
        <v>38</v>
      </c>
      <c r="G55" s="22" t="s">
        <v>244</v>
      </c>
      <c r="H55" s="22" t="s">
        <v>270</v>
      </c>
      <c r="I55" t="s">
        <v>227</v>
      </c>
      <c r="J55" t="str">
        <f>CONCATENATE(ENTREGA[[#This Row],[A QUIEN SE ENTRGA]],"",TEXT(ENTREGA[[#This Row],[FECHA]],"dd/mm/yyyy"))</f>
        <v>CORDOVA ANGULO, JUAN22/09/2025</v>
      </c>
      <c r="K55" t="s">
        <v>291</v>
      </c>
      <c r="L55" s="66">
        <v>0.29166666666666669</v>
      </c>
    </row>
    <row r="56" spans="2:12" hidden="1" x14ac:dyDescent="0.25">
      <c r="B56" s="5">
        <v>45922</v>
      </c>
      <c r="C56" s="2" t="str">
        <f>_xlfn.XLOOKUP(ENTREGA[[#This Row],[DESCRIPCION PRODUCTO]],PRODUCTOS!$C$8:$C$1853,PRODUCTOS!$B$8:$B$1853,"")</f>
        <v>IS-14</v>
      </c>
      <c r="D56" t="s">
        <v>271</v>
      </c>
      <c r="E56" s="2">
        <v>1</v>
      </c>
      <c r="F56" s="2" t="s">
        <v>38</v>
      </c>
      <c r="G56" s="22" t="s">
        <v>244</v>
      </c>
      <c r="H56" s="22" t="s">
        <v>270</v>
      </c>
      <c r="I56" t="s">
        <v>227</v>
      </c>
      <c r="J56" t="str">
        <f>CONCATENATE(ENTREGA[[#This Row],[A QUIEN SE ENTRGA]],"",TEXT(ENTREGA[[#This Row],[FECHA]],"dd/mm/yyyy"))</f>
        <v>CORDOVA ANGULO, JUAN22/09/2025</v>
      </c>
      <c r="K56" t="s">
        <v>291</v>
      </c>
      <c r="L56" s="66">
        <v>0.29166666666666669</v>
      </c>
    </row>
    <row r="57" spans="2:12" hidden="1" x14ac:dyDescent="0.25">
      <c r="B57" s="5">
        <v>45922</v>
      </c>
      <c r="C57" s="2" t="str">
        <f>_xlfn.XLOOKUP(ENTREGA[[#This Row],[DESCRIPCION PRODUCTO]],PRODUCTOS!$C$8:$C$1853,PRODUCTOS!$B$8:$B$1853,"")</f>
        <v>IS-31</v>
      </c>
      <c r="D57" t="s">
        <v>82</v>
      </c>
      <c r="E57" s="2">
        <v>1</v>
      </c>
      <c r="F57" s="2" t="s">
        <v>38</v>
      </c>
      <c r="G57" s="22" t="s">
        <v>245</v>
      </c>
      <c r="H57" s="22" t="s">
        <v>270</v>
      </c>
      <c r="I57" t="s">
        <v>227</v>
      </c>
      <c r="J57" t="str">
        <f>CONCATENATE(ENTREGA[[#This Row],[A QUIEN SE ENTRGA]],"",TEXT(ENTREGA[[#This Row],[FECHA]],"dd/mm/yyyy"))</f>
        <v>ROJAS SANDOVAL, JAVIER ELOY22/09/2025</v>
      </c>
      <c r="K57" t="s">
        <v>291</v>
      </c>
      <c r="L57" s="66">
        <v>0.29166666666666669</v>
      </c>
    </row>
    <row r="58" spans="2:12" hidden="1" x14ac:dyDescent="0.25">
      <c r="B58" s="5">
        <v>45922</v>
      </c>
      <c r="C58" s="2" t="str">
        <f>_xlfn.XLOOKUP(ENTREGA[[#This Row],[DESCRIPCION PRODUCTO]],PRODUCTOS!$C$8:$C$1853,PRODUCTOS!$B$8:$B$1853,"")</f>
        <v>IS-14</v>
      </c>
      <c r="D58" t="s">
        <v>271</v>
      </c>
      <c r="E58" s="2">
        <v>1</v>
      </c>
      <c r="F58" s="2" t="s">
        <v>38</v>
      </c>
      <c r="G58" s="22" t="s">
        <v>245</v>
      </c>
      <c r="H58" s="22" t="s">
        <v>270</v>
      </c>
      <c r="I58" t="s">
        <v>227</v>
      </c>
      <c r="J58" t="str">
        <f>CONCATENATE(ENTREGA[[#This Row],[A QUIEN SE ENTRGA]],"",TEXT(ENTREGA[[#This Row],[FECHA]],"dd/mm/yyyy"))</f>
        <v>ROJAS SANDOVAL, JAVIER ELOY22/09/2025</v>
      </c>
      <c r="K58" t="s">
        <v>291</v>
      </c>
      <c r="L58" s="66">
        <v>0.29166666666666669</v>
      </c>
    </row>
    <row r="59" spans="2:12" hidden="1" x14ac:dyDescent="0.25">
      <c r="B59" s="5">
        <v>45922</v>
      </c>
      <c r="C59" s="2" t="str">
        <f>_xlfn.XLOOKUP(ENTREGA[[#This Row],[DESCRIPCION PRODUCTO]],PRODUCTOS!$C$8:$C$1853,PRODUCTOS!$B$8:$B$1853,"")</f>
        <v>IS-31</v>
      </c>
      <c r="D59" t="s">
        <v>82</v>
      </c>
      <c r="E59" s="2">
        <v>1</v>
      </c>
      <c r="F59" s="2" t="s">
        <v>38</v>
      </c>
      <c r="G59" s="22" t="s">
        <v>236</v>
      </c>
      <c r="H59" s="22" t="s">
        <v>270</v>
      </c>
      <c r="I59" t="s">
        <v>227</v>
      </c>
      <c r="J59" t="str">
        <f>CONCATENATE(ENTREGA[[#This Row],[A QUIEN SE ENTRGA]],"",TEXT(ENTREGA[[#This Row],[FECHA]],"dd/mm/yyyy"))</f>
        <v>NAVARRO LOZANO, ANGEL JAROL22/09/2025</v>
      </c>
      <c r="K59" t="s">
        <v>291</v>
      </c>
      <c r="L59" s="66">
        <v>0.29166666666666669</v>
      </c>
    </row>
    <row r="60" spans="2:12" hidden="1" x14ac:dyDescent="0.25">
      <c r="B60" s="5">
        <v>45922</v>
      </c>
      <c r="C60" s="2" t="str">
        <f>_xlfn.XLOOKUP(ENTREGA[[#This Row],[DESCRIPCION PRODUCTO]],PRODUCTOS!$C$8:$C$1853,PRODUCTOS!$B$8:$B$1853,"")</f>
        <v>IS-14</v>
      </c>
      <c r="D60" t="s">
        <v>271</v>
      </c>
      <c r="E60" s="2">
        <v>1</v>
      </c>
      <c r="F60" s="2" t="s">
        <v>38</v>
      </c>
      <c r="G60" s="22" t="s">
        <v>236</v>
      </c>
      <c r="H60" s="22" t="s">
        <v>270</v>
      </c>
      <c r="I60" t="s">
        <v>227</v>
      </c>
      <c r="J60" t="str">
        <f>CONCATENATE(ENTREGA[[#This Row],[A QUIEN SE ENTRGA]],"",TEXT(ENTREGA[[#This Row],[FECHA]],"dd/mm/yyyy"))</f>
        <v>NAVARRO LOZANO, ANGEL JAROL22/09/2025</v>
      </c>
      <c r="K60" t="s">
        <v>291</v>
      </c>
      <c r="L60" s="66">
        <v>0.29166666666666669</v>
      </c>
    </row>
    <row r="61" spans="2:12" hidden="1" x14ac:dyDescent="0.25">
      <c r="B61" s="5">
        <v>45922</v>
      </c>
      <c r="C61" s="2" t="str">
        <f>_xlfn.XLOOKUP(ENTREGA[[#This Row],[DESCRIPCION PRODUCTO]],PRODUCTOS!$C$8:$C$1853,PRODUCTOS!$B$8:$B$1853,"")</f>
        <v>IS-1</v>
      </c>
      <c r="D61" t="s">
        <v>50</v>
      </c>
      <c r="E61" s="2">
        <v>1</v>
      </c>
      <c r="F61" s="2" t="s">
        <v>38</v>
      </c>
      <c r="G61" s="22" t="s">
        <v>262</v>
      </c>
      <c r="H61" s="22" t="s">
        <v>270</v>
      </c>
      <c r="I61" t="s">
        <v>227</v>
      </c>
      <c r="J61" t="str">
        <f>CONCATENATE(ENTREGA[[#This Row],[A QUIEN SE ENTRGA]],"",TEXT(ENTREGA[[#This Row],[FECHA]],"dd/mm/yyyy"))</f>
        <v>CHACON ORTIZ, JOSE ANTONIO22/09/2025</v>
      </c>
      <c r="K61" t="s">
        <v>291</v>
      </c>
      <c r="L61" s="66">
        <v>0.29166666666666669</v>
      </c>
    </row>
    <row r="62" spans="2:12" hidden="1" x14ac:dyDescent="0.25">
      <c r="B62" s="5">
        <v>45922</v>
      </c>
      <c r="C62" s="2" t="str">
        <f>_xlfn.XLOOKUP(ENTREGA[[#This Row],[DESCRIPCION PRODUCTO]],PRODUCTOS!$C$8:$C$1853,PRODUCTOS!$B$8:$B$1853,"")</f>
        <v>IS-36</v>
      </c>
      <c r="D62" t="s">
        <v>300</v>
      </c>
      <c r="E62" s="2">
        <v>1</v>
      </c>
      <c r="F62" s="2" t="s">
        <v>38</v>
      </c>
      <c r="G62" s="22" t="s">
        <v>262</v>
      </c>
      <c r="H62" s="22" t="s">
        <v>270</v>
      </c>
      <c r="I62" t="s">
        <v>227</v>
      </c>
      <c r="J62" t="str">
        <f>CONCATENATE(ENTREGA[[#This Row],[A QUIEN SE ENTRGA]],"",TEXT(ENTREGA[[#This Row],[FECHA]],"dd/mm/yyyy"))</f>
        <v>CHACON ORTIZ, JOSE ANTONIO22/09/2025</v>
      </c>
      <c r="K62" t="s">
        <v>291</v>
      </c>
      <c r="L62" s="66">
        <v>0.29166666666666669</v>
      </c>
    </row>
    <row r="63" spans="2:12" hidden="1" x14ac:dyDescent="0.25">
      <c r="B63" s="5">
        <v>45922</v>
      </c>
      <c r="C63" s="2" t="str">
        <f>_xlfn.XLOOKUP(ENTREGA[[#This Row],[DESCRIPCION PRODUCTO]],PRODUCTOS!$C$8:$C$1853,PRODUCTOS!$B$8:$B$1853,"")</f>
        <v>IS-16</v>
      </c>
      <c r="D63" t="s">
        <v>65</v>
      </c>
      <c r="E63" s="2">
        <v>1</v>
      </c>
      <c r="F63" s="2" t="s">
        <v>38</v>
      </c>
      <c r="G63" s="22" t="s">
        <v>262</v>
      </c>
      <c r="H63" s="22" t="s">
        <v>270</v>
      </c>
      <c r="I63" t="s">
        <v>227</v>
      </c>
      <c r="J63" t="str">
        <f>CONCATENATE(ENTREGA[[#This Row],[A QUIEN SE ENTRGA]],"",TEXT(ENTREGA[[#This Row],[FECHA]],"dd/mm/yyyy"))</f>
        <v>CHACON ORTIZ, JOSE ANTONIO22/09/2025</v>
      </c>
      <c r="K63" t="s">
        <v>291</v>
      </c>
      <c r="L63" s="66">
        <v>0.29166666666666669</v>
      </c>
    </row>
    <row r="64" spans="2:12" hidden="1" x14ac:dyDescent="0.25">
      <c r="B64" s="5">
        <v>45922</v>
      </c>
      <c r="C64" s="2" t="str">
        <f>_xlfn.XLOOKUP(ENTREGA[[#This Row],[DESCRIPCION PRODUCTO]],PRODUCTOS!$C$8:$C$1853,PRODUCTOS!$B$8:$B$1853,"")</f>
        <v>IS-20</v>
      </c>
      <c r="D64" t="s">
        <v>69</v>
      </c>
      <c r="E64" s="2">
        <v>1</v>
      </c>
      <c r="F64" s="2" t="s">
        <v>38</v>
      </c>
      <c r="G64" s="22" t="s">
        <v>262</v>
      </c>
      <c r="H64" s="22" t="s">
        <v>270</v>
      </c>
      <c r="I64" t="s">
        <v>227</v>
      </c>
      <c r="J64" t="str">
        <f>CONCATENATE(ENTREGA[[#This Row],[A QUIEN SE ENTRGA]],"",TEXT(ENTREGA[[#This Row],[FECHA]],"dd/mm/yyyy"))</f>
        <v>CHACON ORTIZ, JOSE ANTONIO22/09/2025</v>
      </c>
      <c r="K64" t="s">
        <v>291</v>
      </c>
      <c r="L64" s="66">
        <v>0.29166666666666669</v>
      </c>
    </row>
    <row r="65" spans="2:12" hidden="1" x14ac:dyDescent="0.25">
      <c r="B65" s="5">
        <v>45922</v>
      </c>
      <c r="C65" s="2" t="str">
        <f>_xlfn.XLOOKUP(ENTREGA[[#This Row],[DESCRIPCION PRODUCTO]],PRODUCTOS!$C$8:$C$1853,PRODUCTOS!$B$8:$B$1853,"")</f>
        <v>IS-14</v>
      </c>
      <c r="D65" t="s">
        <v>271</v>
      </c>
      <c r="E65" s="2">
        <v>1</v>
      </c>
      <c r="F65" s="2" t="s">
        <v>38</v>
      </c>
      <c r="G65" s="22" t="s">
        <v>262</v>
      </c>
      <c r="H65" s="22" t="s">
        <v>270</v>
      </c>
      <c r="I65" t="s">
        <v>227</v>
      </c>
      <c r="J65" t="str">
        <f>CONCATENATE(ENTREGA[[#This Row],[A QUIEN SE ENTRGA]],"",TEXT(ENTREGA[[#This Row],[FECHA]],"dd/mm/yyyy"))</f>
        <v>CHACON ORTIZ, JOSE ANTONIO22/09/2025</v>
      </c>
      <c r="K65" t="s">
        <v>291</v>
      </c>
      <c r="L65">
        <v>0</v>
      </c>
    </row>
    <row r="66" spans="2:12" hidden="1" x14ac:dyDescent="0.25">
      <c r="B66" s="5">
        <v>45922</v>
      </c>
      <c r="C66" s="2" t="str">
        <f>_xlfn.XLOOKUP(ENTREGA[[#This Row],[DESCRIPCION PRODUCTO]],PRODUCTOS!$C$8:$C$1853,PRODUCTOS!$B$8:$B$1853,"")</f>
        <v>IS-33</v>
      </c>
      <c r="D66" t="s">
        <v>84</v>
      </c>
      <c r="E66" s="2">
        <v>1</v>
      </c>
      <c r="F66" s="2" t="s">
        <v>38</v>
      </c>
      <c r="G66" s="22" t="s">
        <v>262</v>
      </c>
      <c r="H66" s="22" t="s">
        <v>270</v>
      </c>
      <c r="I66" t="s">
        <v>227</v>
      </c>
      <c r="J66" t="str">
        <f>CONCATENATE(ENTREGA[[#This Row],[A QUIEN SE ENTRGA]],"",TEXT(ENTREGA[[#This Row],[FECHA]],"dd/mm/yyyy"))</f>
        <v>CHACON ORTIZ, JOSE ANTONIO22/09/2025</v>
      </c>
      <c r="K66" t="s">
        <v>291</v>
      </c>
    </row>
    <row r="67" spans="2:12" hidden="1" x14ac:dyDescent="0.25">
      <c r="B67" s="5">
        <v>45922</v>
      </c>
      <c r="C67" s="2" t="str">
        <f>_xlfn.XLOOKUP(ENTREGA[[#This Row],[DESCRIPCION PRODUCTO]],PRODUCTOS!$C$8:$C$1853,PRODUCTOS!$B$8:$B$1853,"")</f>
        <v>IS-30</v>
      </c>
      <c r="D67" t="s">
        <v>81</v>
      </c>
      <c r="E67" s="2">
        <v>1</v>
      </c>
      <c r="F67" s="2" t="s">
        <v>38</v>
      </c>
      <c r="G67" s="22" t="s">
        <v>262</v>
      </c>
      <c r="H67" s="22" t="s">
        <v>270</v>
      </c>
      <c r="I67" t="s">
        <v>227</v>
      </c>
      <c r="J67" t="str">
        <f>CONCATENATE(ENTREGA[[#This Row],[A QUIEN SE ENTRGA]],"",TEXT(ENTREGA[[#This Row],[FECHA]],"dd/mm/yyyy"))</f>
        <v>CHACON ORTIZ, JOSE ANTONIO22/09/2025</v>
      </c>
      <c r="K67" t="s">
        <v>291</v>
      </c>
    </row>
    <row r="68" spans="2:12" hidden="1" x14ac:dyDescent="0.25">
      <c r="B68" s="5">
        <v>45922</v>
      </c>
      <c r="C68" s="2" t="str">
        <f>_xlfn.XLOOKUP(ENTREGA[[#This Row],[DESCRIPCION PRODUCTO]],PRODUCTOS!$C$8:$C$1853,PRODUCTOS!$B$8:$B$1853,"")</f>
        <v>IS-28</v>
      </c>
      <c r="D68" t="s">
        <v>79</v>
      </c>
      <c r="E68" s="2">
        <v>1</v>
      </c>
      <c r="F68" s="2" t="s">
        <v>38</v>
      </c>
      <c r="G68" s="22" t="s">
        <v>262</v>
      </c>
      <c r="H68" s="22" t="s">
        <v>270</v>
      </c>
      <c r="I68" t="s">
        <v>227</v>
      </c>
      <c r="J68" t="str">
        <f>CONCATENATE(ENTREGA[[#This Row],[A QUIEN SE ENTRGA]],"",TEXT(ENTREGA[[#This Row],[FECHA]],"dd/mm/yyyy"))</f>
        <v>CHACON ORTIZ, JOSE ANTONIO22/09/2025</v>
      </c>
      <c r="K68" t="s">
        <v>291</v>
      </c>
    </row>
    <row r="69" spans="2:12" hidden="1" x14ac:dyDescent="0.25">
      <c r="B69" s="5">
        <v>45922</v>
      </c>
      <c r="C69" s="2" t="str">
        <f>_xlfn.XLOOKUP(ENTREGA[[#This Row],[DESCRIPCION PRODUCTO]],PRODUCTOS!$C$8:$C$1853,PRODUCTOS!$B$8:$B$1853,"")</f>
        <v>IS-2</v>
      </c>
      <c r="D69" t="s">
        <v>52</v>
      </c>
      <c r="E69" s="2">
        <v>1</v>
      </c>
      <c r="F69" s="2" t="s">
        <v>38</v>
      </c>
      <c r="G69" s="22" t="s">
        <v>265</v>
      </c>
      <c r="H69" s="22" t="s">
        <v>270</v>
      </c>
      <c r="I69" t="s">
        <v>227</v>
      </c>
      <c r="J69" t="str">
        <f>CONCATENATE(ENTREGA[[#This Row],[A QUIEN SE ENTRGA]],"",TEXT(ENTREGA[[#This Row],[FECHA]],"dd/mm/yyyy"))</f>
        <v>ORDOÑEZ CONDORI, GILBERTO 22/09/2025</v>
      </c>
      <c r="K69" t="s">
        <v>291</v>
      </c>
    </row>
    <row r="70" spans="2:12" hidden="1" x14ac:dyDescent="0.25">
      <c r="B70" s="5">
        <v>45922</v>
      </c>
      <c r="C70" s="2" t="str">
        <f>_xlfn.XLOOKUP(ENTREGA[[#This Row],[DESCRIPCION PRODUCTO]],PRODUCTOS!$C$8:$C$1853,PRODUCTOS!$B$8:$B$1853,"")</f>
        <v>IS-36</v>
      </c>
      <c r="D70" t="s">
        <v>300</v>
      </c>
      <c r="E70" s="2">
        <v>1</v>
      </c>
      <c r="F70" s="2" t="s">
        <v>38</v>
      </c>
      <c r="G70" s="22" t="s">
        <v>265</v>
      </c>
      <c r="H70" s="22" t="s">
        <v>270</v>
      </c>
      <c r="I70" t="s">
        <v>227</v>
      </c>
      <c r="J70" t="str">
        <f>CONCATENATE(ENTREGA[[#This Row],[A QUIEN SE ENTRGA]],"",TEXT(ENTREGA[[#This Row],[FECHA]],"dd/mm/yyyy"))</f>
        <v>ORDOÑEZ CONDORI, GILBERTO 22/09/2025</v>
      </c>
      <c r="K70" t="s">
        <v>291</v>
      </c>
    </row>
    <row r="71" spans="2:12" hidden="1" x14ac:dyDescent="0.25">
      <c r="B71" s="5">
        <v>45922</v>
      </c>
      <c r="C71" s="2" t="str">
        <f>_xlfn.XLOOKUP(ENTREGA[[#This Row],[DESCRIPCION PRODUCTO]],PRODUCTOS!$C$8:$C$1853,PRODUCTOS!$B$8:$B$1853,"")</f>
        <v>IS-31</v>
      </c>
      <c r="D71" t="s">
        <v>82</v>
      </c>
      <c r="E71" s="2">
        <v>1</v>
      </c>
      <c r="F71" s="2" t="s">
        <v>38</v>
      </c>
      <c r="G71" s="22" t="s">
        <v>265</v>
      </c>
      <c r="H71" s="22" t="s">
        <v>270</v>
      </c>
      <c r="I71" t="s">
        <v>227</v>
      </c>
      <c r="J71" t="str">
        <f>CONCATENATE(ENTREGA[[#This Row],[A QUIEN SE ENTRGA]],"",TEXT(ENTREGA[[#This Row],[FECHA]],"dd/mm/yyyy"))</f>
        <v>ORDOÑEZ CONDORI, GILBERTO 22/09/2025</v>
      </c>
      <c r="K71" t="s">
        <v>291</v>
      </c>
    </row>
    <row r="72" spans="2:12" hidden="1" x14ac:dyDescent="0.25">
      <c r="B72" s="5">
        <v>45922</v>
      </c>
      <c r="C72" s="2" t="str">
        <f>_xlfn.XLOOKUP(ENTREGA[[#This Row],[DESCRIPCION PRODUCTO]],PRODUCTOS!$C$8:$C$1853,PRODUCTOS!$B$8:$B$1853,"")</f>
        <v>IS-30</v>
      </c>
      <c r="D72" t="s">
        <v>81</v>
      </c>
      <c r="E72" s="2">
        <v>1</v>
      </c>
      <c r="F72" s="2" t="s">
        <v>38</v>
      </c>
      <c r="G72" s="22" t="s">
        <v>265</v>
      </c>
      <c r="H72" s="22" t="s">
        <v>270</v>
      </c>
      <c r="I72" t="s">
        <v>227</v>
      </c>
      <c r="J72" t="str">
        <f>CONCATENATE(ENTREGA[[#This Row],[A QUIEN SE ENTRGA]],"",TEXT(ENTREGA[[#This Row],[FECHA]],"dd/mm/yyyy"))</f>
        <v>ORDOÑEZ CONDORI, GILBERTO 22/09/2025</v>
      </c>
      <c r="K72" t="s">
        <v>291</v>
      </c>
    </row>
    <row r="73" spans="2:12" hidden="1" x14ac:dyDescent="0.25">
      <c r="B73" s="5">
        <v>45922</v>
      </c>
      <c r="C73" s="2" t="str">
        <f>_xlfn.XLOOKUP(ENTREGA[[#This Row],[DESCRIPCION PRODUCTO]],PRODUCTOS!$C$8:$C$1853,PRODUCTOS!$B$8:$B$1853,"")</f>
        <v>IS-14</v>
      </c>
      <c r="D73" t="s">
        <v>271</v>
      </c>
      <c r="E73" s="2">
        <v>1</v>
      </c>
      <c r="F73" s="2" t="s">
        <v>38</v>
      </c>
      <c r="G73" s="22" t="s">
        <v>265</v>
      </c>
      <c r="H73" s="22" t="s">
        <v>270</v>
      </c>
      <c r="I73" t="s">
        <v>227</v>
      </c>
      <c r="J73" t="str">
        <f>CONCATENATE(ENTREGA[[#This Row],[A QUIEN SE ENTRGA]],"",TEXT(ENTREGA[[#This Row],[FECHA]],"dd/mm/yyyy"))</f>
        <v>ORDOÑEZ CONDORI, GILBERTO 22/09/2025</v>
      </c>
      <c r="K73" t="s">
        <v>291</v>
      </c>
    </row>
    <row r="74" spans="2:12" hidden="1" x14ac:dyDescent="0.25">
      <c r="B74" s="5">
        <v>45922</v>
      </c>
      <c r="C74" s="2" t="str">
        <f>_xlfn.XLOOKUP(ENTREGA[[#This Row],[DESCRIPCION PRODUCTO]],PRODUCTOS!$C$8:$C$1853,PRODUCTOS!$B$8:$B$1853,"")</f>
        <v>IS-28</v>
      </c>
      <c r="D74" t="s">
        <v>79</v>
      </c>
      <c r="E74" s="2">
        <v>1</v>
      </c>
      <c r="F74" s="2" t="s">
        <v>38</v>
      </c>
      <c r="G74" s="22" t="s">
        <v>265</v>
      </c>
      <c r="H74" s="22" t="s">
        <v>270</v>
      </c>
      <c r="I74" t="s">
        <v>227</v>
      </c>
      <c r="J74" t="str">
        <f>CONCATENATE(ENTREGA[[#This Row],[A QUIEN SE ENTRGA]],"",TEXT(ENTREGA[[#This Row],[FECHA]],"dd/mm/yyyy"))</f>
        <v>ORDOÑEZ CONDORI, GILBERTO 22/09/2025</v>
      </c>
      <c r="K74" t="s">
        <v>291</v>
      </c>
    </row>
    <row r="75" spans="2:12" hidden="1" x14ac:dyDescent="0.25">
      <c r="B75" s="5">
        <v>45922</v>
      </c>
      <c r="C75" s="2" t="str">
        <f>_xlfn.XLOOKUP(ENTREGA[[#This Row],[DESCRIPCION PRODUCTO]],PRODUCTOS!$C$8:$C$1853,PRODUCTOS!$B$8:$B$1853,"")</f>
        <v>IS-21</v>
      </c>
      <c r="D75" t="s">
        <v>70</v>
      </c>
      <c r="E75" s="2">
        <v>1</v>
      </c>
      <c r="F75" s="2" t="s">
        <v>38</v>
      </c>
      <c r="G75" s="22" t="s">
        <v>265</v>
      </c>
      <c r="H75" s="22" t="s">
        <v>270</v>
      </c>
      <c r="I75" t="s">
        <v>227</v>
      </c>
      <c r="J75" t="str">
        <f>CONCATENATE(ENTREGA[[#This Row],[A QUIEN SE ENTRGA]],"",TEXT(ENTREGA[[#This Row],[FECHA]],"dd/mm/yyyy"))</f>
        <v>ORDOÑEZ CONDORI, GILBERTO 22/09/2025</v>
      </c>
      <c r="K75" t="s">
        <v>291</v>
      </c>
    </row>
    <row r="76" spans="2:12" hidden="1" x14ac:dyDescent="0.25">
      <c r="B76" s="5">
        <v>45922</v>
      </c>
      <c r="C76" s="2" t="str">
        <f>_xlfn.XLOOKUP(ENTREGA[[#This Row],[DESCRIPCION PRODUCTO]],PRODUCTOS!$C$8:$C$1853,PRODUCTOS!$B$8:$B$1853,"")</f>
        <v>IS-1</v>
      </c>
      <c r="D76" t="s">
        <v>50</v>
      </c>
      <c r="E76" s="2">
        <v>1</v>
      </c>
      <c r="F76" s="2" t="s">
        <v>38</v>
      </c>
      <c r="G76" s="22" t="s">
        <v>302</v>
      </c>
      <c r="H76" s="22" t="s">
        <v>270</v>
      </c>
      <c r="I76" t="s">
        <v>227</v>
      </c>
      <c r="J76" t="str">
        <f>CONCATENATE(ENTREGA[[#This Row],[A QUIEN SE ENTRGA]],"",TEXT(ENTREGA[[#This Row],[FECHA]],"dd/mm/yyyy"))</f>
        <v>QUISPE LIMACHE, ROGELIO 22/09/2025</v>
      </c>
      <c r="K76" t="s">
        <v>291</v>
      </c>
    </row>
    <row r="77" spans="2:12" hidden="1" x14ac:dyDescent="0.25">
      <c r="B77" s="5">
        <v>45922</v>
      </c>
      <c r="C77" s="2" t="str">
        <f>_xlfn.XLOOKUP(ENTREGA[[#This Row],[DESCRIPCION PRODUCTO]],PRODUCTOS!$C$8:$C$1853,PRODUCTOS!$B$8:$B$1853,"")</f>
        <v>IS-36</v>
      </c>
      <c r="D77" t="s">
        <v>300</v>
      </c>
      <c r="E77" s="2">
        <v>2</v>
      </c>
      <c r="F77" s="2" t="s">
        <v>38</v>
      </c>
      <c r="G77" s="22" t="s">
        <v>302</v>
      </c>
      <c r="H77" s="22" t="s">
        <v>270</v>
      </c>
      <c r="I77" t="s">
        <v>227</v>
      </c>
      <c r="J77" t="str">
        <f>CONCATENATE(ENTREGA[[#This Row],[A QUIEN SE ENTRGA]],"",TEXT(ENTREGA[[#This Row],[FECHA]],"dd/mm/yyyy"))</f>
        <v>QUISPE LIMACHE, ROGELIO 22/09/2025</v>
      </c>
      <c r="K77" t="s">
        <v>291</v>
      </c>
    </row>
    <row r="78" spans="2:12" hidden="1" x14ac:dyDescent="0.25">
      <c r="B78" s="5">
        <v>45922</v>
      </c>
      <c r="C78" s="2" t="str">
        <f>_xlfn.XLOOKUP(ENTREGA[[#This Row],[DESCRIPCION PRODUCTO]],PRODUCTOS!$C$8:$C$1853,PRODUCTOS!$B$8:$B$1853,"")</f>
        <v>IS-33</v>
      </c>
      <c r="D78" t="s">
        <v>84</v>
      </c>
      <c r="E78" s="2">
        <v>1</v>
      </c>
      <c r="F78" s="2" t="s">
        <v>38</v>
      </c>
      <c r="G78" s="22" t="s">
        <v>302</v>
      </c>
      <c r="H78" s="22" t="s">
        <v>270</v>
      </c>
      <c r="I78" t="s">
        <v>227</v>
      </c>
      <c r="J78" t="str">
        <f>CONCATENATE(ENTREGA[[#This Row],[A QUIEN SE ENTRGA]],"",TEXT(ENTREGA[[#This Row],[FECHA]],"dd/mm/yyyy"))</f>
        <v>QUISPE LIMACHE, ROGELIO 22/09/2025</v>
      </c>
      <c r="K78" t="s">
        <v>291</v>
      </c>
    </row>
    <row r="79" spans="2:12" hidden="1" x14ac:dyDescent="0.25">
      <c r="B79" s="5">
        <v>45922</v>
      </c>
      <c r="C79" s="2" t="str">
        <f>_xlfn.XLOOKUP(ENTREGA[[#This Row],[DESCRIPCION PRODUCTO]],PRODUCTOS!$C$8:$C$1853,PRODUCTOS!$B$8:$B$1853,"")</f>
        <v>IS-17</v>
      </c>
      <c r="D79" t="s">
        <v>66</v>
      </c>
      <c r="E79" s="2">
        <v>1</v>
      </c>
      <c r="F79" s="2" t="s">
        <v>38</v>
      </c>
      <c r="G79" s="22" t="s">
        <v>302</v>
      </c>
      <c r="H79" s="22" t="s">
        <v>270</v>
      </c>
      <c r="I79" t="s">
        <v>227</v>
      </c>
      <c r="J79" t="str">
        <f>CONCATENATE(ENTREGA[[#This Row],[A QUIEN SE ENTRGA]],"",TEXT(ENTREGA[[#This Row],[FECHA]],"dd/mm/yyyy"))</f>
        <v>QUISPE LIMACHE, ROGELIO 22/09/2025</v>
      </c>
      <c r="K79" t="s">
        <v>291</v>
      </c>
    </row>
    <row r="80" spans="2:12" hidden="1" x14ac:dyDescent="0.25">
      <c r="B80" s="5">
        <v>45922</v>
      </c>
      <c r="C80" s="2" t="str">
        <f>_xlfn.XLOOKUP(ENTREGA[[#This Row],[DESCRIPCION PRODUCTO]],PRODUCTOS!$C$8:$C$1853,PRODUCTOS!$B$8:$B$1853,"")</f>
        <v>IS-28</v>
      </c>
      <c r="D80" t="s">
        <v>79</v>
      </c>
      <c r="E80" s="2">
        <v>1</v>
      </c>
      <c r="F80" s="2" t="s">
        <v>38</v>
      </c>
      <c r="G80" s="22" t="s">
        <v>302</v>
      </c>
      <c r="H80" s="22" t="s">
        <v>270</v>
      </c>
      <c r="I80" t="s">
        <v>227</v>
      </c>
      <c r="J80" t="str">
        <f>CONCATENATE(ENTREGA[[#This Row],[A QUIEN SE ENTRGA]],"",TEXT(ENTREGA[[#This Row],[FECHA]],"dd/mm/yyyy"))</f>
        <v>QUISPE LIMACHE, ROGELIO 22/09/2025</v>
      </c>
      <c r="K80" t="s">
        <v>291</v>
      </c>
    </row>
    <row r="81" spans="2:11" hidden="1" x14ac:dyDescent="0.25">
      <c r="B81" s="5">
        <v>45922</v>
      </c>
      <c r="C81" s="2" t="str">
        <f>_xlfn.XLOOKUP(ENTREGA[[#This Row],[DESCRIPCION PRODUCTO]],PRODUCTOS!$C$8:$C$1853,PRODUCTOS!$B$8:$B$1853,"")</f>
        <v>IS-30</v>
      </c>
      <c r="D81" t="s">
        <v>81</v>
      </c>
      <c r="E81" s="2">
        <v>1</v>
      </c>
      <c r="F81" s="2" t="s">
        <v>38</v>
      </c>
      <c r="G81" s="22" t="s">
        <v>302</v>
      </c>
      <c r="H81" s="22" t="s">
        <v>270</v>
      </c>
      <c r="I81" t="s">
        <v>227</v>
      </c>
      <c r="J81" t="str">
        <f>CONCATENATE(ENTREGA[[#This Row],[A QUIEN SE ENTRGA]],"",TEXT(ENTREGA[[#This Row],[FECHA]],"dd/mm/yyyy"))</f>
        <v>QUISPE LIMACHE, ROGELIO 22/09/2025</v>
      </c>
      <c r="K81" t="s">
        <v>291</v>
      </c>
    </row>
    <row r="82" spans="2:11" hidden="1" x14ac:dyDescent="0.25">
      <c r="B82" s="5">
        <v>45922</v>
      </c>
      <c r="C82" s="2" t="str">
        <f>_xlfn.XLOOKUP(ENTREGA[[#This Row],[DESCRIPCION PRODUCTO]],PRODUCTOS!$C$8:$C$1853,PRODUCTOS!$B$8:$B$1853,"")</f>
        <v>IS-20</v>
      </c>
      <c r="D82" t="s">
        <v>69</v>
      </c>
      <c r="E82" s="2">
        <v>1</v>
      </c>
      <c r="F82" s="2" t="s">
        <v>38</v>
      </c>
      <c r="G82" s="22" t="s">
        <v>302</v>
      </c>
      <c r="H82" s="22" t="s">
        <v>270</v>
      </c>
      <c r="I82" t="s">
        <v>227</v>
      </c>
      <c r="J82" t="str">
        <f>CONCATENATE(ENTREGA[[#This Row],[A QUIEN SE ENTRGA]],"",TEXT(ENTREGA[[#This Row],[FECHA]],"dd/mm/yyyy"))</f>
        <v>QUISPE LIMACHE, ROGELIO 22/09/2025</v>
      </c>
      <c r="K82" t="s">
        <v>291</v>
      </c>
    </row>
    <row r="83" spans="2:11" hidden="1" x14ac:dyDescent="0.25">
      <c r="B83" s="5">
        <v>45922</v>
      </c>
      <c r="C83" s="2" t="str">
        <f>_xlfn.XLOOKUP(ENTREGA[[#This Row],[DESCRIPCION PRODUCTO]],PRODUCTOS!$C$8:$C$1853,PRODUCTOS!$B$8:$B$1853,"")</f>
        <v>IS-14</v>
      </c>
      <c r="D83" t="s">
        <v>271</v>
      </c>
      <c r="E83" s="2">
        <v>1</v>
      </c>
      <c r="F83" s="2" t="s">
        <v>38</v>
      </c>
      <c r="G83" s="22" t="s">
        <v>302</v>
      </c>
      <c r="H83" s="22" t="s">
        <v>270</v>
      </c>
      <c r="I83" t="s">
        <v>227</v>
      </c>
      <c r="J83" t="str">
        <f>CONCATENATE(ENTREGA[[#This Row],[A QUIEN SE ENTRGA]],"",TEXT(ENTREGA[[#This Row],[FECHA]],"dd/mm/yyyy"))</f>
        <v>QUISPE LIMACHE, ROGELIO 22/09/2025</v>
      </c>
      <c r="K83" t="s">
        <v>291</v>
      </c>
    </row>
    <row r="84" spans="2:11" hidden="1" x14ac:dyDescent="0.25">
      <c r="B84" s="5">
        <v>45922</v>
      </c>
      <c r="C84" s="2" t="str">
        <f>_xlfn.XLOOKUP(ENTREGA[[#This Row],[DESCRIPCION PRODUCTO]],PRODUCTOS!$C$8:$C$1853,PRODUCTOS!$B$8:$B$1853,"")</f>
        <v>IS-2</v>
      </c>
      <c r="D84" t="s">
        <v>52</v>
      </c>
      <c r="E84" s="2">
        <v>1</v>
      </c>
      <c r="F84" s="2" t="s">
        <v>38</v>
      </c>
      <c r="G84" s="22" t="s">
        <v>301</v>
      </c>
      <c r="H84" s="22" t="s">
        <v>270</v>
      </c>
      <c r="I84" t="s">
        <v>227</v>
      </c>
      <c r="J84" t="str">
        <f>CONCATENATE(ENTREGA[[#This Row],[A QUIEN SE ENTRGA]],"",TEXT(ENTREGA[[#This Row],[FECHA]],"dd/mm/yyyy"))</f>
        <v>GUTARATE SABINO, ADRIEL ANTONY22/09/2025</v>
      </c>
      <c r="K84" t="s">
        <v>291</v>
      </c>
    </row>
    <row r="85" spans="2:11" hidden="1" x14ac:dyDescent="0.25">
      <c r="B85" s="5">
        <v>45922</v>
      </c>
      <c r="C85" s="2" t="str">
        <f>_xlfn.XLOOKUP(ENTREGA[[#This Row],[DESCRIPCION PRODUCTO]],PRODUCTOS!$C$8:$C$1853,PRODUCTOS!$B$8:$B$1853,"")</f>
        <v>IS-36</v>
      </c>
      <c r="D85" t="s">
        <v>300</v>
      </c>
      <c r="E85" s="2">
        <v>2</v>
      </c>
      <c r="F85" s="2" t="s">
        <v>38</v>
      </c>
      <c r="G85" s="22" t="s">
        <v>301</v>
      </c>
      <c r="H85" s="22" t="s">
        <v>270</v>
      </c>
      <c r="I85" t="s">
        <v>227</v>
      </c>
      <c r="J85" t="str">
        <f>CONCATENATE(ENTREGA[[#This Row],[A QUIEN SE ENTRGA]],"",TEXT(ENTREGA[[#This Row],[FECHA]],"dd/mm/yyyy"))</f>
        <v>GUTARATE SABINO, ADRIEL ANTONY22/09/2025</v>
      </c>
      <c r="K85" t="s">
        <v>291</v>
      </c>
    </row>
    <row r="86" spans="2:11" hidden="1" x14ac:dyDescent="0.25">
      <c r="B86" s="5">
        <v>45922</v>
      </c>
      <c r="C86" s="2" t="str">
        <f>_xlfn.XLOOKUP(ENTREGA[[#This Row],[DESCRIPCION PRODUCTO]],PRODUCTOS!$C$8:$C$1853,PRODUCTOS!$B$8:$B$1853,"")</f>
        <v>IS-15</v>
      </c>
      <c r="D86" t="s">
        <v>64</v>
      </c>
      <c r="E86" s="2">
        <v>1</v>
      </c>
      <c r="F86" s="2" t="s">
        <v>38</v>
      </c>
      <c r="G86" s="22" t="s">
        <v>301</v>
      </c>
      <c r="H86" s="22" t="s">
        <v>270</v>
      </c>
      <c r="I86" t="s">
        <v>227</v>
      </c>
      <c r="J86" t="str">
        <f>CONCATENATE(ENTREGA[[#This Row],[A QUIEN SE ENTRGA]],"",TEXT(ENTREGA[[#This Row],[FECHA]],"dd/mm/yyyy"))</f>
        <v>GUTARATE SABINO, ADRIEL ANTONY22/09/2025</v>
      </c>
      <c r="K86" t="s">
        <v>291</v>
      </c>
    </row>
    <row r="87" spans="2:11" hidden="1" x14ac:dyDescent="0.25">
      <c r="B87" s="5">
        <v>45922</v>
      </c>
      <c r="C87" s="2" t="str">
        <f>_xlfn.XLOOKUP(ENTREGA[[#This Row],[DESCRIPCION PRODUCTO]],PRODUCTOS!$C$8:$C$1853,PRODUCTOS!$B$8:$B$1853,"")</f>
        <v>IS-30</v>
      </c>
      <c r="D87" t="s">
        <v>81</v>
      </c>
      <c r="E87" s="2">
        <v>1</v>
      </c>
      <c r="F87" s="2" t="s">
        <v>38</v>
      </c>
      <c r="G87" s="22" t="s">
        <v>301</v>
      </c>
      <c r="H87" s="22" t="s">
        <v>270</v>
      </c>
      <c r="I87" t="s">
        <v>227</v>
      </c>
      <c r="J87" t="str">
        <f>CONCATENATE(ENTREGA[[#This Row],[A QUIEN SE ENTRGA]],"",TEXT(ENTREGA[[#This Row],[FECHA]],"dd/mm/yyyy"))</f>
        <v>GUTARATE SABINO, ADRIEL ANTONY22/09/2025</v>
      </c>
      <c r="K87" t="s">
        <v>291</v>
      </c>
    </row>
    <row r="88" spans="2:11" hidden="1" x14ac:dyDescent="0.25">
      <c r="B88" s="5">
        <v>45922</v>
      </c>
      <c r="C88" s="2" t="str">
        <f>_xlfn.XLOOKUP(ENTREGA[[#This Row],[DESCRIPCION PRODUCTO]],PRODUCTOS!$C$8:$C$1853,PRODUCTOS!$B$8:$B$1853,"")</f>
        <v>IS-28</v>
      </c>
      <c r="D88" t="s">
        <v>79</v>
      </c>
      <c r="E88" s="2">
        <v>1</v>
      </c>
      <c r="F88" s="2" t="s">
        <v>38</v>
      </c>
      <c r="G88" s="22" t="s">
        <v>301</v>
      </c>
      <c r="H88" s="22" t="s">
        <v>270</v>
      </c>
      <c r="I88" t="s">
        <v>227</v>
      </c>
      <c r="J88" t="str">
        <f>CONCATENATE(ENTREGA[[#This Row],[A QUIEN SE ENTRGA]],"",TEXT(ENTREGA[[#This Row],[FECHA]],"dd/mm/yyyy"))</f>
        <v>GUTARATE SABINO, ADRIEL ANTONY22/09/2025</v>
      </c>
      <c r="K88" t="s">
        <v>291</v>
      </c>
    </row>
    <row r="89" spans="2:11" hidden="1" x14ac:dyDescent="0.25">
      <c r="B89" s="5">
        <v>45922</v>
      </c>
      <c r="C89" s="2" t="str">
        <f>_xlfn.XLOOKUP(ENTREGA[[#This Row],[DESCRIPCION PRODUCTO]],PRODUCTOS!$C$8:$C$1853,PRODUCTOS!$B$8:$B$1853,"")</f>
        <v>IS-20</v>
      </c>
      <c r="D89" t="s">
        <v>69</v>
      </c>
      <c r="E89" s="2">
        <v>1</v>
      </c>
      <c r="F89" s="2" t="s">
        <v>38</v>
      </c>
      <c r="G89" s="22" t="s">
        <v>301</v>
      </c>
      <c r="H89" s="22" t="s">
        <v>270</v>
      </c>
      <c r="I89" t="s">
        <v>227</v>
      </c>
      <c r="J89" t="str">
        <f>CONCATENATE(ENTREGA[[#This Row],[A QUIEN SE ENTRGA]],"",TEXT(ENTREGA[[#This Row],[FECHA]],"dd/mm/yyyy"))</f>
        <v>GUTARATE SABINO, ADRIEL ANTONY22/09/2025</v>
      </c>
      <c r="K89" t="s">
        <v>291</v>
      </c>
    </row>
    <row r="90" spans="2:11" hidden="1" x14ac:dyDescent="0.25">
      <c r="B90" s="5">
        <v>45922</v>
      </c>
      <c r="C90" s="2" t="str">
        <f>_xlfn.XLOOKUP(ENTREGA[[#This Row],[DESCRIPCION PRODUCTO]],PRODUCTOS!$C$8:$C$1853,PRODUCTOS!$B$8:$B$1853,"")</f>
        <v>IS-31</v>
      </c>
      <c r="D90" t="s">
        <v>82</v>
      </c>
      <c r="E90" s="2">
        <v>1</v>
      </c>
      <c r="F90" s="2" t="s">
        <v>38</v>
      </c>
      <c r="G90" s="22" t="s">
        <v>301</v>
      </c>
      <c r="H90" s="22" t="s">
        <v>270</v>
      </c>
      <c r="I90" t="s">
        <v>227</v>
      </c>
      <c r="J90" t="str">
        <f>CONCATENATE(ENTREGA[[#This Row],[A QUIEN SE ENTRGA]],"",TEXT(ENTREGA[[#This Row],[FECHA]],"dd/mm/yyyy"))</f>
        <v>GUTARATE SABINO, ADRIEL ANTONY22/09/2025</v>
      </c>
      <c r="K90" t="s">
        <v>291</v>
      </c>
    </row>
    <row r="91" spans="2:11" hidden="1" x14ac:dyDescent="0.25">
      <c r="B91" s="5">
        <v>45922</v>
      </c>
      <c r="C91" s="2" t="str">
        <f>_xlfn.XLOOKUP(ENTREGA[[#This Row],[DESCRIPCION PRODUCTO]],PRODUCTOS!$C$8:$C$1853,PRODUCTOS!$B$8:$B$1853,"")</f>
        <v>IS-14</v>
      </c>
      <c r="D91" t="s">
        <v>271</v>
      </c>
      <c r="E91" s="2">
        <v>1</v>
      </c>
      <c r="F91" s="2" t="s">
        <v>38</v>
      </c>
      <c r="G91" s="22" t="s">
        <v>301</v>
      </c>
      <c r="H91" s="22" t="s">
        <v>270</v>
      </c>
      <c r="I91" t="s">
        <v>227</v>
      </c>
      <c r="J91" t="str">
        <f>CONCATENATE(ENTREGA[[#This Row],[A QUIEN SE ENTRGA]],"",TEXT(ENTREGA[[#This Row],[FECHA]],"dd/mm/yyyy"))</f>
        <v>GUTARATE SABINO, ADRIEL ANTONY22/09/2025</v>
      </c>
      <c r="K91" t="s">
        <v>291</v>
      </c>
    </row>
    <row r="92" spans="2:11" hidden="1" x14ac:dyDescent="0.25">
      <c r="B92" s="5">
        <v>45922</v>
      </c>
      <c r="C92" s="2" t="str">
        <f>_xlfn.XLOOKUP(ENTREGA[[#This Row],[DESCRIPCION PRODUCTO]],PRODUCTOS!$C$8:$C$1853,PRODUCTOS!$B$8:$B$1853,"")</f>
        <v>IS-2</v>
      </c>
      <c r="D92" t="s">
        <v>52</v>
      </c>
      <c r="E92" s="2">
        <v>1</v>
      </c>
      <c r="F92" s="2" t="s">
        <v>38</v>
      </c>
      <c r="G92" s="22" t="s">
        <v>303</v>
      </c>
      <c r="H92" s="22" t="s">
        <v>270</v>
      </c>
      <c r="I92" t="s">
        <v>227</v>
      </c>
      <c r="J92" t="str">
        <f>CONCATENATE(ENTREGA[[#This Row],[A QUIEN SE ENTRGA]],"",TEXT(ENTREGA[[#This Row],[FECHA]],"dd/mm/yyyy"))</f>
        <v>APASTEGUI GRANDEZ, LUIS ALFREDO 22/09/2025</v>
      </c>
      <c r="K92" t="s">
        <v>291</v>
      </c>
    </row>
    <row r="93" spans="2:11" hidden="1" x14ac:dyDescent="0.25">
      <c r="B93" s="5">
        <v>45922</v>
      </c>
      <c r="C93" s="2" t="str">
        <f>_xlfn.XLOOKUP(ENTREGA[[#This Row],[DESCRIPCION PRODUCTO]],PRODUCTOS!$C$8:$C$1853,PRODUCTOS!$B$8:$B$1853,"")</f>
        <v>IS-36</v>
      </c>
      <c r="D93" t="s">
        <v>300</v>
      </c>
      <c r="E93" s="2">
        <v>2</v>
      </c>
      <c r="F93" s="2" t="s">
        <v>38</v>
      </c>
      <c r="G93" s="22" t="s">
        <v>303</v>
      </c>
      <c r="H93" s="22" t="s">
        <v>270</v>
      </c>
      <c r="I93" t="s">
        <v>227</v>
      </c>
      <c r="J93" t="str">
        <f>CONCATENATE(ENTREGA[[#This Row],[A QUIEN SE ENTRGA]],"",TEXT(ENTREGA[[#This Row],[FECHA]],"dd/mm/yyyy"))</f>
        <v>APASTEGUI GRANDEZ, LUIS ALFREDO 22/09/2025</v>
      </c>
      <c r="K93" t="s">
        <v>291</v>
      </c>
    </row>
    <row r="94" spans="2:11" hidden="1" x14ac:dyDescent="0.25">
      <c r="B94" s="5">
        <v>45922</v>
      </c>
      <c r="C94" s="2" t="str">
        <f>_xlfn.XLOOKUP(ENTREGA[[#This Row],[DESCRIPCION PRODUCTO]],PRODUCTOS!$C$8:$C$1853,PRODUCTOS!$B$8:$B$1853,"")</f>
        <v>IS-15</v>
      </c>
      <c r="D94" t="s">
        <v>64</v>
      </c>
      <c r="E94" s="2">
        <v>1</v>
      </c>
      <c r="F94" s="2" t="s">
        <v>38</v>
      </c>
      <c r="G94" s="22" t="s">
        <v>303</v>
      </c>
      <c r="H94" s="22" t="s">
        <v>270</v>
      </c>
      <c r="I94" t="s">
        <v>227</v>
      </c>
      <c r="J94" t="str">
        <f>CONCATENATE(ENTREGA[[#This Row],[A QUIEN SE ENTRGA]],"",TEXT(ENTREGA[[#This Row],[FECHA]],"dd/mm/yyyy"))</f>
        <v>APASTEGUI GRANDEZ, LUIS ALFREDO 22/09/2025</v>
      </c>
      <c r="K94" t="s">
        <v>291</v>
      </c>
    </row>
    <row r="95" spans="2:11" hidden="1" x14ac:dyDescent="0.25">
      <c r="B95" s="5">
        <v>45922</v>
      </c>
      <c r="C95" s="2" t="str">
        <f>_xlfn.XLOOKUP(ENTREGA[[#This Row],[DESCRIPCION PRODUCTO]],PRODUCTOS!$C$8:$C$1853,PRODUCTOS!$B$8:$B$1853,"")</f>
        <v>IS-31</v>
      </c>
      <c r="D95" t="s">
        <v>82</v>
      </c>
      <c r="E95" s="2">
        <v>1</v>
      </c>
      <c r="F95" s="2" t="s">
        <v>38</v>
      </c>
      <c r="G95" s="22" t="s">
        <v>303</v>
      </c>
      <c r="H95" s="22" t="s">
        <v>270</v>
      </c>
      <c r="I95" t="s">
        <v>227</v>
      </c>
      <c r="J95" t="str">
        <f>CONCATENATE(ENTREGA[[#This Row],[A QUIEN SE ENTRGA]],"",TEXT(ENTREGA[[#This Row],[FECHA]],"dd/mm/yyyy"))</f>
        <v>APASTEGUI GRANDEZ, LUIS ALFREDO 22/09/2025</v>
      </c>
      <c r="K95" t="s">
        <v>291</v>
      </c>
    </row>
    <row r="96" spans="2:11" hidden="1" x14ac:dyDescent="0.25">
      <c r="B96" s="5">
        <v>45922</v>
      </c>
      <c r="C96" s="2" t="str">
        <f>_xlfn.XLOOKUP(ENTREGA[[#This Row],[DESCRIPCION PRODUCTO]],PRODUCTOS!$C$8:$C$1853,PRODUCTOS!$B$8:$B$1853,"")</f>
        <v>IS-14</v>
      </c>
      <c r="D96" t="s">
        <v>271</v>
      </c>
      <c r="E96" s="2">
        <v>1</v>
      </c>
      <c r="F96" s="2" t="s">
        <v>38</v>
      </c>
      <c r="G96" s="22" t="s">
        <v>303</v>
      </c>
      <c r="H96" s="22" t="s">
        <v>270</v>
      </c>
      <c r="I96" t="s">
        <v>227</v>
      </c>
      <c r="J96" t="str">
        <f>CONCATENATE(ENTREGA[[#This Row],[A QUIEN SE ENTRGA]],"",TEXT(ENTREGA[[#This Row],[FECHA]],"dd/mm/yyyy"))</f>
        <v>APASTEGUI GRANDEZ, LUIS ALFREDO 22/09/2025</v>
      </c>
      <c r="K96" t="s">
        <v>291</v>
      </c>
    </row>
    <row r="97" spans="2:11" hidden="1" x14ac:dyDescent="0.25">
      <c r="B97" s="5">
        <v>45922</v>
      </c>
      <c r="C97" s="2" t="str">
        <f>_xlfn.XLOOKUP(ENTREGA[[#This Row],[DESCRIPCION PRODUCTO]],PRODUCTOS!$C$8:$C$1853,PRODUCTOS!$B$8:$B$1853,"")</f>
        <v>IS-30</v>
      </c>
      <c r="D97" t="s">
        <v>81</v>
      </c>
      <c r="E97" s="2">
        <v>1</v>
      </c>
      <c r="F97" s="2" t="s">
        <v>38</v>
      </c>
      <c r="G97" s="22" t="s">
        <v>303</v>
      </c>
      <c r="H97" s="22" t="s">
        <v>270</v>
      </c>
      <c r="I97" t="s">
        <v>227</v>
      </c>
      <c r="J97" t="str">
        <f>CONCATENATE(ENTREGA[[#This Row],[A QUIEN SE ENTRGA]],"",TEXT(ENTREGA[[#This Row],[FECHA]],"dd/mm/yyyy"))</f>
        <v>APASTEGUI GRANDEZ, LUIS ALFREDO 22/09/2025</v>
      </c>
      <c r="K97" t="s">
        <v>291</v>
      </c>
    </row>
    <row r="98" spans="2:11" hidden="1" x14ac:dyDescent="0.25">
      <c r="B98" s="5">
        <v>45922</v>
      </c>
      <c r="C98" s="2" t="str">
        <f>_xlfn.XLOOKUP(ENTREGA[[#This Row],[DESCRIPCION PRODUCTO]],PRODUCTOS!$C$8:$C$1853,PRODUCTOS!$B$8:$B$1853,"")</f>
        <v>IS-28</v>
      </c>
      <c r="D98" t="s">
        <v>79</v>
      </c>
      <c r="E98" s="2">
        <v>1</v>
      </c>
      <c r="F98" s="2" t="s">
        <v>38</v>
      </c>
      <c r="G98" s="22" t="s">
        <v>303</v>
      </c>
      <c r="H98" s="22" t="s">
        <v>270</v>
      </c>
      <c r="I98" t="s">
        <v>227</v>
      </c>
      <c r="J98" t="str">
        <f>CONCATENATE(ENTREGA[[#This Row],[A QUIEN SE ENTRGA]],"",TEXT(ENTREGA[[#This Row],[FECHA]],"dd/mm/yyyy"))</f>
        <v>APASTEGUI GRANDEZ, LUIS ALFREDO 22/09/2025</v>
      </c>
      <c r="K98" t="s">
        <v>291</v>
      </c>
    </row>
    <row r="99" spans="2:11" hidden="1" x14ac:dyDescent="0.25">
      <c r="B99" s="5">
        <v>45922</v>
      </c>
      <c r="C99" s="2" t="str">
        <f>_xlfn.XLOOKUP(ENTREGA[[#This Row],[DESCRIPCION PRODUCTO]],PRODUCTOS!$C$8:$C$1853,PRODUCTOS!$B$8:$B$1853,"")</f>
        <v>IS-21</v>
      </c>
      <c r="D99" t="s">
        <v>70</v>
      </c>
      <c r="E99" s="2">
        <v>1</v>
      </c>
      <c r="F99" s="2" t="s">
        <v>38</v>
      </c>
      <c r="G99" s="22" t="s">
        <v>303</v>
      </c>
      <c r="H99" s="22" t="s">
        <v>270</v>
      </c>
      <c r="I99" t="s">
        <v>227</v>
      </c>
      <c r="J99" t="str">
        <f>CONCATENATE(ENTREGA[[#This Row],[A QUIEN SE ENTRGA]],"",TEXT(ENTREGA[[#This Row],[FECHA]],"dd/mm/yyyy"))</f>
        <v>APASTEGUI GRANDEZ, LUIS ALFREDO 22/09/2025</v>
      </c>
      <c r="K99" t="s">
        <v>291</v>
      </c>
    </row>
    <row r="100" spans="2:11" hidden="1" x14ac:dyDescent="0.25">
      <c r="B100" s="5">
        <v>45922</v>
      </c>
      <c r="C100" s="2" t="str">
        <f>_xlfn.XLOOKUP(ENTREGA[[#This Row],[DESCRIPCION PRODUCTO]],PRODUCTOS!$C$8:$C$1853,PRODUCTOS!$B$8:$B$1853,"")</f>
        <v>IS-2</v>
      </c>
      <c r="D100" t="s">
        <v>52</v>
      </c>
      <c r="E100" s="2">
        <v>1</v>
      </c>
      <c r="F100" s="2" t="s">
        <v>38</v>
      </c>
      <c r="G100" s="22" t="s">
        <v>304</v>
      </c>
      <c r="H100" s="22" t="s">
        <v>270</v>
      </c>
      <c r="I100" t="s">
        <v>227</v>
      </c>
      <c r="J100" t="str">
        <f>CONCATENATE(ENTREGA[[#This Row],[A QUIEN SE ENTRGA]],"",TEXT(ENTREGA[[#This Row],[FECHA]],"dd/mm/yyyy"))</f>
        <v>LOZA, GUILLERMO22/09/2025</v>
      </c>
      <c r="K100" t="s">
        <v>291</v>
      </c>
    </row>
    <row r="101" spans="2:11" hidden="1" x14ac:dyDescent="0.25">
      <c r="B101" s="5">
        <v>45922</v>
      </c>
      <c r="C101" s="2" t="str">
        <f>_xlfn.XLOOKUP(ENTREGA[[#This Row],[DESCRIPCION PRODUCTO]],PRODUCTOS!$C$8:$C$1853,PRODUCTOS!$B$8:$B$1853,"")</f>
        <v>IS-36</v>
      </c>
      <c r="D101" t="s">
        <v>300</v>
      </c>
      <c r="E101" s="2">
        <v>2</v>
      </c>
      <c r="F101" s="2" t="s">
        <v>38</v>
      </c>
      <c r="G101" s="22" t="s">
        <v>304</v>
      </c>
      <c r="H101" s="22" t="s">
        <v>270</v>
      </c>
      <c r="I101" t="s">
        <v>227</v>
      </c>
      <c r="J101" t="str">
        <f>CONCATENATE(ENTREGA[[#This Row],[A QUIEN SE ENTRGA]],"",TEXT(ENTREGA[[#This Row],[FECHA]],"dd/mm/yyyy"))</f>
        <v>LOZA, GUILLERMO22/09/2025</v>
      </c>
      <c r="K101" t="s">
        <v>291</v>
      </c>
    </row>
    <row r="102" spans="2:11" hidden="1" x14ac:dyDescent="0.25">
      <c r="B102" s="5">
        <v>45922</v>
      </c>
      <c r="C102" s="2" t="str">
        <f>_xlfn.XLOOKUP(ENTREGA[[#This Row],[DESCRIPCION PRODUCTO]],PRODUCTOS!$C$8:$C$1853,PRODUCTOS!$B$8:$B$1853,"")</f>
        <v>IS-15</v>
      </c>
      <c r="D102" t="s">
        <v>64</v>
      </c>
      <c r="E102" s="2">
        <v>1</v>
      </c>
      <c r="F102" s="2" t="s">
        <v>38</v>
      </c>
      <c r="G102" s="22" t="s">
        <v>304</v>
      </c>
      <c r="H102" s="22" t="s">
        <v>270</v>
      </c>
      <c r="I102" t="s">
        <v>227</v>
      </c>
      <c r="J102" t="str">
        <f>CONCATENATE(ENTREGA[[#This Row],[A QUIEN SE ENTRGA]],"",TEXT(ENTREGA[[#This Row],[FECHA]],"dd/mm/yyyy"))</f>
        <v>LOZA, GUILLERMO22/09/2025</v>
      </c>
      <c r="K102" t="s">
        <v>291</v>
      </c>
    </row>
    <row r="103" spans="2:11" hidden="1" x14ac:dyDescent="0.25">
      <c r="B103" s="5">
        <v>45922</v>
      </c>
      <c r="C103" s="2" t="str">
        <f>_xlfn.XLOOKUP(ENTREGA[[#This Row],[DESCRIPCION PRODUCTO]],PRODUCTOS!$C$8:$C$1853,PRODUCTOS!$B$8:$B$1853,"")</f>
        <v>IS-30</v>
      </c>
      <c r="D103" t="s">
        <v>81</v>
      </c>
      <c r="E103" s="2">
        <v>1</v>
      </c>
      <c r="F103" s="2" t="s">
        <v>38</v>
      </c>
      <c r="G103" s="22" t="s">
        <v>304</v>
      </c>
      <c r="H103" s="22" t="s">
        <v>270</v>
      </c>
      <c r="I103" t="s">
        <v>227</v>
      </c>
      <c r="J103" t="str">
        <f>CONCATENATE(ENTREGA[[#This Row],[A QUIEN SE ENTRGA]],"",TEXT(ENTREGA[[#This Row],[FECHA]],"dd/mm/yyyy"))</f>
        <v>LOZA, GUILLERMO22/09/2025</v>
      </c>
      <c r="K103" t="s">
        <v>291</v>
      </c>
    </row>
    <row r="104" spans="2:11" hidden="1" x14ac:dyDescent="0.25">
      <c r="B104" s="5">
        <v>45922</v>
      </c>
      <c r="C104" s="2" t="str">
        <f>_xlfn.XLOOKUP(ENTREGA[[#This Row],[DESCRIPCION PRODUCTO]],PRODUCTOS!$C$8:$C$1853,PRODUCTOS!$B$8:$B$1853,"")</f>
        <v>IS-28</v>
      </c>
      <c r="D104" t="s">
        <v>79</v>
      </c>
      <c r="E104" s="2">
        <v>1</v>
      </c>
      <c r="F104" s="2" t="s">
        <v>38</v>
      </c>
      <c r="G104" s="22" t="s">
        <v>304</v>
      </c>
      <c r="H104" s="22" t="s">
        <v>270</v>
      </c>
      <c r="I104" t="s">
        <v>227</v>
      </c>
      <c r="J104" t="str">
        <f>CONCATENATE(ENTREGA[[#This Row],[A QUIEN SE ENTRGA]],"",TEXT(ENTREGA[[#This Row],[FECHA]],"dd/mm/yyyy"))</f>
        <v>LOZA, GUILLERMO22/09/2025</v>
      </c>
      <c r="K104" t="s">
        <v>291</v>
      </c>
    </row>
    <row r="105" spans="2:11" hidden="1" x14ac:dyDescent="0.25">
      <c r="B105" s="5">
        <v>45922</v>
      </c>
      <c r="C105" s="2" t="str">
        <f>_xlfn.XLOOKUP(ENTREGA[[#This Row],[DESCRIPCION PRODUCTO]],PRODUCTOS!$C$8:$C$1853,PRODUCTOS!$B$8:$B$1853,"")</f>
        <v>IS-18</v>
      </c>
      <c r="D105" t="s">
        <v>67</v>
      </c>
      <c r="E105" s="2">
        <v>1</v>
      </c>
      <c r="F105" s="2" t="s">
        <v>38</v>
      </c>
      <c r="G105" s="22" t="s">
        <v>304</v>
      </c>
      <c r="H105" s="22" t="s">
        <v>270</v>
      </c>
      <c r="I105" t="s">
        <v>227</v>
      </c>
      <c r="J105" t="str">
        <f>CONCATENATE(ENTREGA[[#This Row],[A QUIEN SE ENTRGA]],"",TEXT(ENTREGA[[#This Row],[FECHA]],"dd/mm/yyyy"))</f>
        <v>LOZA, GUILLERMO22/09/2025</v>
      </c>
      <c r="K105" t="s">
        <v>291</v>
      </c>
    </row>
    <row r="106" spans="2:11" hidden="1" x14ac:dyDescent="0.25">
      <c r="B106" s="5">
        <v>45922</v>
      </c>
      <c r="C106" s="2" t="str">
        <f>_xlfn.XLOOKUP(ENTREGA[[#This Row],[DESCRIPCION PRODUCTO]],PRODUCTOS!$C$8:$C$1853,PRODUCTOS!$B$8:$B$1853,"")</f>
        <v>IS-32</v>
      </c>
      <c r="D106" t="s">
        <v>83</v>
      </c>
      <c r="E106" s="2">
        <v>1</v>
      </c>
      <c r="F106" s="2" t="s">
        <v>38</v>
      </c>
      <c r="G106" s="22" t="s">
        <v>307</v>
      </c>
      <c r="H106" s="22" t="s">
        <v>270</v>
      </c>
      <c r="I106" t="s">
        <v>227</v>
      </c>
      <c r="J106" t="str">
        <f>CONCATENATE(ENTREGA[[#This Row],[A QUIEN SE ENTRGA]],"",TEXT(ENTREGA[[#This Row],[FECHA]],"dd/mm/yyyy"))</f>
        <v>CACERES CALACHUA, YEYSON JORGE22/09/2025</v>
      </c>
      <c r="K106" t="s">
        <v>291</v>
      </c>
    </row>
    <row r="107" spans="2:11" hidden="1" x14ac:dyDescent="0.25">
      <c r="B107" s="5">
        <v>45922</v>
      </c>
      <c r="C107" s="2" t="str">
        <f>_xlfn.XLOOKUP(ENTREGA[[#This Row],[DESCRIPCION PRODUCTO]],PRODUCTOS!$C$8:$C$1853,PRODUCTOS!$B$8:$B$1853,"")</f>
        <v>IS-14</v>
      </c>
      <c r="D107" t="s">
        <v>271</v>
      </c>
      <c r="E107" s="2">
        <v>1</v>
      </c>
      <c r="F107" s="2" t="s">
        <v>38</v>
      </c>
      <c r="G107" s="22" t="s">
        <v>307</v>
      </c>
      <c r="H107" s="22" t="s">
        <v>270</v>
      </c>
      <c r="I107" t="s">
        <v>227</v>
      </c>
      <c r="J107" t="str">
        <f>CONCATENATE(ENTREGA[[#This Row],[A QUIEN SE ENTRGA]],"",TEXT(ENTREGA[[#This Row],[FECHA]],"dd/mm/yyyy"))</f>
        <v>CACERES CALACHUA, YEYSON JORGE22/09/2025</v>
      </c>
      <c r="K107" t="s">
        <v>291</v>
      </c>
    </row>
    <row r="108" spans="2:11" hidden="1" x14ac:dyDescent="0.25">
      <c r="B108" s="5">
        <v>45922</v>
      </c>
      <c r="C108" s="2" t="str">
        <f>_xlfn.XLOOKUP(ENTREGA[[#This Row],[DESCRIPCION PRODUCTO]],PRODUCTOS!$C$8:$C$1853,PRODUCTOS!$B$8:$B$1853,"")</f>
        <v>IS-30</v>
      </c>
      <c r="D108" t="s">
        <v>81</v>
      </c>
      <c r="E108" s="2">
        <v>1</v>
      </c>
      <c r="F108" s="2" t="s">
        <v>38</v>
      </c>
      <c r="G108" s="22" t="s">
        <v>307</v>
      </c>
      <c r="H108" s="22" t="s">
        <v>270</v>
      </c>
      <c r="I108" t="s">
        <v>227</v>
      </c>
      <c r="J108" t="str">
        <f>CONCATENATE(ENTREGA[[#This Row],[A QUIEN SE ENTRGA]],"",TEXT(ENTREGA[[#This Row],[FECHA]],"dd/mm/yyyy"))</f>
        <v>CACERES CALACHUA, YEYSON JORGE22/09/2025</v>
      </c>
      <c r="K108" t="s">
        <v>291</v>
      </c>
    </row>
    <row r="109" spans="2:11" hidden="1" x14ac:dyDescent="0.25">
      <c r="B109" s="5">
        <v>45922</v>
      </c>
      <c r="C109" s="2" t="str">
        <f>_xlfn.XLOOKUP(ENTREGA[[#This Row],[DESCRIPCION PRODUCTO]],PRODUCTOS!$C$8:$C$1853,PRODUCTOS!$B$8:$B$1853,"")</f>
        <v>IS-6</v>
      </c>
      <c r="D109" t="s">
        <v>56</v>
      </c>
      <c r="E109" s="2">
        <v>1</v>
      </c>
      <c r="F109" s="2" t="s">
        <v>38</v>
      </c>
      <c r="G109" s="22" t="s">
        <v>308</v>
      </c>
      <c r="H109" s="22" t="s">
        <v>270</v>
      </c>
      <c r="I109" t="s">
        <v>227</v>
      </c>
      <c r="J109" t="str">
        <f>CONCATENATE(ENTREGA[[#This Row],[A QUIEN SE ENTRGA]],"",TEXT(ENTREGA[[#This Row],[FECHA]],"dd/mm/yyyy"))</f>
        <v>ACOSTA ROJAS, JOSEPH ALFONSO22/09/2025</v>
      </c>
      <c r="K109" t="s">
        <v>291</v>
      </c>
    </row>
    <row r="110" spans="2:11" hidden="1" x14ac:dyDescent="0.25">
      <c r="B110" s="5">
        <v>45922</v>
      </c>
      <c r="C110" s="2" t="str">
        <f>_xlfn.XLOOKUP(ENTREGA[[#This Row],[DESCRIPCION PRODUCTO]],PRODUCTOS!$C$8:$C$1853,PRODUCTOS!$B$8:$B$1853,"")</f>
        <v>IS-10</v>
      </c>
      <c r="D110" t="s">
        <v>60</v>
      </c>
      <c r="E110" s="2">
        <v>2</v>
      </c>
      <c r="F110" s="2" t="s">
        <v>38</v>
      </c>
      <c r="G110" s="22" t="s">
        <v>308</v>
      </c>
      <c r="H110" s="22" t="s">
        <v>270</v>
      </c>
      <c r="I110" t="s">
        <v>227</v>
      </c>
      <c r="J110" t="str">
        <f>CONCATENATE(ENTREGA[[#This Row],[A QUIEN SE ENTRGA]],"",TEXT(ENTREGA[[#This Row],[FECHA]],"dd/mm/yyyy"))</f>
        <v>ACOSTA ROJAS, JOSEPH ALFONSO22/09/2025</v>
      </c>
      <c r="K110" t="s">
        <v>291</v>
      </c>
    </row>
    <row r="111" spans="2:11" hidden="1" x14ac:dyDescent="0.25">
      <c r="B111" s="5">
        <v>45922</v>
      </c>
      <c r="C111" s="2" t="str">
        <f>_xlfn.XLOOKUP(ENTREGA[[#This Row],[DESCRIPCION PRODUCTO]],PRODUCTOS!$C$8:$C$1853,PRODUCTOS!$B$8:$B$1853,"")</f>
        <v>IS-2</v>
      </c>
      <c r="D111" t="s">
        <v>52</v>
      </c>
      <c r="E111" s="2">
        <v>1</v>
      </c>
      <c r="F111" s="2" t="s">
        <v>38</v>
      </c>
      <c r="G111" s="22" t="s">
        <v>323</v>
      </c>
      <c r="H111" s="22" t="s">
        <v>270</v>
      </c>
      <c r="I111" t="s">
        <v>227</v>
      </c>
      <c r="J111" t="str">
        <f>CONCATENATE(ENTREGA[[#This Row],[A QUIEN SE ENTRGA]],"",TEXT(ENTREGA[[#This Row],[FECHA]],"dd/mm/yyyy"))</f>
        <v>TUANAMA PILCO, CRHIS22/09/2025</v>
      </c>
      <c r="K111" t="s">
        <v>291</v>
      </c>
    </row>
    <row r="112" spans="2:11" hidden="1" x14ac:dyDescent="0.25">
      <c r="B112" s="5">
        <v>45922</v>
      </c>
      <c r="C112" s="2" t="str">
        <f>_xlfn.XLOOKUP(ENTREGA[[#This Row],[DESCRIPCION PRODUCTO]],PRODUCTOS!$C$8:$C$1853,PRODUCTOS!$B$8:$B$1853,"")</f>
        <v>IS-36</v>
      </c>
      <c r="D112" t="s">
        <v>300</v>
      </c>
      <c r="E112" s="2">
        <v>2</v>
      </c>
      <c r="F112" s="2" t="s">
        <v>38</v>
      </c>
      <c r="G112" s="22" t="s">
        <v>323</v>
      </c>
      <c r="H112" s="22" t="s">
        <v>270</v>
      </c>
      <c r="I112" t="s">
        <v>227</v>
      </c>
      <c r="J112" t="str">
        <f>CONCATENATE(ENTREGA[[#This Row],[A QUIEN SE ENTRGA]],"",TEXT(ENTREGA[[#This Row],[FECHA]],"dd/mm/yyyy"))</f>
        <v>TUANAMA PILCO, CRHIS22/09/2025</v>
      </c>
      <c r="K112" t="s">
        <v>291</v>
      </c>
    </row>
    <row r="113" spans="2:12" hidden="1" x14ac:dyDescent="0.25">
      <c r="B113" s="5">
        <v>45922</v>
      </c>
      <c r="C113" s="2" t="str">
        <f>_xlfn.XLOOKUP(ENTREGA[[#This Row],[DESCRIPCION PRODUCTO]],PRODUCTOS!$C$8:$C$1853,PRODUCTOS!$B$8:$B$1853,"")</f>
        <v>IS-31</v>
      </c>
      <c r="D113" t="s">
        <v>82</v>
      </c>
      <c r="E113" s="2">
        <v>1</v>
      </c>
      <c r="F113" s="2" t="s">
        <v>38</v>
      </c>
      <c r="G113" s="22" t="s">
        <v>323</v>
      </c>
      <c r="H113" s="22" t="s">
        <v>270</v>
      </c>
      <c r="I113" t="s">
        <v>227</v>
      </c>
      <c r="J113" t="str">
        <f>CONCATENATE(ENTREGA[[#This Row],[A QUIEN SE ENTRGA]],"",TEXT(ENTREGA[[#This Row],[FECHA]],"dd/mm/yyyy"))</f>
        <v>TUANAMA PILCO, CRHIS22/09/2025</v>
      </c>
      <c r="K113" t="s">
        <v>291</v>
      </c>
    </row>
    <row r="114" spans="2:12" hidden="1" x14ac:dyDescent="0.25">
      <c r="B114" s="5">
        <v>45922</v>
      </c>
      <c r="C114" s="2" t="str">
        <f>_xlfn.XLOOKUP(ENTREGA[[#This Row],[DESCRIPCION PRODUCTO]],PRODUCTOS!$C$8:$C$1853,PRODUCTOS!$B$8:$B$1853,"")</f>
        <v>IS-15</v>
      </c>
      <c r="D114" t="s">
        <v>64</v>
      </c>
      <c r="E114" s="2">
        <v>1</v>
      </c>
      <c r="F114" s="2" t="s">
        <v>38</v>
      </c>
      <c r="G114" s="22" t="s">
        <v>323</v>
      </c>
      <c r="H114" s="22" t="s">
        <v>270</v>
      </c>
      <c r="I114" t="s">
        <v>227</v>
      </c>
      <c r="J114" t="str">
        <f>CONCATENATE(ENTREGA[[#This Row],[A QUIEN SE ENTRGA]],"",TEXT(ENTREGA[[#This Row],[FECHA]],"dd/mm/yyyy"))</f>
        <v>TUANAMA PILCO, CRHIS22/09/2025</v>
      </c>
      <c r="K114" t="s">
        <v>291</v>
      </c>
    </row>
    <row r="115" spans="2:12" hidden="1" x14ac:dyDescent="0.25">
      <c r="B115" s="5">
        <v>45922</v>
      </c>
      <c r="C115" s="2" t="str">
        <f>_xlfn.XLOOKUP(ENTREGA[[#This Row],[DESCRIPCION PRODUCTO]],PRODUCTOS!$C$8:$C$1853,PRODUCTOS!$B$8:$B$1853,"")</f>
        <v>IS-30</v>
      </c>
      <c r="D115" t="s">
        <v>81</v>
      </c>
      <c r="E115" s="2">
        <v>1</v>
      </c>
      <c r="F115" s="2" t="s">
        <v>38</v>
      </c>
      <c r="G115" s="22" t="s">
        <v>323</v>
      </c>
      <c r="H115" s="22" t="s">
        <v>270</v>
      </c>
      <c r="I115" t="s">
        <v>227</v>
      </c>
      <c r="J115" t="str">
        <f>CONCATENATE(ENTREGA[[#This Row],[A QUIEN SE ENTRGA]],"",TEXT(ENTREGA[[#This Row],[FECHA]],"dd/mm/yyyy"))</f>
        <v>TUANAMA PILCO, CRHIS22/09/2025</v>
      </c>
      <c r="K115" t="s">
        <v>291</v>
      </c>
    </row>
    <row r="116" spans="2:12" hidden="1" x14ac:dyDescent="0.25">
      <c r="B116" s="5">
        <v>45922</v>
      </c>
      <c r="C116" s="2" t="str">
        <f>_xlfn.XLOOKUP(ENTREGA[[#This Row],[DESCRIPCION PRODUCTO]],PRODUCTOS!$C$8:$C$1853,PRODUCTOS!$B$8:$B$1853,"")</f>
        <v>IS-28</v>
      </c>
      <c r="D116" t="s">
        <v>79</v>
      </c>
      <c r="E116" s="2">
        <v>1</v>
      </c>
      <c r="F116" s="2" t="s">
        <v>38</v>
      </c>
      <c r="G116" s="22" t="s">
        <v>323</v>
      </c>
      <c r="H116" s="22" t="s">
        <v>270</v>
      </c>
      <c r="I116" t="s">
        <v>227</v>
      </c>
      <c r="J116" t="str">
        <f>CONCATENATE(ENTREGA[[#This Row],[A QUIEN SE ENTRGA]],"",TEXT(ENTREGA[[#This Row],[FECHA]],"dd/mm/yyyy"))</f>
        <v>TUANAMA PILCO, CRHIS22/09/2025</v>
      </c>
      <c r="K116" t="s">
        <v>291</v>
      </c>
    </row>
    <row r="117" spans="2:12" hidden="1" x14ac:dyDescent="0.25">
      <c r="B117" s="5">
        <v>45922</v>
      </c>
      <c r="C117" s="2" t="str">
        <f>_xlfn.XLOOKUP(ENTREGA[[#This Row],[DESCRIPCION PRODUCTO]],PRODUCTOS!$C$8:$C$1853,PRODUCTOS!$B$8:$B$1853,"")</f>
        <v>IS-21</v>
      </c>
      <c r="D117" t="s">
        <v>70</v>
      </c>
      <c r="E117" s="2">
        <v>1</v>
      </c>
      <c r="F117" s="2" t="s">
        <v>38</v>
      </c>
      <c r="G117" s="22" t="s">
        <v>323</v>
      </c>
      <c r="H117" s="22" t="s">
        <v>270</v>
      </c>
      <c r="I117" t="s">
        <v>227</v>
      </c>
      <c r="J117" t="str">
        <f>CONCATENATE(ENTREGA[[#This Row],[A QUIEN SE ENTRGA]],"",TEXT(ENTREGA[[#This Row],[FECHA]],"dd/mm/yyyy"))</f>
        <v>TUANAMA PILCO, CRHIS22/09/2025</v>
      </c>
      <c r="K117" t="s">
        <v>291</v>
      </c>
    </row>
    <row r="118" spans="2:12" hidden="1" x14ac:dyDescent="0.25">
      <c r="B118" s="5">
        <v>45922</v>
      </c>
      <c r="C118" s="2" t="str">
        <f>_xlfn.XLOOKUP(ENTREGA[[#This Row],[DESCRIPCION PRODUCTO]],PRODUCTOS!$C$8:$C$1853,PRODUCTOS!$B$8:$B$1853,"")</f>
        <v>IS-14</v>
      </c>
      <c r="D118" t="s">
        <v>271</v>
      </c>
      <c r="E118" s="2">
        <v>1</v>
      </c>
      <c r="F118" s="2" t="s">
        <v>38</v>
      </c>
      <c r="G118" s="22" t="s">
        <v>323</v>
      </c>
      <c r="H118" s="22" t="s">
        <v>270</v>
      </c>
      <c r="I118" t="s">
        <v>227</v>
      </c>
      <c r="J118" t="str">
        <f>CONCATENATE(ENTREGA[[#This Row],[A QUIEN SE ENTRGA]],"",TEXT(ENTREGA[[#This Row],[FECHA]],"dd/mm/yyyy"))</f>
        <v>TUANAMA PILCO, CRHIS22/09/2025</v>
      </c>
      <c r="K118" t="s">
        <v>291</v>
      </c>
    </row>
    <row r="119" spans="2:12" hidden="1" x14ac:dyDescent="0.25">
      <c r="B119" s="5">
        <v>45922</v>
      </c>
      <c r="C119" s="2" t="str">
        <f>_xlfn.XLOOKUP(ENTREGA[[#This Row],[DESCRIPCION PRODUCTO]],PRODUCTOS!$C$8:$C$1853,PRODUCTOS!$B$8:$B$1853,"")</f>
        <v>IS-18</v>
      </c>
      <c r="D119" t="s">
        <v>67</v>
      </c>
      <c r="E119" s="2">
        <v>1</v>
      </c>
      <c r="F119" s="2" t="s">
        <v>38</v>
      </c>
      <c r="G119" s="22" t="s">
        <v>258</v>
      </c>
      <c r="H119" s="22" t="s">
        <v>270</v>
      </c>
      <c r="I119" t="s">
        <v>324</v>
      </c>
      <c r="J119" t="str">
        <f>CONCATENATE(ENTREGA[[#This Row],[A QUIEN SE ENTRGA]],"",TEXT(ENTREGA[[#This Row],[FECHA]],"dd/mm/yyyy"))</f>
        <v>ADUVIRE ARGUATA, MARIO ARTURO22/09/2025</v>
      </c>
      <c r="K119" t="s">
        <v>291</v>
      </c>
    </row>
    <row r="120" spans="2:12" hidden="1" x14ac:dyDescent="0.25">
      <c r="B120" s="5">
        <v>45923</v>
      </c>
      <c r="C120" s="2" t="str">
        <f>_xlfn.XLOOKUP(ENTREGA[[#This Row],[DESCRIPCION PRODUCTO]],PRODUCTOS!$C$8:$C$1853,PRODUCTOS!$B$8:$B$1853,"")</f>
        <v>IS-37</v>
      </c>
      <c r="D120" t="s">
        <v>339</v>
      </c>
      <c r="E120" s="2">
        <v>1</v>
      </c>
      <c r="F120" s="2" t="s">
        <v>38</v>
      </c>
      <c r="G120" s="22" t="s">
        <v>253</v>
      </c>
      <c r="H120" s="22" t="s">
        <v>270</v>
      </c>
      <c r="I120" t="s">
        <v>227</v>
      </c>
      <c r="J120" t="str">
        <f>CONCATENATE(ENTREGA[[#This Row],[A QUIEN SE ENTRGA]],"",TEXT(ENTREGA[[#This Row],[FECHA]],"dd/mm/yyyy"))</f>
        <v>ALEJO CHARCA, DENNYS MIRIAM23/09/2025</v>
      </c>
      <c r="K120" t="s">
        <v>291</v>
      </c>
    </row>
    <row r="121" spans="2:12" hidden="1" x14ac:dyDescent="0.25">
      <c r="B121" s="5">
        <v>45923</v>
      </c>
      <c r="C121" s="2" t="str">
        <f>_xlfn.XLOOKUP(ENTREGA[[#This Row],[DESCRIPCION PRODUCTO]],PRODUCTOS!$C$8:$C$1853,PRODUCTOS!$B$8:$B$1853,"")</f>
        <v>IS-4</v>
      </c>
      <c r="D121" t="s">
        <v>54</v>
      </c>
      <c r="E121" s="2">
        <v>1</v>
      </c>
      <c r="F121" s="2" t="s">
        <v>38</v>
      </c>
      <c r="G121" s="22" t="s">
        <v>260</v>
      </c>
      <c r="H121" s="22" t="s">
        <v>270</v>
      </c>
      <c r="I121" t="s">
        <v>227</v>
      </c>
      <c r="J121" t="str">
        <f>CONCATENATE(ENTREGA[[#This Row],[A QUIEN SE ENTRGA]],"",TEXT(ENTREGA[[#This Row],[FECHA]],"dd/mm/yyyy"))</f>
        <v>SALAZAR BAZAN, ROCÍO DALILA23/09/2025</v>
      </c>
      <c r="K121" t="s">
        <v>291</v>
      </c>
    </row>
    <row r="122" spans="2:12" hidden="1" x14ac:dyDescent="0.25">
      <c r="B122" s="5">
        <v>45923</v>
      </c>
      <c r="C122" s="2" t="str">
        <f>_xlfn.XLOOKUP(ENTREGA[[#This Row],[DESCRIPCION PRODUCTO]],PRODUCTOS!$C$8:$C$1853,PRODUCTOS!$B$8:$B$1853,"")</f>
        <v>IS-5</v>
      </c>
      <c r="D122" t="s">
        <v>55</v>
      </c>
      <c r="E122" s="2">
        <v>1</v>
      </c>
      <c r="F122" s="2" t="s">
        <v>38</v>
      </c>
      <c r="G122" s="22" t="s">
        <v>256</v>
      </c>
      <c r="H122" s="22" t="s">
        <v>270</v>
      </c>
      <c r="I122" t="s">
        <v>227</v>
      </c>
      <c r="J122" t="str">
        <f>CONCATENATE(ENTREGA[[#This Row],[A QUIEN SE ENTRGA]],"",TEXT(ENTREGA[[#This Row],[FECHA]],"dd/mm/yyyy"))</f>
        <v>SILVA BORDA, ARLETTE NINOSKA23/09/2025</v>
      </c>
      <c r="K122" t="s">
        <v>291</v>
      </c>
    </row>
    <row r="123" spans="2:12" hidden="1" x14ac:dyDescent="0.25">
      <c r="B123" s="5">
        <v>45924</v>
      </c>
      <c r="C123" s="2" t="str">
        <f>_xlfn.XLOOKUP(ENTREGA[[#This Row],[DESCRIPCION PRODUCTO]],PRODUCTOS!$C$8:$C$1853,PRODUCTOS!$B$8:$B$1853,"")</f>
        <v>AGU-1</v>
      </c>
      <c r="D123" t="s">
        <v>357</v>
      </c>
      <c r="E123" s="2">
        <v>1</v>
      </c>
      <c r="F123" s="2" t="s">
        <v>38</v>
      </c>
      <c r="G123" s="22" t="s">
        <v>258</v>
      </c>
      <c r="H123" s="22" t="s">
        <v>236</v>
      </c>
      <c r="I123" t="s">
        <v>355</v>
      </c>
      <c r="J123" t="str">
        <f>CONCATENATE(ENTREGA[[#This Row],[A QUIEN SE ENTRGA]],"",TEXT(ENTREGA[[#This Row],[FECHA]],"dd/mm/yyyy"))</f>
        <v>ADUVIRE ARGUATA, MARIO ARTURO24/09/2025</v>
      </c>
      <c r="K123" t="s">
        <v>291</v>
      </c>
      <c r="L123" s="66">
        <v>0.3125</v>
      </c>
    </row>
    <row r="124" spans="2:12" hidden="1" x14ac:dyDescent="0.25">
      <c r="B124" s="5">
        <v>45924</v>
      </c>
      <c r="C124" s="2" t="str">
        <f>_xlfn.XLOOKUP(ENTREGA[[#This Row],[DESCRIPCION PRODUCTO]],PRODUCTOS!$C$8:$C$1853,PRODUCTOS!$B$8:$B$1853,"")</f>
        <v>UE-41</v>
      </c>
      <c r="D124" t="s">
        <v>195</v>
      </c>
      <c r="E124" s="2">
        <v>1</v>
      </c>
      <c r="F124" s="2" t="s">
        <v>38</v>
      </c>
      <c r="G124" s="22" t="s">
        <v>307</v>
      </c>
      <c r="H124" s="22" t="s">
        <v>270</v>
      </c>
      <c r="I124" t="s">
        <v>364</v>
      </c>
      <c r="J124" t="str">
        <f>CONCATENATE(ENTREGA[[#This Row],[A QUIEN SE ENTRGA]],"",TEXT(ENTREGA[[#This Row],[FECHA]],"dd/mm/yyyy"))</f>
        <v>CACERES CALACHUA, YEYSON JORGE24/09/2025</v>
      </c>
      <c r="K124" t="s">
        <v>291</v>
      </c>
      <c r="L124" s="66">
        <v>0.3125</v>
      </c>
    </row>
    <row r="125" spans="2:12" hidden="1" x14ac:dyDescent="0.25">
      <c r="B125" s="5">
        <v>45924</v>
      </c>
      <c r="C125" s="2" t="str">
        <f>_xlfn.XLOOKUP(ENTREGA[[#This Row],[DESCRIPCION PRODUCTO]],PRODUCTOS!$C$8:$C$1853,PRODUCTOS!$B$8:$B$1853,"")</f>
        <v>UE-24</v>
      </c>
      <c r="D125" t="s">
        <v>178</v>
      </c>
      <c r="E125" s="2">
        <v>2</v>
      </c>
      <c r="F125" s="2" t="s">
        <v>38</v>
      </c>
      <c r="G125" s="22" t="s">
        <v>307</v>
      </c>
      <c r="H125" s="22" t="s">
        <v>270</v>
      </c>
      <c r="I125" t="s">
        <v>364</v>
      </c>
      <c r="J125" t="str">
        <f>CONCATENATE(ENTREGA[[#This Row],[A QUIEN SE ENTRGA]],"",TEXT(ENTREGA[[#This Row],[FECHA]],"dd/mm/yyyy"))</f>
        <v>CACERES CALACHUA, YEYSON JORGE24/09/2025</v>
      </c>
      <c r="K125" t="s">
        <v>291</v>
      </c>
      <c r="L125" s="66">
        <v>0.3125</v>
      </c>
    </row>
    <row r="126" spans="2:12" hidden="1" x14ac:dyDescent="0.25">
      <c r="B126" s="5">
        <v>45924</v>
      </c>
      <c r="C126" s="2" t="str">
        <f>_xlfn.XLOOKUP(ENTREGA[[#This Row],[DESCRIPCION PRODUCTO]],PRODUCTOS!$C$8:$C$1853,PRODUCTOS!$B$8:$B$1853,"")</f>
        <v>UE-56</v>
      </c>
      <c r="D126" t="s">
        <v>325</v>
      </c>
      <c r="E126" s="2">
        <v>2</v>
      </c>
      <c r="F126" s="2" t="s">
        <v>365</v>
      </c>
      <c r="G126" s="22" t="s">
        <v>256</v>
      </c>
      <c r="H126" s="22" t="s">
        <v>236</v>
      </c>
      <c r="I126" t="s">
        <v>364</v>
      </c>
      <c r="J126" t="str">
        <f>CONCATENATE(ENTREGA[[#This Row],[A QUIEN SE ENTRGA]],"",TEXT(ENTREGA[[#This Row],[FECHA]],"dd/mm/yyyy"))</f>
        <v>SILVA BORDA, ARLETTE NINOSKA24/09/2025</v>
      </c>
      <c r="K126" t="s">
        <v>291</v>
      </c>
      <c r="L126" s="66">
        <v>0.3125</v>
      </c>
    </row>
    <row r="127" spans="2:12" hidden="1" x14ac:dyDescent="0.25">
      <c r="B127" s="5">
        <v>45924</v>
      </c>
      <c r="C127" s="2" t="str">
        <f>_xlfn.XLOOKUP(ENTREGA[[#This Row],[DESCRIPCION PRODUCTO]],PRODUCTOS!$C$8:$C$1853,PRODUCTOS!$B$8:$B$1853,"")</f>
        <v>UE-15</v>
      </c>
      <c r="D127" t="s">
        <v>169</v>
      </c>
      <c r="E127" s="2">
        <v>1</v>
      </c>
      <c r="F127" s="2" t="s">
        <v>365</v>
      </c>
      <c r="G127" s="22" t="s">
        <v>256</v>
      </c>
      <c r="H127" s="22" t="s">
        <v>236</v>
      </c>
      <c r="I127" t="s">
        <v>364</v>
      </c>
      <c r="J127" t="str">
        <f>CONCATENATE(ENTREGA[[#This Row],[A QUIEN SE ENTRGA]],"",TEXT(ENTREGA[[#This Row],[FECHA]],"dd/mm/yyyy"))</f>
        <v>SILVA BORDA, ARLETTE NINOSKA24/09/2025</v>
      </c>
      <c r="K127" t="s">
        <v>291</v>
      </c>
      <c r="L127" s="66">
        <v>0.3125</v>
      </c>
    </row>
    <row r="128" spans="2:12" hidden="1" x14ac:dyDescent="0.25">
      <c r="B128" s="5">
        <v>45924</v>
      </c>
      <c r="C128" s="2" t="str">
        <f>_xlfn.XLOOKUP(ENTREGA[[#This Row],[DESCRIPCION PRODUCTO]],PRODUCTOS!$C$8:$C$1853,PRODUCTOS!$B$8:$B$1853,"")</f>
        <v>UE-31</v>
      </c>
      <c r="D128" t="s">
        <v>185</v>
      </c>
      <c r="E128" s="2">
        <v>1</v>
      </c>
      <c r="F128" s="2" t="s">
        <v>96</v>
      </c>
      <c r="G128" s="22" t="s">
        <v>256</v>
      </c>
      <c r="H128" s="22" t="s">
        <v>236</v>
      </c>
      <c r="I128" t="s">
        <v>364</v>
      </c>
      <c r="J128" t="str">
        <f>CONCATENATE(ENTREGA[[#This Row],[A QUIEN SE ENTRGA]],"",TEXT(ENTREGA[[#This Row],[FECHA]],"dd/mm/yyyy"))</f>
        <v>SILVA BORDA, ARLETTE NINOSKA24/09/2025</v>
      </c>
      <c r="K128" t="s">
        <v>291</v>
      </c>
      <c r="L128" s="66">
        <v>0.3125</v>
      </c>
    </row>
    <row r="129" spans="2:12" hidden="1" x14ac:dyDescent="0.25">
      <c r="B129" s="5">
        <v>45924</v>
      </c>
      <c r="C129" s="2" t="str">
        <f>_xlfn.XLOOKUP(ENTREGA[[#This Row],[DESCRIPCION PRODUCTO]],PRODUCTOS!$C$8:$C$1853,PRODUCTOS!$B$8:$B$1853,"")</f>
        <v>UE-32</v>
      </c>
      <c r="D129" t="s">
        <v>186</v>
      </c>
      <c r="E129" s="2">
        <v>1</v>
      </c>
      <c r="F129" s="2" t="s">
        <v>38</v>
      </c>
      <c r="G129" s="22" t="s">
        <v>256</v>
      </c>
      <c r="H129" s="22" t="s">
        <v>236</v>
      </c>
      <c r="I129" t="s">
        <v>364</v>
      </c>
      <c r="J129" t="str">
        <f>CONCATENATE(ENTREGA[[#This Row],[A QUIEN SE ENTRGA]],"",TEXT(ENTREGA[[#This Row],[FECHA]],"dd/mm/yyyy"))</f>
        <v>SILVA BORDA, ARLETTE NINOSKA24/09/2025</v>
      </c>
      <c r="K129" t="s">
        <v>291</v>
      </c>
      <c r="L129" s="66">
        <v>0.3125</v>
      </c>
    </row>
    <row r="130" spans="2:12" hidden="1" x14ac:dyDescent="0.25">
      <c r="B130" s="5">
        <v>45923</v>
      </c>
      <c r="C130" s="2" t="str">
        <f>_xlfn.XLOOKUP(ENTREGA[[#This Row],[DESCRIPCION PRODUCTO]],PRODUCTOS!$C$8:$C$1853,PRODUCTOS!$B$8:$B$1853,"")</f>
        <v>UE-31</v>
      </c>
      <c r="D130" t="s">
        <v>185</v>
      </c>
      <c r="E130" s="2">
        <v>1</v>
      </c>
      <c r="F130" s="2" t="s">
        <v>38</v>
      </c>
      <c r="G130" s="22" t="s">
        <v>253</v>
      </c>
      <c r="H130" s="22" t="s">
        <v>236</v>
      </c>
      <c r="I130" t="s">
        <v>364</v>
      </c>
      <c r="J130" t="str">
        <f>CONCATENATE(ENTREGA[[#This Row],[A QUIEN SE ENTRGA]],"",TEXT(ENTREGA[[#This Row],[FECHA]],"dd/mm/yyyy"))</f>
        <v>ALEJO CHARCA, DENNYS MIRIAM23/09/2025</v>
      </c>
      <c r="K130" t="s">
        <v>291</v>
      </c>
    </row>
    <row r="131" spans="2:12" hidden="1" x14ac:dyDescent="0.25">
      <c r="B131" s="5">
        <v>45924</v>
      </c>
      <c r="C131" s="2" t="str">
        <f>_xlfn.XLOOKUP(ENTREGA[[#This Row],[DESCRIPCION PRODUCTO]],PRODUCTOS!$C$8:$C$1853,PRODUCTOS!$B$8:$B$1853,"")</f>
        <v>UE-57</v>
      </c>
      <c r="D131" t="s">
        <v>368</v>
      </c>
      <c r="E131" s="2">
        <v>1</v>
      </c>
      <c r="F131" s="2" t="s">
        <v>38</v>
      </c>
      <c r="G131" s="22" t="s">
        <v>253</v>
      </c>
      <c r="H131" s="22" t="s">
        <v>270</v>
      </c>
      <c r="I131" t="s">
        <v>364</v>
      </c>
      <c r="J131" t="str">
        <f>CONCATENATE(ENTREGA[[#This Row],[A QUIEN SE ENTRGA]],"",TEXT(ENTREGA[[#This Row],[FECHA]],"dd/mm/yyyy"))</f>
        <v>ALEJO CHARCA, DENNYS MIRIAM24/09/2025</v>
      </c>
      <c r="K131" t="s">
        <v>291</v>
      </c>
      <c r="L131" s="66">
        <v>0.33333333333333331</v>
      </c>
    </row>
    <row r="132" spans="2:12" hidden="1" x14ac:dyDescent="0.25">
      <c r="C132" s="2" t="str">
        <f>_xlfn.XLOOKUP(ENTREGA[[#This Row],[DESCRIPCION PRODUCTO]],PRODUCTOS!$C$8:$C$1853,PRODUCTOS!$B$8:$B$1853,"")</f>
        <v>-1</v>
      </c>
      <c r="E132" s="2"/>
      <c r="F132" s="2"/>
      <c r="G132" s="22"/>
      <c r="H132" s="22"/>
      <c r="J132" t="str">
        <f>CONCATENATE(ENTREGA[[#This Row],[A QUIEN SE ENTRGA]],"",TEXT(ENTREGA[[#This Row],[FECHA]],"dd/mm/yyyy"))</f>
        <v>00/01/1900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797CF06-AB01-452E-9F73-DDB7A0F85EA9}">
          <x14:formula1>
            <xm:f>DATOS!$J$2:$J$12</xm:f>
          </x14:formula1>
          <xm:sqref>H9:H132</xm:sqref>
        </x14:dataValidation>
        <x14:dataValidation type="list" allowBlank="1" showInputMessage="1" showErrorMessage="1" xr:uid="{FC586F25-4B9A-4265-94A4-A0BCFD97FC2B}">
          <x14:formula1>
            <xm:f>Hoja3!$K$1:$K$9</xm:f>
          </x14:formula1>
          <xm:sqref>K9:K132</xm:sqref>
        </x14:dataValidation>
        <x14:dataValidation type="list" allowBlank="1" showInputMessage="1" showErrorMessage="1" xr:uid="{2AB9E26E-198A-45F2-B351-8697CB5B6D43}">
          <x14:formula1>
            <xm:f>DATOS!$B$2:$B$1600</xm:f>
          </x14:formula1>
          <xm:sqref>G9:G132</xm:sqref>
        </x14:dataValidation>
        <x14:dataValidation type="list" allowBlank="1" showInputMessage="1" showErrorMessage="1" xr:uid="{3AEBBE6F-A628-4C93-90E5-1B3BF9F8AF57}">
          <x14:formula1>
            <xm:f>PRODUCTOS!$C$8:$C$1048576</xm:f>
          </x14:formula1>
          <xm:sqref>D9:D132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F31C-C251-4792-BFE6-7B8D4977ACBD}">
  <sheetPr codeName="Hoja6">
    <pageSetUpPr fitToPage="1"/>
  </sheetPr>
  <dimension ref="A1:I52"/>
  <sheetViews>
    <sheetView showGridLines="0" zoomScaleNormal="100" workbookViewId="0">
      <selection activeCell="G28" sqref="G28"/>
    </sheetView>
  </sheetViews>
  <sheetFormatPr baseColWidth="10" defaultRowHeight="15" x14ac:dyDescent="0.25"/>
  <cols>
    <col min="1" max="1" width="6.7109375" customWidth="1"/>
    <col min="2" max="2" width="13.42578125" customWidth="1"/>
    <col min="3" max="3" width="48.28515625" customWidth="1"/>
    <col min="4" max="4" width="15.140625" customWidth="1"/>
    <col min="5" max="5" width="15.5703125" customWidth="1"/>
    <col min="9" max="9" width="12.28515625" customWidth="1"/>
  </cols>
  <sheetData>
    <row r="1" spans="1:9" ht="25.15" customHeight="1" x14ac:dyDescent="0.25">
      <c r="A1" s="10"/>
      <c r="B1" s="48" t="s">
        <v>231</v>
      </c>
      <c r="C1" s="10"/>
      <c r="D1" s="10"/>
      <c r="E1" s="10"/>
    </row>
    <row r="2" spans="1:9" ht="18" customHeight="1" x14ac:dyDescent="0.25">
      <c r="B2" t="s">
        <v>232</v>
      </c>
    </row>
    <row r="3" spans="1:9" ht="9" customHeight="1" thickBot="1" x14ac:dyDescent="0.3"/>
    <row r="4" spans="1:9" ht="15.75" thickBot="1" x14ac:dyDescent="0.3">
      <c r="B4" t="s">
        <v>229</v>
      </c>
      <c r="C4" s="65" t="s">
        <v>302</v>
      </c>
      <c r="D4" t="s">
        <v>233</v>
      </c>
      <c r="E4" s="49">
        <v>45922</v>
      </c>
      <c r="I4" s="32" t="str">
        <f>C4&amp;"-"&amp;TEXT(E4,"dd/mm/yyyy")</f>
        <v>QUISPE LIMACHE, ROGELIO -22/09/2025</v>
      </c>
    </row>
    <row r="5" spans="1:9" ht="15.75" thickBot="1" x14ac:dyDescent="0.3"/>
    <row r="6" spans="1:9" ht="15.75" thickBot="1" x14ac:dyDescent="0.3">
      <c r="B6" t="s">
        <v>230</v>
      </c>
      <c r="C6" s="65" t="s">
        <v>236</v>
      </c>
    </row>
    <row r="7" spans="1:9" ht="6" customHeight="1" x14ac:dyDescent="0.25">
      <c r="C7" s="29"/>
    </row>
    <row r="8" spans="1:9" ht="6" customHeight="1" x14ac:dyDescent="0.25"/>
    <row r="9" spans="1:9" ht="36" customHeight="1" thickBot="1" x14ac:dyDescent="0.3">
      <c r="A9" s="45" t="s">
        <v>219</v>
      </c>
      <c r="B9" s="46" t="s">
        <v>222</v>
      </c>
      <c r="C9" s="46" t="s">
        <v>225</v>
      </c>
      <c r="D9" s="46" t="s">
        <v>13</v>
      </c>
      <c r="E9" s="47" t="s">
        <v>38</v>
      </c>
    </row>
    <row r="10" spans="1:9" ht="19.899999999999999" customHeight="1" x14ac:dyDescent="0.25">
      <c r="A10" s="33">
        <v>1</v>
      </c>
      <c r="B10" s="34" t="str" cm="1">
        <f t="array" ref="B10:E17">_xlfn._xlws.FILTER(_xlfn.CHOOSECOLS(Tabla2[],2,3,8,6),Tabla2[formula]=I4)</f>
        <v>IS-1</v>
      </c>
      <c r="C10" s="35" t="str">
        <v>Pantalon jeans varon  M/Jusbrend T/34</v>
      </c>
      <c r="D10" s="34">
        <v>-1</v>
      </c>
      <c r="E10" s="36" t="str">
        <v>UNI</v>
      </c>
    </row>
    <row r="11" spans="1:9" ht="19.899999999999999" customHeight="1" x14ac:dyDescent="0.25">
      <c r="A11" s="37">
        <v>2</v>
      </c>
      <c r="B11" s="38" t="str">
        <v>IS-36</v>
      </c>
      <c r="C11" s="39" t="str">
        <v>Poleras manga larga ploma</v>
      </c>
      <c r="D11" s="38">
        <v>-2</v>
      </c>
      <c r="E11" s="40" t="str">
        <v>UNI</v>
      </c>
    </row>
    <row r="12" spans="1:9" ht="19.899999999999999" customHeight="1" x14ac:dyDescent="0.25">
      <c r="A12" s="37">
        <v>3</v>
      </c>
      <c r="B12" s="38" t="str">
        <v>IS-33</v>
      </c>
      <c r="C12" s="39" t="str">
        <v>Chaleco drill T/XXL</v>
      </c>
      <c r="D12" s="38">
        <v>-1</v>
      </c>
      <c r="E12" s="40" t="str">
        <v>UNI</v>
      </c>
    </row>
    <row r="13" spans="1:9" ht="19.899999999999999" customHeight="1" x14ac:dyDescent="0.25">
      <c r="A13" s="37">
        <v>4</v>
      </c>
      <c r="B13" s="38" t="str">
        <v>IS-17</v>
      </c>
      <c r="C13" s="39" t="str">
        <v>Zapato de seguridad Hunter T/42</v>
      </c>
      <c r="D13" s="38">
        <v>-1</v>
      </c>
      <c r="E13" s="40" t="str">
        <v>PAR</v>
      </c>
    </row>
    <row r="14" spans="1:9" ht="19.899999999999999" customHeight="1" x14ac:dyDescent="0.25">
      <c r="A14" s="37">
        <v>5</v>
      </c>
      <c r="B14" s="38" t="str">
        <v>IS-28</v>
      </c>
      <c r="C14" s="39" t="str">
        <v>Lentes de seguridad luna oscura Clute/Astros</v>
      </c>
      <c r="D14" s="38">
        <v>-1</v>
      </c>
      <c r="E14" s="40" t="str">
        <v>UNI</v>
      </c>
    </row>
    <row r="15" spans="1:9" ht="19.899999999999999" customHeight="1" x14ac:dyDescent="0.25">
      <c r="A15" s="37">
        <v>6</v>
      </c>
      <c r="B15" s="38" t="str">
        <v>IS-30</v>
      </c>
      <c r="C15" s="39" t="str">
        <v>Guantes de seguridad Winsafety T/8</v>
      </c>
      <c r="D15" s="38">
        <v>-1</v>
      </c>
      <c r="E15" s="40" t="str">
        <v>UNI</v>
      </c>
    </row>
    <row r="16" spans="1:9" ht="19.899999999999999" customHeight="1" x14ac:dyDescent="0.25">
      <c r="A16" s="37">
        <v>7</v>
      </c>
      <c r="B16" s="38" t="str">
        <v>IS-20</v>
      </c>
      <c r="C16" s="39" t="str">
        <v>Casco de seguridad azul Asthers</v>
      </c>
      <c r="D16" s="38">
        <v>-1</v>
      </c>
      <c r="E16" s="40" t="str">
        <v>UNI</v>
      </c>
    </row>
    <row r="17" spans="1:5" ht="19.899999999999999" customHeight="1" x14ac:dyDescent="0.25">
      <c r="A17" s="37">
        <v>8</v>
      </c>
      <c r="B17" s="38" t="str">
        <v>IS-14</v>
      </c>
      <c r="C17" s="39" t="str">
        <v>Cortaviento diferentes colores</v>
      </c>
      <c r="D17" s="38">
        <v>-1</v>
      </c>
      <c r="E17" s="40" t="str">
        <v>UNI</v>
      </c>
    </row>
    <row r="18" spans="1:5" ht="19.899999999999999" customHeight="1" x14ac:dyDescent="0.25">
      <c r="A18" s="37">
        <v>9</v>
      </c>
      <c r="B18" s="38"/>
      <c r="C18" s="39"/>
      <c r="D18" s="38"/>
      <c r="E18" s="40"/>
    </row>
    <row r="19" spans="1:5" ht="19.899999999999999" customHeight="1" thickBot="1" x14ac:dyDescent="0.3">
      <c r="A19" s="41">
        <v>10</v>
      </c>
      <c r="B19" s="42"/>
      <c r="C19" s="43"/>
      <c r="D19" s="42"/>
      <c r="E19" s="44"/>
    </row>
    <row r="20" spans="1:5" ht="10.15" customHeight="1" x14ac:dyDescent="0.25"/>
    <row r="21" spans="1:5" ht="10.15" customHeight="1" x14ac:dyDescent="0.25"/>
    <row r="22" spans="1:5" ht="10.15" customHeight="1" x14ac:dyDescent="0.25"/>
    <row r="23" spans="1:5" ht="10.15" customHeight="1" x14ac:dyDescent="0.25"/>
    <row r="24" spans="1:5" ht="10.9" customHeight="1" x14ac:dyDescent="0.25"/>
    <row r="25" spans="1:5" x14ac:dyDescent="0.25">
      <c r="B25" t="s">
        <v>234</v>
      </c>
      <c r="D25" t="s">
        <v>235</v>
      </c>
    </row>
    <row r="28" spans="1:5" ht="35.450000000000003" customHeight="1" x14ac:dyDescent="0.25">
      <c r="A28" s="10"/>
      <c r="B28" s="48" t="s">
        <v>231</v>
      </c>
      <c r="C28" s="10"/>
      <c r="D28" s="10"/>
      <c r="E28" s="10"/>
    </row>
    <row r="29" spans="1:5" ht="18" customHeight="1" x14ac:dyDescent="0.25">
      <c r="B29" t="s">
        <v>232</v>
      </c>
    </row>
    <row r="30" spans="1:5" ht="9" customHeight="1" thickBot="1" x14ac:dyDescent="0.3"/>
    <row r="31" spans="1:5" ht="15" customHeight="1" thickBot="1" x14ac:dyDescent="0.3">
      <c r="B31" t="s">
        <v>229</v>
      </c>
      <c r="C31" s="65" t="str">
        <f>C4</f>
        <v xml:space="preserve">QUISPE LIMACHE, ROGELIO </v>
      </c>
      <c r="D31" t="s">
        <v>233</v>
      </c>
      <c r="E31" s="49">
        <f>E4</f>
        <v>45922</v>
      </c>
    </row>
    <row r="32" spans="1:5" ht="15.75" thickBot="1" x14ac:dyDescent="0.3"/>
    <row r="33" spans="1:5" ht="15" customHeight="1" thickBot="1" x14ac:dyDescent="0.3">
      <c r="B33" t="s">
        <v>230</v>
      </c>
      <c r="C33" s="65" t="str">
        <f>C6</f>
        <v>NAVARRO LOZANO, ANGEL JAROL</v>
      </c>
    </row>
    <row r="34" spans="1:5" ht="6" customHeight="1" x14ac:dyDescent="0.25">
      <c r="C34" s="29"/>
    </row>
    <row r="35" spans="1:5" ht="6" customHeight="1" x14ac:dyDescent="0.25"/>
    <row r="36" spans="1:5" ht="30.75" thickBot="1" x14ac:dyDescent="0.3">
      <c r="A36" s="45" t="s">
        <v>219</v>
      </c>
      <c r="B36" s="46" t="s">
        <v>222</v>
      </c>
      <c r="C36" s="46" t="s">
        <v>225</v>
      </c>
      <c r="D36" s="46" t="s">
        <v>13</v>
      </c>
      <c r="E36" s="47" t="s">
        <v>38</v>
      </c>
    </row>
    <row r="37" spans="1:5" ht="19.899999999999999" customHeight="1" x14ac:dyDescent="0.25">
      <c r="A37" s="33">
        <v>1</v>
      </c>
      <c r="B37" s="34" t="str" cm="1">
        <f t="array" ref="B37:E44">_xlfn._xlws.FILTER(_xlfn.CHOOSECOLS(Tabla2[],2,3,8,6),Tabla2[formula]=I4)</f>
        <v>IS-1</v>
      </c>
      <c r="C37" s="35" t="str">
        <v>Pantalon jeans varon  M/Jusbrend T/34</v>
      </c>
      <c r="D37" s="34">
        <v>-1</v>
      </c>
      <c r="E37" s="36" t="str">
        <v>UNI</v>
      </c>
    </row>
    <row r="38" spans="1:5" ht="19.899999999999999" customHeight="1" x14ac:dyDescent="0.25">
      <c r="A38" s="37">
        <v>2</v>
      </c>
      <c r="B38" s="38" t="str">
        <v>IS-36</v>
      </c>
      <c r="C38" s="39" t="str">
        <v>Poleras manga larga ploma</v>
      </c>
      <c r="D38" s="38">
        <v>-2</v>
      </c>
      <c r="E38" s="40" t="str">
        <v>UNI</v>
      </c>
    </row>
    <row r="39" spans="1:5" ht="19.899999999999999" customHeight="1" x14ac:dyDescent="0.25">
      <c r="A39" s="37">
        <v>3</v>
      </c>
      <c r="B39" s="38" t="str">
        <v>IS-33</v>
      </c>
      <c r="C39" s="39" t="str">
        <v>Chaleco drill T/XXL</v>
      </c>
      <c r="D39" s="38">
        <v>-1</v>
      </c>
      <c r="E39" s="40" t="str">
        <v>UNI</v>
      </c>
    </row>
    <row r="40" spans="1:5" ht="19.899999999999999" customHeight="1" x14ac:dyDescent="0.25">
      <c r="A40" s="37">
        <v>4</v>
      </c>
      <c r="B40" s="38" t="str">
        <v>IS-17</v>
      </c>
      <c r="C40" s="39" t="str">
        <v>Zapato de seguridad Hunter T/42</v>
      </c>
      <c r="D40" s="38">
        <v>-1</v>
      </c>
      <c r="E40" s="40" t="str">
        <v>PAR</v>
      </c>
    </row>
    <row r="41" spans="1:5" ht="19.899999999999999" customHeight="1" x14ac:dyDescent="0.25">
      <c r="A41" s="37">
        <v>5</v>
      </c>
      <c r="B41" s="38" t="str">
        <v>IS-28</v>
      </c>
      <c r="C41" s="39" t="str">
        <v>Lentes de seguridad luna oscura Clute/Astros</v>
      </c>
      <c r="D41" s="38">
        <v>-1</v>
      </c>
      <c r="E41" s="40" t="str">
        <v>UNI</v>
      </c>
    </row>
    <row r="42" spans="1:5" ht="19.899999999999999" customHeight="1" x14ac:dyDescent="0.25">
      <c r="A42" s="37">
        <v>6</v>
      </c>
      <c r="B42" s="38" t="str">
        <v>IS-30</v>
      </c>
      <c r="C42" s="39" t="str">
        <v>Guantes de seguridad Winsafety T/8</v>
      </c>
      <c r="D42" s="38">
        <v>-1</v>
      </c>
      <c r="E42" s="40" t="str">
        <v>UNI</v>
      </c>
    </row>
    <row r="43" spans="1:5" ht="19.899999999999999" customHeight="1" x14ac:dyDescent="0.25">
      <c r="A43" s="37">
        <v>7</v>
      </c>
      <c r="B43" s="38" t="str">
        <v>IS-20</v>
      </c>
      <c r="C43" s="39" t="str">
        <v>Casco de seguridad azul Asthers</v>
      </c>
      <c r="D43" s="38">
        <v>-1</v>
      </c>
      <c r="E43" s="40" t="str">
        <v>UNI</v>
      </c>
    </row>
    <row r="44" spans="1:5" ht="19.899999999999999" customHeight="1" x14ac:dyDescent="0.25">
      <c r="A44" s="37">
        <v>8</v>
      </c>
      <c r="B44" s="38" t="str">
        <v>IS-14</v>
      </c>
      <c r="C44" s="39" t="str">
        <v>Cortaviento diferentes colores</v>
      </c>
      <c r="D44" s="38">
        <v>-1</v>
      </c>
      <c r="E44" s="40" t="str">
        <v>UNI</v>
      </c>
    </row>
    <row r="45" spans="1:5" ht="19.899999999999999" customHeight="1" x14ac:dyDescent="0.25">
      <c r="A45" s="37">
        <v>9</v>
      </c>
      <c r="B45" s="38"/>
      <c r="C45" s="39"/>
      <c r="D45" s="38"/>
      <c r="E45" s="40"/>
    </row>
    <row r="46" spans="1:5" ht="19.899999999999999" customHeight="1" thickBot="1" x14ac:dyDescent="0.3">
      <c r="A46" s="41">
        <v>10</v>
      </c>
      <c r="B46" s="42"/>
      <c r="C46" s="43"/>
      <c r="D46" s="42"/>
      <c r="E46" s="44"/>
    </row>
    <row r="47" spans="1:5" ht="10.15" customHeight="1" x14ac:dyDescent="0.25"/>
    <row r="48" spans="1:5" ht="10.15" customHeight="1" x14ac:dyDescent="0.25"/>
    <row r="49" spans="2:4" ht="10.15" customHeight="1" x14ac:dyDescent="0.25"/>
    <row r="50" spans="2:4" ht="10.15" customHeight="1" x14ac:dyDescent="0.25"/>
    <row r="51" spans="2:4" ht="10.9" customHeight="1" x14ac:dyDescent="0.25"/>
    <row r="52" spans="2:4" x14ac:dyDescent="0.25">
      <c r="B52" t="s">
        <v>234</v>
      </c>
      <c r="D52" t="s">
        <v>235</v>
      </c>
    </row>
  </sheetData>
  <pageMargins left="0.59" right="0.48" top="0.31" bottom="0.2" header="0.14000000000000001" footer="0.2"/>
  <pageSetup paperSize="9" scale="88" fitToWidth="0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BBA8A92-2408-4EB1-99FF-145F7BC4BBBE}">
          <x14:formula1>
            <xm:f>'ENTREGA MATERIALES1'!$B$9:$B$1600</xm:f>
          </x14:formula1>
          <xm:sqref>E31</xm:sqref>
        </x14:dataValidation>
        <x14:dataValidation type="list" allowBlank="1" showInputMessage="1" showErrorMessage="1" xr:uid="{780862C7-C563-47CE-A571-DE3690D16087}">
          <x14:formula1>
            <xm:f>'ENTREGA MATERIALES1'!$G$9:$G$1500</xm:f>
          </x14:formula1>
          <xm:sqref>C31</xm:sqref>
        </x14:dataValidation>
        <x14:dataValidation type="list" allowBlank="1" showInputMessage="1" showErrorMessage="1" xr:uid="{3E7CB260-FC9C-48B8-9569-CF2CCE9E89C7}">
          <x14:formula1>
            <xm:f>DATOS!$J$2:$J$17</xm:f>
          </x14:formula1>
          <xm:sqref>C6:C7 C33:C34</xm:sqref>
        </x14:dataValidation>
        <x14:dataValidation type="list" allowBlank="1" showInputMessage="1" showErrorMessage="1" xr:uid="{FEDEFD7C-4444-40F9-99D6-AC0C3C7A0141}">
          <x14:formula1>
            <xm:f>'REGISTRO ENTRADAS Y SALIDAS'!$M$8:$M$1600</xm:f>
          </x14:formula1>
          <xm:sqref>C4</xm:sqref>
        </x14:dataValidation>
        <x14:dataValidation type="list" allowBlank="1" showInputMessage="1" showErrorMessage="1" xr:uid="{EE38B2CD-92A9-41D0-BD27-489555044C89}">
          <x14:formula1>
            <xm:f>'REGISTRO ENTRADAS Y SALIDAS'!$B$8:$B$1600</xm:f>
          </x14:formula1>
          <xm:sqref>E4</xm:sqref>
        </x14:dataValidation>
        <x14:dataValidation type="list" allowBlank="1" showInputMessage="1" showErrorMessage="1" xr:uid="{CC1D0E7A-C3DA-48E2-AF02-88BA5D952594}">
          <x14:formula1>
            <xm:f>'REGISTRO ENTRADAS Y SALIDAS'!$R$8:$R$1600</xm:f>
          </x14:formula1>
          <xm:sqref>I5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129B-2C86-415C-B0A1-D36D5DD416DC}">
  <dimension ref="B2:K7"/>
  <sheetViews>
    <sheetView workbookViewId="0">
      <selection activeCell="C2" sqref="C2"/>
    </sheetView>
  </sheetViews>
  <sheetFormatPr baseColWidth="10" defaultRowHeight="15" x14ac:dyDescent="0.25"/>
  <cols>
    <col min="3" max="3" width="19.5703125" customWidth="1"/>
    <col min="4" max="4" width="18" customWidth="1"/>
  </cols>
  <sheetData>
    <row r="2" spans="2:11" x14ac:dyDescent="0.25">
      <c r="B2" t="s">
        <v>465</v>
      </c>
      <c r="C2" t="s">
        <v>240</v>
      </c>
      <c r="G2" t="s">
        <v>466</v>
      </c>
      <c r="H2" s="5">
        <v>45929</v>
      </c>
    </row>
    <row r="3" spans="2:11" x14ac:dyDescent="0.25">
      <c r="K3" t="str">
        <f>CONCATENATE(C2,"",TEXT(H2,"dd/mm/yyyy"))</f>
        <v>LOZANO MALDONADO, HERNAN29/09/2025</v>
      </c>
    </row>
    <row r="4" spans="2:11" x14ac:dyDescent="0.25">
      <c r="I4" s="5"/>
    </row>
    <row r="6" spans="2:11" x14ac:dyDescent="0.25">
      <c r="B6" s="68" t="s">
        <v>0</v>
      </c>
      <c r="C6" s="68" t="s">
        <v>1</v>
      </c>
      <c r="D6" s="68" t="s">
        <v>13</v>
      </c>
      <c r="E6" s="68" t="s">
        <v>3</v>
      </c>
    </row>
    <row r="7" spans="2:11" x14ac:dyDescent="0.25">
      <c r="B7" t="e" cm="1" vm="1">
        <f t="array" ref="B7">_xlfn._xlws.FILTER(_xlfn.CHOOSECOLS(Tabla2[],2,3,7,6),Tabla2[formula]=Hoja2!K3)</f>
        <v>#VALUE!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1BF7578-9FBF-42E5-ACCC-D6919E6F5C28}">
          <x14:formula1>
            <xm:f>'REGISTRO ENTRADAS Y SALIDAS'!$M$8:$M$1500</xm:f>
          </x14:formula1>
          <xm:sqref>C4</xm:sqref>
        </x14:dataValidation>
        <x14:dataValidation type="list" allowBlank="1" showInputMessage="1" showErrorMessage="1" xr:uid="{52CEA100-DE9E-48E1-8D13-F6E29B4909EE}">
          <x14:formula1>
            <xm:f>'REGISTRO ENTRADAS Y SALIDAS'!$B$8:$B$1500</xm:f>
          </x14:formula1>
          <xm:sqref>I4</xm:sqref>
        </x14:dataValidation>
        <x14:dataValidation type="list" allowBlank="1" showInputMessage="1" showErrorMessage="1" xr:uid="{E46EBC5F-7422-4AB7-AF75-3413A4AE9017}">
          <x14:formula1>
            <xm:f>'REGISTRO ENTRADAS Y SALIDAS'!$M$8:$M$1600</xm:f>
          </x14:formula1>
          <xm:sqref>C2</xm:sqref>
        </x14:dataValidation>
        <x14:dataValidation type="list" allowBlank="1" showInputMessage="1" showErrorMessage="1" xr:uid="{E648757A-4E1F-448C-A305-08D637718F05}">
          <x14:formula1>
            <xm:f>'REGISTRO ENTRADAS Y SALIDAS'!$B$8:$B$1600</xm:f>
          </x14:formula1>
          <xm:sqref>H2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3B26-324E-46A8-ACE9-962E7D9E18C5}">
  <sheetPr codeName="Hoja2"/>
  <dimension ref="A1:O22"/>
  <sheetViews>
    <sheetView workbookViewId="0">
      <selection activeCell="D13" sqref="D13"/>
    </sheetView>
  </sheetViews>
  <sheetFormatPr baseColWidth="10" defaultRowHeight="15" x14ac:dyDescent="0.25"/>
  <cols>
    <col min="1" max="1" width="28.85546875" customWidth="1"/>
    <col min="2" max="2" width="16.28515625" customWidth="1"/>
    <col min="12" max="12" width="28.42578125" customWidth="1"/>
    <col min="13" max="13" width="22.85546875" customWidth="1"/>
    <col min="14" max="14" width="14.42578125" customWidth="1"/>
  </cols>
  <sheetData>
    <row r="1" spans="1:15" x14ac:dyDescent="0.25">
      <c r="A1" t="s">
        <v>2</v>
      </c>
      <c r="D1" t="s">
        <v>3</v>
      </c>
      <c r="E1" t="s">
        <v>43</v>
      </c>
      <c r="G1" t="s">
        <v>7</v>
      </c>
      <c r="I1" t="s">
        <v>8</v>
      </c>
      <c r="K1" t="s">
        <v>290</v>
      </c>
    </row>
    <row r="2" spans="1:15" x14ac:dyDescent="0.25">
      <c r="A2" t="s">
        <v>21</v>
      </c>
      <c r="B2" t="s">
        <v>107</v>
      </c>
      <c r="D2" t="s">
        <v>28</v>
      </c>
      <c r="E2" t="s">
        <v>28</v>
      </c>
      <c r="G2" t="s">
        <v>44</v>
      </c>
      <c r="I2" t="s">
        <v>46</v>
      </c>
      <c r="K2" t="s">
        <v>291</v>
      </c>
    </row>
    <row r="3" spans="1:15" x14ac:dyDescent="0.25">
      <c r="A3" t="s">
        <v>17</v>
      </c>
      <c r="B3" t="s">
        <v>112</v>
      </c>
      <c r="D3" t="s">
        <v>29</v>
      </c>
      <c r="E3" t="s">
        <v>36</v>
      </c>
      <c r="G3" t="s">
        <v>45</v>
      </c>
      <c r="I3" t="s">
        <v>47</v>
      </c>
      <c r="O3" s="15"/>
    </row>
    <row r="4" spans="1:15" x14ac:dyDescent="0.25">
      <c r="A4" t="s">
        <v>18</v>
      </c>
      <c r="B4" t="s">
        <v>110</v>
      </c>
      <c r="D4" t="s">
        <v>30</v>
      </c>
      <c r="E4" t="s">
        <v>37</v>
      </c>
    </row>
    <row r="5" spans="1:15" x14ac:dyDescent="0.25">
      <c r="A5" t="s">
        <v>19</v>
      </c>
      <c r="B5" t="s">
        <v>118</v>
      </c>
      <c r="D5" t="s">
        <v>3</v>
      </c>
      <c r="E5" t="s">
        <v>38</v>
      </c>
    </row>
    <row r="6" spans="1:15" x14ac:dyDescent="0.25">
      <c r="A6" t="s">
        <v>24</v>
      </c>
      <c r="B6" t="s">
        <v>119</v>
      </c>
      <c r="D6" t="s">
        <v>31</v>
      </c>
      <c r="E6" t="s">
        <v>39</v>
      </c>
    </row>
    <row r="7" spans="1:15" x14ac:dyDescent="0.25">
      <c r="A7" t="s">
        <v>20</v>
      </c>
      <c r="B7" t="s">
        <v>113</v>
      </c>
      <c r="D7" t="s">
        <v>32</v>
      </c>
      <c r="E7" t="s">
        <v>32</v>
      </c>
    </row>
    <row r="8" spans="1:15" x14ac:dyDescent="0.25">
      <c r="A8" t="s">
        <v>22</v>
      </c>
      <c r="B8" t="s">
        <v>109</v>
      </c>
      <c r="D8" t="s">
        <v>33</v>
      </c>
      <c r="E8" t="s">
        <v>40</v>
      </c>
    </row>
    <row r="9" spans="1:15" x14ac:dyDescent="0.25">
      <c r="A9" t="s">
        <v>23</v>
      </c>
      <c r="B9" t="s">
        <v>114</v>
      </c>
      <c r="D9" t="s">
        <v>34</v>
      </c>
      <c r="E9" t="s">
        <v>41</v>
      </c>
    </row>
    <row r="10" spans="1:15" x14ac:dyDescent="0.25">
      <c r="A10" t="s">
        <v>486</v>
      </c>
      <c r="B10" t="s">
        <v>115</v>
      </c>
      <c r="D10" t="s">
        <v>35</v>
      </c>
      <c r="E10" t="s">
        <v>42</v>
      </c>
    </row>
    <row r="11" spans="1:15" x14ac:dyDescent="0.25">
      <c r="A11" t="s">
        <v>25</v>
      </c>
      <c r="B11" t="s">
        <v>116</v>
      </c>
      <c r="D11" t="s">
        <v>71</v>
      </c>
      <c r="E11" t="s">
        <v>72</v>
      </c>
    </row>
    <row r="12" spans="1:15" x14ac:dyDescent="0.25">
      <c r="A12" t="s">
        <v>26</v>
      </c>
      <c r="B12" t="s">
        <v>111</v>
      </c>
      <c r="D12" t="s">
        <v>95</v>
      </c>
      <c r="E12" t="s">
        <v>96</v>
      </c>
    </row>
    <row r="13" spans="1:15" x14ac:dyDescent="0.25">
      <c r="A13" t="s">
        <v>91</v>
      </c>
      <c r="B13" t="s">
        <v>120</v>
      </c>
      <c r="D13" t="s">
        <v>214</v>
      </c>
      <c r="E13" t="s">
        <v>215</v>
      </c>
    </row>
    <row r="14" spans="1:15" x14ac:dyDescent="0.25">
      <c r="A14" t="s">
        <v>27</v>
      </c>
      <c r="B14" t="s">
        <v>108</v>
      </c>
      <c r="D14" t="s">
        <v>332</v>
      </c>
      <c r="E14" t="s">
        <v>333</v>
      </c>
    </row>
    <row r="15" spans="1:15" x14ac:dyDescent="0.25">
      <c r="A15" t="s">
        <v>90</v>
      </c>
      <c r="B15" t="s">
        <v>117</v>
      </c>
    </row>
    <row r="16" spans="1:15" x14ac:dyDescent="0.25">
      <c r="A16" t="s">
        <v>133</v>
      </c>
      <c r="B16" t="s">
        <v>134</v>
      </c>
    </row>
    <row r="17" spans="1:2" x14ac:dyDescent="0.25">
      <c r="A17" t="s">
        <v>144</v>
      </c>
      <c r="B17" t="s">
        <v>145</v>
      </c>
    </row>
    <row r="18" spans="1:2" x14ac:dyDescent="0.25">
      <c r="A18" t="s">
        <v>148</v>
      </c>
      <c r="B18" t="s">
        <v>149</v>
      </c>
    </row>
    <row r="19" spans="1:2" x14ac:dyDescent="0.25">
      <c r="A19" t="s">
        <v>208</v>
      </c>
      <c r="B19" t="s">
        <v>209</v>
      </c>
    </row>
    <row r="20" spans="1:2" x14ac:dyDescent="0.25">
      <c r="A20" t="s">
        <v>355</v>
      </c>
      <c r="B20" t="s">
        <v>356</v>
      </c>
    </row>
    <row r="21" spans="1:2" x14ac:dyDescent="0.25">
      <c r="A21" t="s">
        <v>462</v>
      </c>
      <c r="B21" t="s">
        <v>463</v>
      </c>
    </row>
    <row r="22" spans="1:2" x14ac:dyDescent="0.25">
      <c r="A22" t="s">
        <v>511</v>
      </c>
      <c r="B22" t="s">
        <v>512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FA4A-E240-43F3-846A-75C3B0129D85}">
  <dimension ref="E1:J3"/>
  <sheetViews>
    <sheetView workbookViewId="0">
      <selection activeCell="L3" sqref="I3:L3"/>
    </sheetView>
  </sheetViews>
  <sheetFormatPr baseColWidth="10" defaultRowHeight="15" x14ac:dyDescent="0.25"/>
  <sheetData>
    <row r="1" spans="5:10" x14ac:dyDescent="0.25">
      <c r="E1" t="s">
        <v>473</v>
      </c>
    </row>
    <row r="3" spans="5:10" x14ac:dyDescent="0.25">
      <c r="J3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90D90-4E81-4284-A290-F7CDD1EC9BFC}">
          <x14:formula1>
            <xm:f>'REGISTRO ENTRADAS Y SALIDAS'!$R$8:$R$518</xm:f>
          </x14:formula1>
          <xm:sqref>E1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EC28F4-9897-47F8-B474-716664845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Hoja1</vt:lpstr>
      <vt:lpstr>DATOS</vt:lpstr>
      <vt:lpstr>PRODUCTOS</vt:lpstr>
      <vt:lpstr>REGISTRO ENTRADAS Y SALIDAS</vt:lpstr>
      <vt:lpstr>ENTREGA MATERIALES1</vt:lpstr>
      <vt:lpstr>FORMATO IMPRESION</vt:lpstr>
      <vt:lpstr>Hoja2</vt:lpstr>
      <vt:lpstr>Hoja3</vt:lpstr>
      <vt:lpstr>Hoja5</vt:lpstr>
      <vt:lpstr>'FORMATO IMPRESION'!Área_de_impresión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ALONSO ACUACHI LANCHIPA</dc:creator>
  <cp:lastModifiedBy>Marcell Reynoso</cp:lastModifiedBy>
  <cp:lastPrinted>2025-10-22T21:26:49Z</cp:lastPrinted>
  <dcterms:created xsi:type="dcterms:W3CDTF">2025-09-16T00:36:02Z</dcterms:created>
  <dcterms:modified xsi:type="dcterms:W3CDTF">2026-01-13T22:34:41Z</dcterms:modified>
</cp:coreProperties>
</file>