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CELL\source\repos\Planillas\"/>
    </mc:Choice>
  </mc:AlternateContent>
  <xr:revisionPtr revIDLastSave="0" documentId="13_ncr:1_{CE895CBE-7980-495E-ACAC-E7835F7BA432}" xr6:coauthVersionLast="47" xr6:coauthVersionMax="47" xr10:uidLastSave="{00000000-0000-0000-0000-000000000000}"/>
  <bookViews>
    <workbookView xWindow="-120" yWindow="-120" windowWidth="29040" windowHeight="15720" firstSheet="1" activeTab="13" xr2:uid="{E9400F9B-6D65-4E81-A20B-E63258FAFCDA}"/>
  </bookViews>
  <sheets>
    <sheet name="DATOS GRALES" sheetId="2" state="hidden" r:id="rId1"/>
    <sheet name="DATOS GRALES 1" sheetId="9" r:id="rId2"/>
    <sheet name="Hoja1" sheetId="10" state="hidden" r:id="rId3"/>
    <sheet name="CONTROL ASISTENCIA" sheetId="1" state="hidden" r:id="rId4"/>
    <sheet name="FORMATO" sheetId="3" state="hidden" r:id="rId5"/>
    <sheet name="TAREO HORAS EXTRAS" sheetId="6" r:id="rId6"/>
    <sheet name="formulas" sheetId="7" state="hidden" r:id="rId7"/>
    <sheet name="ASISTENCIA KRAMER1" sheetId="4" state="hidden" r:id="rId8"/>
    <sheet name="MESES" sheetId="5" state="hidden" r:id="rId9"/>
    <sheet name="ASISTENCIA 2 (2)" sheetId="8" state="hidden" r:id="rId10"/>
    <sheet name="ASISTENCIA OCTUBRE" sheetId="12" r:id="rId11"/>
    <sheet name="SET - OCT" sheetId="13" r:id="rId12"/>
    <sheet name="OCT - NOV" sheetId="14" r:id="rId13"/>
    <sheet name="NOV - DIC" sheetId="15" r:id="rId14"/>
  </sheets>
  <definedNames>
    <definedName name="_Datos" localSheetId="9">'ASISTENCIA 2 (2)'!$G1:$AK1</definedName>
    <definedName name="_Datos" localSheetId="10">'ASISTENCIA OCTUBRE'!$I1:$AM1</definedName>
    <definedName name="_Datos" localSheetId="5">'TAREO HORAS EXTRAS'!$G1:$AK1</definedName>
    <definedName name="_Fechafinal" localSheetId="11">'SET - OCT'!$AX$9</definedName>
    <definedName name="_Fechainicial" localSheetId="9">'ASISTENCIA 2 (2)'!A$8</definedName>
    <definedName name="_Fechainicial" localSheetId="10">'ASISTENCIA OCTUBRE'!A$8</definedName>
    <definedName name="_Fechainicial" localSheetId="5">'TAREO HORAS EXTRAS'!A$8</definedName>
    <definedName name="_Fechainicial1" localSheetId="12">'SET - OCT'!A$9</definedName>
    <definedName name="_Fechainicial1" localSheetId="11">'SET - OCT'!A$9</definedName>
    <definedName name="_FECHAINICIAL2" localSheetId="13">'OCT - NOV'!A$9</definedName>
    <definedName name="_FECHAINICIAL2" localSheetId="12">'OCT - NOV'!A$9</definedName>
    <definedName name="_FECHAINICIAL3" localSheetId="13">'NOV - DIC'!A$9</definedName>
    <definedName name="_FechaSiguiente" localSheetId="9">'ASISTENCIA 2 (2)'!B$8</definedName>
    <definedName name="_FechaSiguiente" localSheetId="10">'ASISTENCIA OCTUBRE'!B$8</definedName>
    <definedName name="_Fechasiguiente" localSheetId="12">'SET - OCT'!B$9</definedName>
    <definedName name="_Fechasiguiente" localSheetId="11">'SET - OCT'!B$9</definedName>
    <definedName name="_FechaSiguiente" localSheetId="5">'TAREO HORAS EXTRAS'!B$8</definedName>
    <definedName name="_FECHASIGUIENTE2" localSheetId="13">'OCT - NOV'!B$9</definedName>
    <definedName name="_FECHASIGUIENTE2" localSheetId="12">'OCT - NOV'!B$9</definedName>
    <definedName name="_FECHASIGUIENTE3" localSheetId="13">'NOV - DIC'!B$9</definedName>
    <definedName name="_HorasExtras" localSheetId="9">'ASISTENCIA 2 (2)'!$AO$4</definedName>
    <definedName name="_HorasExtras" localSheetId="10">'ASISTENCIA OCTUBRE'!$AQ$4</definedName>
    <definedName name="_HorasExtras" localSheetId="5">'TAREO HORAS EXTRAS'!$AO$4</definedName>
    <definedName name="_NOMBRES" localSheetId="5">DATOS[NOMBRES]</definedName>
    <definedName name="_PorEncimade" localSheetId="9">'ASISTENCIA 2 (2)'!$AO$6</definedName>
    <definedName name="_PorEncimade" localSheetId="10">'ASISTENCIA OCTUBRE'!$AQ$6</definedName>
    <definedName name="_PorEncimade" localSheetId="5">'TAREO HORAS EXTRAS'!$AO$6</definedName>
    <definedName name="LMeses" localSheetId="9">TMESES[[MES ]]</definedName>
    <definedName name="LMeses" localSheetId="10">TMESES[[MES ]]</definedName>
    <definedName name="LMeses">TMESES[[MES ]]</definedName>
    <definedName name="nFestivos" localSheetId="9">tFestivos4[[#All],[Festivos]]</definedName>
    <definedName name="nFestivos" localSheetId="10">tFestivos46[[#All],[Festivos]]</definedName>
    <definedName name="nFestivos">tFestivos[[#All],[Festivos]]</definedName>
    <definedName name="_xlnm.Print_Titles" localSheetId="3">'CONTROL ASISTENCIA'!$4:$6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6" l="1"/>
  <c r="G23" i="12"/>
  <c r="G24" i="12"/>
  <c r="G15" i="12"/>
  <c r="G16" i="12"/>
  <c r="G17" i="12"/>
  <c r="G18" i="12"/>
  <c r="G19" i="12"/>
  <c r="G20" i="12"/>
  <c r="G21" i="12"/>
  <c r="G22" i="12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7" i="1"/>
  <c r="E24" i="8"/>
  <c r="E16" i="8"/>
  <c r="E17" i="8"/>
  <c r="E18" i="8"/>
  <c r="E19" i="8"/>
  <c r="E20" i="8"/>
  <c r="E21" i="8"/>
  <c r="E22" i="8"/>
  <c r="E15" i="8"/>
  <c r="BF27" i="14" l="1"/>
  <c r="BF32" i="14"/>
  <c r="BQ61" i="15"/>
  <c r="BB61" i="15"/>
  <c r="BA61" i="15"/>
  <c r="AZ61" i="15"/>
  <c r="BC61" i="15" s="1"/>
  <c r="D61" i="15"/>
  <c r="E61" i="15" s="1"/>
  <c r="BQ60" i="15"/>
  <c r="BB60" i="15"/>
  <c r="BA60" i="15"/>
  <c r="AZ60" i="15"/>
  <c r="BC60" i="15" s="1"/>
  <c r="D60" i="15"/>
  <c r="E60" i="15" s="1"/>
  <c r="BQ59" i="15"/>
  <c r="BB59" i="15"/>
  <c r="BA59" i="15"/>
  <c r="AZ59" i="15"/>
  <c r="BC59" i="15" s="1"/>
  <c r="D59" i="15"/>
  <c r="E59" i="15" s="1"/>
  <c r="BQ58" i="15"/>
  <c r="BC58" i="15"/>
  <c r="BB58" i="15"/>
  <c r="BA58" i="15"/>
  <c r="AZ58" i="15"/>
  <c r="D58" i="15"/>
  <c r="E58" i="15" s="1"/>
  <c r="BQ57" i="15"/>
  <c r="BC57" i="15"/>
  <c r="BB57" i="15"/>
  <c r="BA57" i="15"/>
  <c r="AZ57" i="15"/>
  <c r="D57" i="15"/>
  <c r="E57" i="15" s="1"/>
  <c r="BQ56" i="15"/>
  <c r="BC56" i="15"/>
  <c r="BB56" i="15"/>
  <c r="BA56" i="15"/>
  <c r="AZ56" i="15"/>
  <c r="D56" i="15"/>
  <c r="E56" i="15" s="1"/>
  <c r="BQ55" i="15"/>
  <c r="BB55" i="15"/>
  <c r="BC55" i="15" s="1"/>
  <c r="BA55" i="15"/>
  <c r="AZ55" i="15"/>
  <c r="D55" i="15"/>
  <c r="E55" i="15" s="1"/>
  <c r="BQ54" i="15"/>
  <c r="BC54" i="15"/>
  <c r="BB54" i="15"/>
  <c r="BA54" i="15"/>
  <c r="AZ54" i="15"/>
  <c r="D54" i="15"/>
  <c r="E54" i="15" s="1"/>
  <c r="BV54" i="15" s="1"/>
  <c r="BQ53" i="15"/>
  <c r="BB53" i="15"/>
  <c r="BA53" i="15"/>
  <c r="AZ53" i="15"/>
  <c r="BC53" i="15" s="1"/>
  <c r="D53" i="15"/>
  <c r="E53" i="15" s="1"/>
  <c r="BQ52" i="15"/>
  <c r="BB52" i="15"/>
  <c r="BA52" i="15"/>
  <c r="AZ52" i="15"/>
  <c r="BC52" i="15" s="1"/>
  <c r="D52" i="15"/>
  <c r="E52" i="15" s="1"/>
  <c r="BU52" i="15" s="1"/>
  <c r="BQ51" i="15"/>
  <c r="BB51" i="15"/>
  <c r="BA51" i="15"/>
  <c r="AZ51" i="15"/>
  <c r="BC51" i="15" s="1"/>
  <c r="D51" i="15"/>
  <c r="E51" i="15" s="1"/>
  <c r="BS51" i="15" s="1"/>
  <c r="BQ50" i="15"/>
  <c r="BC50" i="15"/>
  <c r="BB50" i="15"/>
  <c r="BA50" i="15"/>
  <c r="AZ50" i="15"/>
  <c r="D50" i="15"/>
  <c r="E50" i="15" s="1"/>
  <c r="BQ49" i="15"/>
  <c r="BC49" i="15"/>
  <c r="BB49" i="15"/>
  <c r="BA49" i="15"/>
  <c r="AZ49" i="15"/>
  <c r="D49" i="15"/>
  <c r="E49" i="15" s="1"/>
  <c r="BU49" i="15" s="1"/>
  <c r="BQ48" i="15"/>
  <c r="BB48" i="15"/>
  <c r="BA48" i="15"/>
  <c r="AZ48" i="15"/>
  <c r="BC48" i="15" s="1"/>
  <c r="D48" i="15"/>
  <c r="E48" i="15" s="1"/>
  <c r="BQ47" i="15"/>
  <c r="BB47" i="15"/>
  <c r="BA47" i="15"/>
  <c r="AZ47" i="15"/>
  <c r="D47" i="15"/>
  <c r="E47" i="15" s="1"/>
  <c r="BQ46" i="15"/>
  <c r="BB46" i="15"/>
  <c r="BA46" i="15"/>
  <c r="BC46" i="15" s="1"/>
  <c r="AZ46" i="15"/>
  <c r="D46" i="15"/>
  <c r="E46" i="15" s="1"/>
  <c r="BQ45" i="15"/>
  <c r="BB45" i="15"/>
  <c r="BA45" i="15"/>
  <c r="AZ45" i="15"/>
  <c r="D45" i="15"/>
  <c r="E45" i="15" s="1"/>
  <c r="BV45" i="15" s="1"/>
  <c r="BQ44" i="15"/>
  <c r="BB44" i="15"/>
  <c r="BA44" i="15"/>
  <c r="AZ44" i="15"/>
  <c r="D44" i="15"/>
  <c r="E44" i="15" s="1"/>
  <c r="BU44" i="15" s="1"/>
  <c r="BQ43" i="15"/>
  <c r="BB43" i="15"/>
  <c r="BA43" i="15"/>
  <c r="AZ43" i="15"/>
  <c r="D43" i="15"/>
  <c r="E43" i="15" s="1"/>
  <c r="BQ42" i="15"/>
  <c r="BB42" i="15"/>
  <c r="BA42" i="15"/>
  <c r="AZ42" i="15"/>
  <c r="BC42" i="15" s="1"/>
  <c r="D42" i="15"/>
  <c r="E42" i="15" s="1"/>
  <c r="BQ41" i="15"/>
  <c r="BB41" i="15"/>
  <c r="BA41" i="15"/>
  <c r="AZ41" i="15"/>
  <c r="BC41" i="15" s="1"/>
  <c r="D41" i="15"/>
  <c r="E41" i="15" s="1"/>
  <c r="BU41" i="15" s="1"/>
  <c r="BQ40" i="15"/>
  <c r="BB40" i="15"/>
  <c r="BA40" i="15"/>
  <c r="AZ40" i="15"/>
  <c r="BC40" i="15" s="1"/>
  <c r="D40" i="15"/>
  <c r="E40" i="15" s="1"/>
  <c r="BQ39" i="15"/>
  <c r="BB39" i="15"/>
  <c r="BA39" i="15"/>
  <c r="AZ39" i="15"/>
  <c r="D39" i="15"/>
  <c r="E39" i="15" s="1"/>
  <c r="BQ38" i="15"/>
  <c r="BB38" i="15"/>
  <c r="BA38" i="15"/>
  <c r="AZ38" i="15"/>
  <c r="D38" i="15"/>
  <c r="E38" i="15" s="1"/>
  <c r="BT37" i="15"/>
  <c r="BS37" i="15"/>
  <c r="BQ37" i="15"/>
  <c r="BB37" i="15"/>
  <c r="BA37" i="15"/>
  <c r="AZ37" i="15"/>
  <c r="F37" i="15"/>
  <c r="BG37" i="15" s="1"/>
  <c r="E37" i="15"/>
  <c r="BV37" i="15" s="1"/>
  <c r="BV36" i="15"/>
  <c r="BT36" i="15"/>
  <c r="BS36" i="15"/>
  <c r="BQ36" i="15"/>
  <c r="BB36" i="15"/>
  <c r="BA36" i="15"/>
  <c r="AZ36" i="15"/>
  <c r="F36" i="15"/>
  <c r="BG36" i="15" s="1"/>
  <c r="E36" i="15"/>
  <c r="BU36" i="15" s="1"/>
  <c r="BQ35" i="15"/>
  <c r="BB35" i="15"/>
  <c r="BA35" i="15"/>
  <c r="AZ35" i="15"/>
  <c r="D35" i="15"/>
  <c r="E35" i="15" s="1"/>
  <c r="BU35" i="15" s="1"/>
  <c r="BQ34" i="15"/>
  <c r="BB34" i="15"/>
  <c r="BA34" i="15"/>
  <c r="AZ34" i="15"/>
  <c r="D34" i="15"/>
  <c r="E34" i="15" s="1"/>
  <c r="BU34" i="15" s="1"/>
  <c r="BQ33" i="15"/>
  <c r="BB33" i="15"/>
  <c r="BA33" i="15"/>
  <c r="AZ33" i="15"/>
  <c r="D33" i="15"/>
  <c r="E33" i="15" s="1"/>
  <c r="BQ32" i="15"/>
  <c r="BB32" i="15"/>
  <c r="BA32" i="15"/>
  <c r="BC32" i="15" s="1"/>
  <c r="AZ32" i="15"/>
  <c r="D32" i="15"/>
  <c r="E32" i="15" s="1"/>
  <c r="BQ31" i="15"/>
  <c r="BC31" i="15"/>
  <c r="BB31" i="15"/>
  <c r="BA31" i="15"/>
  <c r="AZ31" i="15"/>
  <c r="D31" i="15"/>
  <c r="E31" i="15" s="1"/>
  <c r="BQ30" i="15"/>
  <c r="BB30" i="15"/>
  <c r="BA30" i="15"/>
  <c r="AZ30" i="15"/>
  <c r="BC30" i="15" s="1"/>
  <c r="D30" i="15"/>
  <c r="E30" i="15" s="1"/>
  <c r="BQ29" i="15"/>
  <c r="BB29" i="15"/>
  <c r="BA29" i="15"/>
  <c r="AZ29" i="15"/>
  <c r="D29" i="15"/>
  <c r="E29" i="15" s="1"/>
  <c r="BQ28" i="15"/>
  <c r="BB28" i="15"/>
  <c r="BA28" i="15"/>
  <c r="BC28" i="15" s="1"/>
  <c r="AZ28" i="15"/>
  <c r="D28" i="15"/>
  <c r="E28" i="15" s="1"/>
  <c r="BQ27" i="15"/>
  <c r="BB27" i="15"/>
  <c r="BA27" i="15"/>
  <c r="AZ27" i="15"/>
  <c r="BC27" i="15" s="1"/>
  <c r="D27" i="15"/>
  <c r="E27" i="15" s="1"/>
  <c r="BQ26" i="15"/>
  <c r="BB26" i="15"/>
  <c r="BA26" i="15"/>
  <c r="AZ26" i="15"/>
  <c r="BC26" i="15" s="1"/>
  <c r="D26" i="15"/>
  <c r="E26" i="15" s="1"/>
  <c r="BU26" i="15" s="1"/>
  <c r="BQ25" i="15"/>
  <c r="BB25" i="15"/>
  <c r="BA25" i="15"/>
  <c r="AZ25" i="15"/>
  <c r="BC25" i="15" s="1"/>
  <c r="D25" i="15"/>
  <c r="E25" i="15" s="1"/>
  <c r="BQ24" i="15"/>
  <c r="BB24" i="15"/>
  <c r="BA24" i="15"/>
  <c r="AZ24" i="15"/>
  <c r="BC24" i="15" s="1"/>
  <c r="D24" i="15"/>
  <c r="E24" i="15" s="1"/>
  <c r="BQ23" i="15"/>
  <c r="BB23" i="15"/>
  <c r="BA23" i="15"/>
  <c r="BC23" i="15" s="1"/>
  <c r="AZ23" i="15"/>
  <c r="D23" i="15"/>
  <c r="E23" i="15" s="1"/>
  <c r="BQ22" i="15"/>
  <c r="BB22" i="15"/>
  <c r="BA22" i="15"/>
  <c r="AZ22" i="15"/>
  <c r="BC22" i="15" s="1"/>
  <c r="D22" i="15"/>
  <c r="E22" i="15" s="1"/>
  <c r="BQ21" i="15"/>
  <c r="BB21" i="15"/>
  <c r="BA21" i="15"/>
  <c r="AZ21" i="15"/>
  <c r="D21" i="15"/>
  <c r="E21" i="15" s="1"/>
  <c r="BC20" i="15"/>
  <c r="BA20" i="15"/>
  <c r="AZ20" i="15"/>
  <c r="BA19" i="15"/>
  <c r="AZ19" i="15"/>
  <c r="BC19" i="15" s="1"/>
  <c r="CD18" i="15"/>
  <c r="BV18" i="15"/>
  <c r="BU18" i="15"/>
  <c r="BT18" i="15"/>
  <c r="BW18" i="15" s="1"/>
  <c r="BS18" i="15"/>
  <c r="BQ18" i="15"/>
  <c r="BY18" i="15" s="1"/>
  <c r="BG18" i="15"/>
  <c r="BB18" i="15"/>
  <c r="BA18" i="15"/>
  <c r="AZ18" i="15"/>
  <c r="BC18" i="15" s="1"/>
  <c r="F18" i="15"/>
  <c r="D18" i="15"/>
  <c r="BV17" i="15"/>
  <c r="BU17" i="15"/>
  <c r="BT17" i="15"/>
  <c r="BW17" i="15" s="1"/>
  <c r="BS17" i="15"/>
  <c r="BQ17" i="15"/>
  <c r="BG17" i="15"/>
  <c r="BB17" i="15"/>
  <c r="BA17" i="15"/>
  <c r="AZ17" i="15"/>
  <c r="F17" i="15"/>
  <c r="D17" i="15"/>
  <c r="BV16" i="15"/>
  <c r="BU16" i="15"/>
  <c r="BT16" i="15"/>
  <c r="BW16" i="15" s="1"/>
  <c r="BS16" i="15"/>
  <c r="BQ16" i="15"/>
  <c r="BY16" i="15" s="1"/>
  <c r="BG16" i="15"/>
  <c r="BB16" i="15"/>
  <c r="BA16" i="15"/>
  <c r="AZ16" i="15"/>
  <c r="BC16" i="15" s="1"/>
  <c r="F16" i="15"/>
  <c r="D16" i="15"/>
  <c r="BV15" i="15"/>
  <c r="BU15" i="15"/>
  <c r="BT15" i="15"/>
  <c r="BW15" i="15" s="1"/>
  <c r="BS15" i="15"/>
  <c r="BQ15" i="15"/>
  <c r="BY15" i="15" s="1"/>
  <c r="BG15" i="15"/>
  <c r="BB15" i="15"/>
  <c r="BA15" i="15"/>
  <c r="AZ15" i="15"/>
  <c r="F15" i="15"/>
  <c r="D15" i="15"/>
  <c r="BV14" i="15"/>
  <c r="BU14" i="15"/>
  <c r="BT14" i="15"/>
  <c r="BW14" i="15" s="1"/>
  <c r="BS14" i="15"/>
  <c r="BQ14" i="15"/>
  <c r="BY14" i="15" s="1"/>
  <c r="BG14" i="15"/>
  <c r="BB14" i="15"/>
  <c r="BA14" i="15"/>
  <c r="AZ14" i="15"/>
  <c r="F14" i="15"/>
  <c r="D14" i="15"/>
  <c r="BV13" i="15"/>
  <c r="BU13" i="15"/>
  <c r="BT13" i="15"/>
  <c r="BW13" i="15" s="1"/>
  <c r="BS13" i="15"/>
  <c r="BQ13" i="15"/>
  <c r="BY13" i="15" s="1"/>
  <c r="BG13" i="15"/>
  <c r="BB13" i="15"/>
  <c r="BA13" i="15"/>
  <c r="AZ13" i="15"/>
  <c r="F13" i="15"/>
  <c r="D13" i="15"/>
  <c r="BV12" i="15"/>
  <c r="BU12" i="15"/>
  <c r="BT12" i="15"/>
  <c r="BW12" i="15" s="1"/>
  <c r="BS12" i="15"/>
  <c r="BQ12" i="15"/>
  <c r="BG12" i="15"/>
  <c r="BB12" i="15"/>
  <c r="BA12" i="15"/>
  <c r="AZ12" i="15"/>
  <c r="BC12" i="15" s="1"/>
  <c r="F12" i="15"/>
  <c r="D12" i="15"/>
  <c r="AX11" i="15"/>
  <c r="AW11" i="15"/>
  <c r="AV11" i="15"/>
  <c r="AU11" i="15"/>
  <c r="AT11" i="15"/>
  <c r="AS11" i="15"/>
  <c r="AR11" i="15"/>
  <c r="AQ11" i="15"/>
  <c r="AP11" i="15"/>
  <c r="AO11" i="15"/>
  <c r="AN11" i="15"/>
  <c r="AM11" i="15"/>
  <c r="H9" i="15"/>
  <c r="H11" i="15" s="1"/>
  <c r="BU23" i="15" l="1"/>
  <c r="BV23" i="15"/>
  <c r="BU27" i="15"/>
  <c r="F27" i="15"/>
  <c r="BG27" i="15" s="1"/>
  <c r="BU31" i="15"/>
  <c r="BV31" i="15"/>
  <c r="BV38" i="15"/>
  <c r="BS38" i="15"/>
  <c r="F38" i="15"/>
  <c r="BE38" i="15" s="1"/>
  <c r="BV53" i="15"/>
  <c r="BT53" i="15"/>
  <c r="BS53" i="15"/>
  <c r="F53" i="15"/>
  <c r="BG53" i="15" s="1"/>
  <c r="BS60" i="15"/>
  <c r="BV60" i="15"/>
  <c r="BU60" i="15"/>
  <c r="BT60" i="15"/>
  <c r="BS25" i="15"/>
  <c r="BV25" i="15"/>
  <c r="BU25" i="15"/>
  <c r="BT25" i="15"/>
  <c r="BS43" i="15"/>
  <c r="BV43" i="15"/>
  <c r="BU43" i="15"/>
  <c r="BV46" i="15"/>
  <c r="BS46" i="15"/>
  <c r="F46" i="15"/>
  <c r="BV28" i="15"/>
  <c r="BS28" i="15"/>
  <c r="F28" i="15"/>
  <c r="BG28" i="15" s="1"/>
  <c r="BT59" i="15"/>
  <c r="BS59" i="15"/>
  <c r="F59" i="15"/>
  <c r="BG59" i="15" s="1"/>
  <c r="BV59" i="15"/>
  <c r="BU59" i="15"/>
  <c r="BS33" i="15"/>
  <c r="BU33" i="15"/>
  <c r="BT33" i="15"/>
  <c r="BV33" i="15"/>
  <c r="BV49" i="15"/>
  <c r="BV41" i="15"/>
  <c r="F54" i="15"/>
  <c r="BG54" i="15" s="1"/>
  <c r="BV35" i="15"/>
  <c r="BS27" i="15"/>
  <c r="BT27" i="15"/>
  <c r="BS35" i="15"/>
  <c r="BS45" i="15"/>
  <c r="BV27" i="15"/>
  <c r="BT35" i="15"/>
  <c r="BT45" i="15"/>
  <c r="BT51" i="15"/>
  <c r="BU51" i="15"/>
  <c r="F35" i="15"/>
  <c r="BG35" i="15" s="1"/>
  <c r="F45" i="15"/>
  <c r="BG45" i="15" s="1"/>
  <c r="BV51" i="15"/>
  <c r="BS54" i="15"/>
  <c r="BC38" i="15"/>
  <c r="BC29" i="15"/>
  <c r="BC33" i="15"/>
  <c r="BC35" i="15"/>
  <c r="BC36" i="15"/>
  <c r="BC37" i="15"/>
  <c r="BC39" i="15"/>
  <c r="BC21" i="15"/>
  <c r="BC44" i="15"/>
  <c r="BC45" i="15"/>
  <c r="BC47" i="15"/>
  <c r="BE13" i="15"/>
  <c r="CA13" i="15" s="1"/>
  <c r="BC14" i="15"/>
  <c r="BE16" i="15"/>
  <c r="CA16" i="15" s="1"/>
  <c r="BC17" i="15"/>
  <c r="BC15" i="15"/>
  <c r="BE17" i="15"/>
  <c r="CA17" i="15" s="1"/>
  <c r="BC13" i="15"/>
  <c r="BE15" i="15"/>
  <c r="CA15" i="15" s="1"/>
  <c r="I9" i="15"/>
  <c r="I11" i="15" s="1"/>
  <c r="BV56" i="15"/>
  <c r="BU56" i="15"/>
  <c r="BT56" i="15"/>
  <c r="BS56" i="15"/>
  <c r="F56" i="15"/>
  <c r="BV22" i="15"/>
  <c r="BU22" i="15"/>
  <c r="BT22" i="15"/>
  <c r="BS22" i="15"/>
  <c r="F22" i="15"/>
  <c r="BV30" i="15"/>
  <c r="BU30" i="15"/>
  <c r="BT30" i="15"/>
  <c r="BS30" i="15"/>
  <c r="F30" i="15"/>
  <c r="BW36" i="15"/>
  <c r="BE14" i="15"/>
  <c r="CA14" i="15" s="1"/>
  <c r="BV40" i="15"/>
  <c r="BU40" i="15"/>
  <c r="BT40" i="15"/>
  <c r="BS40" i="15"/>
  <c r="F40" i="15"/>
  <c r="BT50" i="15"/>
  <c r="BS50" i="15"/>
  <c r="F50" i="15"/>
  <c r="BV50" i="15"/>
  <c r="BU50" i="15"/>
  <c r="BV52" i="15"/>
  <c r="BT52" i="15"/>
  <c r="BS52" i="15"/>
  <c r="F52" i="15"/>
  <c r="BV61" i="15"/>
  <c r="BU61" i="15"/>
  <c r="BT61" i="15"/>
  <c r="BS61" i="15"/>
  <c r="F61" i="15"/>
  <c r="J9" i="15"/>
  <c r="BT24" i="15"/>
  <c r="BS24" i="15"/>
  <c r="F24" i="15"/>
  <c r="BV24" i="15"/>
  <c r="BU24" i="15"/>
  <c r="BV26" i="15"/>
  <c r="BT26" i="15"/>
  <c r="BS26" i="15"/>
  <c r="F26" i="15"/>
  <c r="BT32" i="15"/>
  <c r="BS32" i="15"/>
  <c r="F32" i="15"/>
  <c r="BV32" i="15"/>
  <c r="BU32" i="15"/>
  <c r="BV34" i="15"/>
  <c r="BT34" i="15"/>
  <c r="BS34" i="15"/>
  <c r="F34" i="15"/>
  <c r="BV44" i="15"/>
  <c r="BT44" i="15"/>
  <c r="BS44" i="15"/>
  <c r="F44" i="15"/>
  <c r="BV47" i="15"/>
  <c r="BU47" i="15"/>
  <c r="BT47" i="15"/>
  <c r="BS47" i="15"/>
  <c r="F47" i="15"/>
  <c r="BV55" i="15"/>
  <c r="BU55" i="15"/>
  <c r="BT55" i="15"/>
  <c r="BS55" i="15"/>
  <c r="F55" i="15"/>
  <c r="BU57" i="15"/>
  <c r="BT57" i="15"/>
  <c r="BS57" i="15"/>
  <c r="F57" i="15"/>
  <c r="BV57" i="15"/>
  <c r="BV21" i="15"/>
  <c r="BU21" i="15"/>
  <c r="BT21" i="15"/>
  <c r="BS21" i="15"/>
  <c r="F21" i="15"/>
  <c r="BV29" i="15"/>
  <c r="BU29" i="15"/>
  <c r="BT29" i="15"/>
  <c r="BS29" i="15"/>
  <c r="F29" i="15"/>
  <c r="BC34" i="15"/>
  <c r="BT42" i="15"/>
  <c r="BS42" i="15"/>
  <c r="F42" i="15"/>
  <c r="BV42" i="15"/>
  <c r="BU42" i="15"/>
  <c r="BE46" i="15"/>
  <c r="BG46" i="15"/>
  <c r="BY36" i="15"/>
  <c r="BT58" i="15"/>
  <c r="BS58" i="15"/>
  <c r="F58" i="15"/>
  <c r="BV58" i="15"/>
  <c r="BU58" i="15"/>
  <c r="BY17" i="15"/>
  <c r="BV39" i="15"/>
  <c r="BU39" i="15"/>
  <c r="BT39" i="15"/>
  <c r="BS39" i="15"/>
  <c r="F39" i="15"/>
  <c r="BC43" i="15"/>
  <c r="BV48" i="15"/>
  <c r="BU48" i="15"/>
  <c r="BT48" i="15"/>
  <c r="BS48" i="15"/>
  <c r="F48" i="15"/>
  <c r="BE12" i="15"/>
  <c r="BY12" i="15"/>
  <c r="BE18" i="15"/>
  <c r="CA18" i="15" s="1"/>
  <c r="BT43" i="15"/>
  <c r="F60" i="15"/>
  <c r="BT28" i="15"/>
  <c r="BU37" i="15"/>
  <c r="BW37" i="15" s="1"/>
  <c r="BY37" i="15" s="1"/>
  <c r="BT38" i="15"/>
  <c r="BU45" i="15"/>
  <c r="BT46" i="15"/>
  <c r="BU53" i="15"/>
  <c r="BT54" i="15"/>
  <c r="BU28" i="15"/>
  <c r="BU38" i="15"/>
  <c r="BU46" i="15"/>
  <c r="BU54" i="15"/>
  <c r="F23" i="15"/>
  <c r="BS23" i="15"/>
  <c r="F31" i="15"/>
  <c r="BS31" i="15"/>
  <c r="F41" i="15"/>
  <c r="BS41" i="15"/>
  <c r="F49" i="15"/>
  <c r="BS49" i="15"/>
  <c r="BT23" i="15"/>
  <c r="BE27" i="15"/>
  <c r="BT31" i="15"/>
  <c r="BE36" i="15"/>
  <c r="BE37" i="15"/>
  <c r="BT41" i="15"/>
  <c r="BT49" i="15"/>
  <c r="F25" i="15"/>
  <c r="F33" i="15"/>
  <c r="F43" i="15"/>
  <c r="F51" i="15"/>
  <c r="E36" i="14"/>
  <c r="BU36" i="14" s="1"/>
  <c r="E37" i="14"/>
  <c r="BV37" i="14"/>
  <c r="BU37" i="14"/>
  <c r="BT37" i="14"/>
  <c r="BS36" i="14"/>
  <c r="BS37" i="14"/>
  <c r="BV13" i="14"/>
  <c r="BV14" i="14"/>
  <c r="BV15" i="14"/>
  <c r="BV16" i="14"/>
  <c r="BV17" i="14"/>
  <c r="BV18" i="14"/>
  <c r="BV12" i="14"/>
  <c r="BT13" i="14"/>
  <c r="BT14" i="14"/>
  <c r="BT15" i="14"/>
  <c r="BT16" i="14"/>
  <c r="BT17" i="14"/>
  <c r="BT18" i="14"/>
  <c r="BT12" i="14"/>
  <c r="BU13" i="14"/>
  <c r="BU14" i="14"/>
  <c r="BU15" i="14"/>
  <c r="BU16" i="14"/>
  <c r="BU17" i="14"/>
  <c r="BU18" i="14"/>
  <c r="BU12" i="14"/>
  <c r="BS13" i="14"/>
  <c r="BS14" i="14"/>
  <c r="BS15" i="14"/>
  <c r="BS16" i="14"/>
  <c r="BS17" i="14"/>
  <c r="BS18" i="14"/>
  <c r="BS12" i="14"/>
  <c r="CD18" i="14"/>
  <c r="BE53" i="15" l="1"/>
  <c r="BE28" i="15"/>
  <c r="BW51" i="15"/>
  <c r="BY51" i="15" s="1"/>
  <c r="BE45" i="15"/>
  <c r="BW33" i="15"/>
  <c r="BY33" i="15" s="1"/>
  <c r="BE35" i="15"/>
  <c r="BW43" i="15"/>
  <c r="BY43" i="15" s="1"/>
  <c r="BW25" i="15"/>
  <c r="BY25" i="15" s="1"/>
  <c r="BE54" i="15"/>
  <c r="BW42" i="15"/>
  <c r="BY42" i="15" s="1"/>
  <c r="BW35" i="15"/>
  <c r="BY35" i="15" s="1"/>
  <c r="BW46" i="15"/>
  <c r="BY46" i="15" s="1"/>
  <c r="BW22" i="15"/>
  <c r="BY22" i="15" s="1"/>
  <c r="BE59" i="15"/>
  <c r="BW45" i="15"/>
  <c r="BY45" i="15" s="1"/>
  <c r="BG38" i="15"/>
  <c r="BW38" i="15"/>
  <c r="BY38" i="15" s="1"/>
  <c r="BW41" i="15"/>
  <c r="BY41" i="15" s="1"/>
  <c r="BW28" i="15"/>
  <c r="BY28" i="15" s="1"/>
  <c r="BW50" i="15"/>
  <c r="BY50" i="15" s="1"/>
  <c r="BW60" i="15"/>
  <c r="BY60" i="15" s="1"/>
  <c r="BW39" i="15"/>
  <c r="BY39" i="15" s="1"/>
  <c r="BW27" i="15"/>
  <c r="BY27" i="15" s="1"/>
  <c r="BW54" i="15"/>
  <c r="BY54" i="15" s="1"/>
  <c r="BW23" i="15"/>
  <c r="BY23" i="15" s="1"/>
  <c r="BW53" i="15"/>
  <c r="BY53" i="15" s="1"/>
  <c r="BW44" i="15"/>
  <c r="BY44" i="15" s="1"/>
  <c r="BW40" i="15"/>
  <c r="BY40" i="15" s="1"/>
  <c r="BW21" i="15"/>
  <c r="BY21" i="15" s="1"/>
  <c r="BW59" i="15"/>
  <c r="BY59" i="15" s="1"/>
  <c r="BG39" i="15"/>
  <c r="BE39" i="15"/>
  <c r="BG50" i="15"/>
  <c r="BE50" i="15"/>
  <c r="CA12" i="15"/>
  <c r="BE48" i="15"/>
  <c r="BG48" i="15"/>
  <c r="BG47" i="15"/>
  <c r="BE47" i="15"/>
  <c r="BW52" i="15"/>
  <c r="BY52" i="15" s="1"/>
  <c r="BE30" i="15"/>
  <c r="BG30" i="15"/>
  <c r="BE22" i="15"/>
  <c r="BG22" i="15"/>
  <c r="K9" i="15"/>
  <c r="J11" i="15"/>
  <c r="BG52" i="15"/>
  <c r="BE52" i="15"/>
  <c r="CA52" i="15" s="1"/>
  <c r="BW49" i="15"/>
  <c r="BY49" i="15" s="1"/>
  <c r="BG49" i="15"/>
  <c r="BE49" i="15"/>
  <c r="BW48" i="15"/>
  <c r="BY48" i="15" s="1"/>
  <c r="BG58" i="15"/>
  <c r="BE58" i="15"/>
  <c r="BG29" i="15"/>
  <c r="BE29" i="15"/>
  <c r="BG55" i="15"/>
  <c r="BE55" i="15"/>
  <c r="BW47" i="15"/>
  <c r="BY47" i="15" s="1"/>
  <c r="BG32" i="15"/>
  <c r="BE32" i="15"/>
  <c r="BE40" i="15"/>
  <c r="BG40" i="15"/>
  <c r="BW30" i="15"/>
  <c r="BY30" i="15" s="1"/>
  <c r="BG23" i="15"/>
  <c r="BE23" i="15"/>
  <c r="BW58" i="15"/>
  <c r="BY58" i="15" s="1"/>
  <c r="BW55" i="15"/>
  <c r="BY55" i="15" s="1"/>
  <c r="BG61" i="15"/>
  <c r="BE61" i="15"/>
  <c r="BG51" i="15"/>
  <c r="BE51" i="15"/>
  <c r="CA51" i="15" s="1"/>
  <c r="BG34" i="15"/>
  <c r="BE34" i="15"/>
  <c r="CA36" i="15"/>
  <c r="BG41" i="15"/>
  <c r="BE41" i="15"/>
  <c r="BW34" i="15"/>
  <c r="BY34" i="15" s="1"/>
  <c r="BG24" i="15"/>
  <c r="BE24" i="15"/>
  <c r="BW61" i="15"/>
  <c r="BY61" i="15" s="1"/>
  <c r="BE56" i="15"/>
  <c r="BG56" i="15"/>
  <c r="BG21" i="15"/>
  <c r="BE21" i="15"/>
  <c r="CA37" i="15"/>
  <c r="BW29" i="15"/>
  <c r="BY29" i="15" s="1"/>
  <c r="BW32" i="15"/>
  <c r="BY32" i="15" s="1"/>
  <c r="BG43" i="15"/>
  <c r="BE43" i="15"/>
  <c r="BG33" i="15"/>
  <c r="BE33" i="15"/>
  <c r="BW31" i="15"/>
  <c r="BY31" i="15" s="1"/>
  <c r="BG60" i="15"/>
  <c r="BE60" i="15"/>
  <c r="BG57" i="15"/>
  <c r="BE57" i="15"/>
  <c r="BG26" i="15"/>
  <c r="BE26" i="15"/>
  <c r="BW24" i="15"/>
  <c r="BY24" i="15" s="1"/>
  <c r="BW56" i="15"/>
  <c r="BY56" i="15" s="1"/>
  <c r="BG25" i="15"/>
  <c r="BE25" i="15"/>
  <c r="BG31" i="15"/>
  <c r="BE31" i="15"/>
  <c r="BG42" i="15"/>
  <c r="BE42" i="15"/>
  <c r="BW57" i="15"/>
  <c r="BY57" i="15" s="1"/>
  <c r="BG44" i="15"/>
  <c r="BE44" i="15"/>
  <c r="BW26" i="15"/>
  <c r="BY26" i="15" s="1"/>
  <c r="BV36" i="14"/>
  <c r="BT36" i="14"/>
  <c r="CA33" i="15" l="1"/>
  <c r="CA31" i="15"/>
  <c r="CA43" i="15"/>
  <c r="CA34" i="15"/>
  <c r="CA23" i="15"/>
  <c r="CA54" i="15"/>
  <c r="CA25" i="15"/>
  <c r="CA38" i="15"/>
  <c r="CA41" i="15"/>
  <c r="CA42" i="15"/>
  <c r="CA28" i="15"/>
  <c r="CA44" i="15"/>
  <c r="CA53" i="15"/>
  <c r="CA40" i="15"/>
  <c r="CA46" i="15"/>
  <c r="CA22" i="15"/>
  <c r="CA60" i="15"/>
  <c r="CA50" i="15"/>
  <c r="CA35" i="15"/>
  <c r="CA45" i="15"/>
  <c r="CA26" i="15"/>
  <c r="CA21" i="15"/>
  <c r="CA61" i="15"/>
  <c r="CA39" i="15"/>
  <c r="CA58" i="15"/>
  <c r="CA47" i="15"/>
  <c r="CA27" i="15"/>
  <c r="CA57" i="15"/>
  <c r="CA49" i="15"/>
  <c r="CA48" i="15"/>
  <c r="CA59" i="15"/>
  <c r="CA56" i="15"/>
  <c r="CA24" i="15"/>
  <c r="L9" i="15"/>
  <c r="K11" i="15"/>
  <c r="CA55" i="15"/>
  <c r="CA29" i="15"/>
  <c r="CA30" i="15"/>
  <c r="CA32" i="15"/>
  <c r="H9" i="14"/>
  <c r="H11" i="14" s="1"/>
  <c r="BQ61" i="14"/>
  <c r="BB61" i="14"/>
  <c r="BA61" i="14"/>
  <c r="AZ61" i="14"/>
  <c r="BC61" i="14" s="1"/>
  <c r="D61" i="14"/>
  <c r="E61" i="14" s="1"/>
  <c r="BQ60" i="14"/>
  <c r="BC60" i="14"/>
  <c r="BB60" i="14"/>
  <c r="BA60" i="14"/>
  <c r="AZ60" i="14"/>
  <c r="D60" i="14"/>
  <c r="E60" i="14" s="1"/>
  <c r="BQ59" i="14"/>
  <c r="BB59" i="14"/>
  <c r="BA59" i="14"/>
  <c r="AZ59" i="14"/>
  <c r="BC59" i="14" s="1"/>
  <c r="D59" i="14"/>
  <c r="E59" i="14" s="1"/>
  <c r="BQ58" i="14"/>
  <c r="BB58" i="14"/>
  <c r="BA58" i="14"/>
  <c r="AZ58" i="14"/>
  <c r="BC58" i="14" s="1"/>
  <c r="D58" i="14"/>
  <c r="E58" i="14" s="1"/>
  <c r="BQ57" i="14"/>
  <c r="BB57" i="14"/>
  <c r="BA57" i="14"/>
  <c r="AZ57" i="14"/>
  <c r="BC57" i="14" s="1"/>
  <c r="D57" i="14"/>
  <c r="E57" i="14" s="1"/>
  <c r="BQ56" i="14"/>
  <c r="BB56" i="14"/>
  <c r="BA56" i="14"/>
  <c r="AZ56" i="14"/>
  <c r="BC56" i="14" s="1"/>
  <c r="D56" i="14"/>
  <c r="E56" i="14" s="1"/>
  <c r="BQ55" i="14"/>
  <c r="BC55" i="14"/>
  <c r="BB55" i="14"/>
  <c r="BA55" i="14"/>
  <c r="AZ55" i="14"/>
  <c r="D55" i="14"/>
  <c r="E55" i="14" s="1"/>
  <c r="BQ54" i="14"/>
  <c r="BB54" i="14"/>
  <c r="BA54" i="14"/>
  <c r="AZ54" i="14"/>
  <c r="BC54" i="14" s="1"/>
  <c r="D54" i="14"/>
  <c r="E54" i="14" s="1"/>
  <c r="BQ53" i="14"/>
  <c r="BB53" i="14"/>
  <c r="BA53" i="14"/>
  <c r="AZ53" i="14"/>
  <c r="BC53" i="14" s="1"/>
  <c r="D53" i="14"/>
  <c r="E53" i="14" s="1"/>
  <c r="BQ52" i="14"/>
  <c r="BB52" i="14"/>
  <c r="BA52" i="14"/>
  <c r="AZ52" i="14"/>
  <c r="BC52" i="14" s="1"/>
  <c r="D52" i="14"/>
  <c r="E52" i="14" s="1"/>
  <c r="BQ51" i="14"/>
  <c r="BB51" i="14"/>
  <c r="BA51" i="14"/>
  <c r="AZ51" i="14"/>
  <c r="D51" i="14"/>
  <c r="E51" i="14" s="1"/>
  <c r="BQ50" i="14"/>
  <c r="BB50" i="14"/>
  <c r="BA50" i="14"/>
  <c r="AZ50" i="14"/>
  <c r="D50" i="14"/>
  <c r="E50" i="14" s="1"/>
  <c r="BQ49" i="14"/>
  <c r="BB49" i="14"/>
  <c r="BA49" i="14"/>
  <c r="AZ49" i="14"/>
  <c r="D49" i="14"/>
  <c r="E49" i="14" s="1"/>
  <c r="F49" i="14" s="1"/>
  <c r="BQ48" i="14"/>
  <c r="BB48" i="14"/>
  <c r="BA48" i="14"/>
  <c r="AZ48" i="14"/>
  <c r="D48" i="14"/>
  <c r="E48" i="14" s="1"/>
  <c r="BQ47" i="14"/>
  <c r="BB47" i="14"/>
  <c r="BA47" i="14"/>
  <c r="AZ47" i="14"/>
  <c r="D47" i="14"/>
  <c r="E47" i="14" s="1"/>
  <c r="BQ46" i="14"/>
  <c r="BB46" i="14"/>
  <c r="BA46" i="14"/>
  <c r="AZ46" i="14"/>
  <c r="D46" i="14"/>
  <c r="E46" i="14" s="1"/>
  <c r="BQ45" i="14"/>
  <c r="BB45" i="14"/>
  <c r="BA45" i="14"/>
  <c r="AZ45" i="14"/>
  <c r="D45" i="14"/>
  <c r="E45" i="14" s="1"/>
  <c r="BQ44" i="14"/>
  <c r="BB44" i="14"/>
  <c r="BA44" i="14"/>
  <c r="AZ44" i="14"/>
  <c r="D44" i="14"/>
  <c r="E44" i="14" s="1"/>
  <c r="BQ43" i="14"/>
  <c r="BB43" i="14"/>
  <c r="BA43" i="14"/>
  <c r="AZ43" i="14"/>
  <c r="D43" i="14"/>
  <c r="E43" i="14" s="1"/>
  <c r="BQ42" i="14"/>
  <c r="BB42" i="14"/>
  <c r="BA42" i="14"/>
  <c r="AZ42" i="14"/>
  <c r="D42" i="14"/>
  <c r="E42" i="14" s="1"/>
  <c r="BQ41" i="14"/>
  <c r="BB41" i="14"/>
  <c r="BA41" i="14"/>
  <c r="AZ41" i="14"/>
  <c r="D41" i="14"/>
  <c r="E41" i="14" s="1"/>
  <c r="BQ40" i="14"/>
  <c r="BB40" i="14"/>
  <c r="BA40" i="14"/>
  <c r="AZ40" i="14"/>
  <c r="D40" i="14"/>
  <c r="E40" i="14" s="1"/>
  <c r="BQ39" i="14"/>
  <c r="BB39" i="14"/>
  <c r="BA39" i="14"/>
  <c r="AZ39" i="14"/>
  <c r="D39" i="14"/>
  <c r="E39" i="14" s="1"/>
  <c r="BQ38" i="14"/>
  <c r="BB38" i="14"/>
  <c r="BA38" i="14"/>
  <c r="AZ38" i="14"/>
  <c r="D38" i="14"/>
  <c r="E38" i="14" s="1"/>
  <c r="BQ37" i="14"/>
  <c r="BB37" i="14"/>
  <c r="BA37" i="14"/>
  <c r="AZ37" i="14"/>
  <c r="F37" i="14"/>
  <c r="BQ36" i="14"/>
  <c r="BB36" i="14"/>
  <c r="BA36" i="14"/>
  <c r="AZ36" i="14"/>
  <c r="F36" i="14"/>
  <c r="BQ35" i="14"/>
  <c r="BB35" i="14"/>
  <c r="BA35" i="14"/>
  <c r="AZ35" i="14"/>
  <c r="D35" i="14"/>
  <c r="E35" i="14" s="1"/>
  <c r="BQ34" i="14"/>
  <c r="BB34" i="14"/>
  <c r="BA34" i="14"/>
  <c r="AZ34" i="14"/>
  <c r="D34" i="14"/>
  <c r="E34" i="14" s="1"/>
  <c r="BQ33" i="14"/>
  <c r="BB33" i="14"/>
  <c r="BA33" i="14"/>
  <c r="AZ33" i="14"/>
  <c r="D33" i="14"/>
  <c r="E33" i="14" s="1"/>
  <c r="BQ32" i="14"/>
  <c r="BB32" i="14"/>
  <c r="BA32" i="14"/>
  <c r="AZ32" i="14"/>
  <c r="D32" i="14"/>
  <c r="E32" i="14" s="1"/>
  <c r="BQ31" i="14"/>
  <c r="BB31" i="14"/>
  <c r="BA31" i="14"/>
  <c r="AZ31" i="14"/>
  <c r="D31" i="14"/>
  <c r="E31" i="14" s="1"/>
  <c r="BQ30" i="14"/>
  <c r="BB30" i="14"/>
  <c r="BA30" i="14"/>
  <c r="AZ30" i="14"/>
  <c r="D30" i="14"/>
  <c r="E30" i="14" s="1"/>
  <c r="BQ29" i="14"/>
  <c r="BB29" i="14"/>
  <c r="BA29" i="14"/>
  <c r="AZ29" i="14"/>
  <c r="D29" i="14"/>
  <c r="E29" i="14" s="1"/>
  <c r="BQ28" i="14"/>
  <c r="BB28" i="14"/>
  <c r="BA28" i="14"/>
  <c r="AZ28" i="14"/>
  <c r="D28" i="14"/>
  <c r="E28" i="14" s="1"/>
  <c r="BQ27" i="14"/>
  <c r="BB27" i="14"/>
  <c r="BA27" i="14"/>
  <c r="AZ27" i="14"/>
  <c r="D27" i="14"/>
  <c r="E27" i="14" s="1"/>
  <c r="BQ26" i="14"/>
  <c r="BB26" i="14"/>
  <c r="BA26" i="14"/>
  <c r="AZ26" i="14"/>
  <c r="D26" i="14"/>
  <c r="E26" i="14" s="1"/>
  <c r="BQ25" i="14"/>
  <c r="BB25" i="14"/>
  <c r="BA25" i="14"/>
  <c r="AZ25" i="14"/>
  <c r="D25" i="14"/>
  <c r="E25" i="14" s="1"/>
  <c r="BQ24" i="14"/>
  <c r="BB24" i="14"/>
  <c r="BA24" i="14"/>
  <c r="AZ24" i="14"/>
  <c r="D24" i="14"/>
  <c r="E24" i="14" s="1"/>
  <c r="BQ23" i="14"/>
  <c r="BB23" i="14"/>
  <c r="BA23" i="14"/>
  <c r="AZ23" i="14"/>
  <c r="D23" i="14"/>
  <c r="E23" i="14" s="1"/>
  <c r="BQ22" i="14"/>
  <c r="BB22" i="14"/>
  <c r="BA22" i="14"/>
  <c r="AZ22" i="14"/>
  <c r="D22" i="14"/>
  <c r="E22" i="14" s="1"/>
  <c r="BQ21" i="14"/>
  <c r="BB21" i="14"/>
  <c r="BA21" i="14"/>
  <c r="AZ21" i="14"/>
  <c r="D21" i="14"/>
  <c r="E21" i="14" s="1"/>
  <c r="BA20" i="14"/>
  <c r="AZ20" i="14"/>
  <c r="BA19" i="14"/>
  <c r="AZ19" i="14"/>
  <c r="BC19" i="14" s="1"/>
  <c r="BQ18" i="14"/>
  <c r="BB18" i="14"/>
  <c r="BA18" i="14"/>
  <c r="AZ18" i="14"/>
  <c r="F18" i="14"/>
  <c r="BG18" i="14" s="1"/>
  <c r="D18" i="14"/>
  <c r="BQ17" i="14"/>
  <c r="BB17" i="14"/>
  <c r="BA17" i="14"/>
  <c r="AZ17" i="14"/>
  <c r="F17" i="14"/>
  <c r="BG17" i="14" s="1"/>
  <c r="D17" i="14"/>
  <c r="BW16" i="14"/>
  <c r="BY16" i="14" s="1"/>
  <c r="BQ16" i="14"/>
  <c r="BB16" i="14"/>
  <c r="BA16" i="14"/>
  <c r="AZ16" i="14"/>
  <c r="F16" i="14"/>
  <c r="BG16" i="14" s="1"/>
  <c r="D16" i="14"/>
  <c r="BW15" i="14"/>
  <c r="BY15" i="14" s="1"/>
  <c r="BQ15" i="14"/>
  <c r="BG15" i="14"/>
  <c r="BB15" i="14"/>
  <c r="BA15" i="14"/>
  <c r="AZ15" i="14"/>
  <c r="F15" i="14"/>
  <c r="D15" i="14"/>
  <c r="BW14" i="14"/>
  <c r="BY14" i="14" s="1"/>
  <c r="BQ14" i="14"/>
  <c r="BG14" i="14"/>
  <c r="BB14" i="14"/>
  <c r="BA14" i="14"/>
  <c r="AZ14" i="14"/>
  <c r="F14" i="14"/>
  <c r="D14" i="14"/>
  <c r="BW13" i="14"/>
  <c r="BQ13" i="14"/>
  <c r="BG13" i="14"/>
  <c r="BB13" i="14"/>
  <c r="BA13" i="14"/>
  <c r="AZ13" i="14"/>
  <c r="F13" i="14"/>
  <c r="D13" i="14"/>
  <c r="BW12" i="14"/>
  <c r="BQ12" i="14"/>
  <c r="BB12" i="14"/>
  <c r="BA12" i="14"/>
  <c r="AZ12" i="14"/>
  <c r="F12" i="14"/>
  <c r="D12" i="14"/>
  <c r="CD13" i="13"/>
  <c r="CD14" i="13"/>
  <c r="CD15" i="13"/>
  <c r="CD16" i="13"/>
  <c r="CD17" i="13"/>
  <c r="CD18" i="13"/>
  <c r="CD12" i="13"/>
  <c r="F36" i="13"/>
  <c r="F37" i="13"/>
  <c r="BV13" i="13"/>
  <c r="BV14" i="13"/>
  <c r="BV15" i="13"/>
  <c r="BV16" i="13"/>
  <c r="BV17" i="13"/>
  <c r="BV18" i="13"/>
  <c r="BV12" i="13"/>
  <c r="BU13" i="13"/>
  <c r="BU14" i="13"/>
  <c r="BU15" i="13"/>
  <c r="BU16" i="13"/>
  <c r="BU17" i="13"/>
  <c r="BU18" i="13"/>
  <c r="BU12" i="13"/>
  <c r="BT13" i="13"/>
  <c r="BT14" i="13"/>
  <c r="BT15" i="13"/>
  <c r="BT16" i="13"/>
  <c r="BT17" i="13"/>
  <c r="BT18" i="13"/>
  <c r="BT12" i="13"/>
  <c r="BS13" i="13"/>
  <c r="BS14" i="13"/>
  <c r="BS15" i="13"/>
  <c r="BS16" i="13"/>
  <c r="BS17" i="13"/>
  <c r="BS18" i="13"/>
  <c r="BS12" i="13"/>
  <c r="BQ61" i="13"/>
  <c r="BQ22" i="13"/>
  <c r="BQ23" i="13"/>
  <c r="BQ24" i="13"/>
  <c r="BQ25" i="13"/>
  <c r="BQ26" i="13"/>
  <c r="BQ27" i="13"/>
  <c r="BQ28" i="13"/>
  <c r="BQ29" i="13"/>
  <c r="BQ30" i="13"/>
  <c r="BQ31" i="13"/>
  <c r="BQ32" i="13"/>
  <c r="BQ33" i="13"/>
  <c r="BQ34" i="13"/>
  <c r="BQ35" i="13"/>
  <c r="BQ36" i="13"/>
  <c r="BQ37" i="13"/>
  <c r="BQ38" i="13"/>
  <c r="BQ39" i="13"/>
  <c r="BQ40" i="13"/>
  <c r="BQ41" i="13"/>
  <c r="BQ42" i="13"/>
  <c r="BQ43" i="13"/>
  <c r="BQ44" i="13"/>
  <c r="BQ45" i="13"/>
  <c r="BQ46" i="13"/>
  <c r="BQ47" i="13"/>
  <c r="BQ48" i="13"/>
  <c r="BQ49" i="13"/>
  <c r="BQ50" i="13"/>
  <c r="BQ51" i="13"/>
  <c r="BQ52" i="13"/>
  <c r="BQ53" i="13"/>
  <c r="BQ54" i="13"/>
  <c r="BQ55" i="13"/>
  <c r="BQ56" i="13"/>
  <c r="BQ57" i="13"/>
  <c r="BQ58" i="13"/>
  <c r="BQ59" i="13"/>
  <c r="BQ60" i="13"/>
  <c r="BQ21" i="13"/>
  <c r="BQ13" i="13"/>
  <c r="BQ14" i="13"/>
  <c r="BQ15" i="13"/>
  <c r="BQ16" i="13"/>
  <c r="BQ17" i="13"/>
  <c r="BQ18" i="13"/>
  <c r="BQ12" i="13"/>
  <c r="BA13" i="13"/>
  <c r="BA14" i="13"/>
  <c r="BA15" i="13"/>
  <c r="BA16" i="13"/>
  <c r="BA17" i="13"/>
  <c r="BA18" i="13"/>
  <c r="BA19" i="13"/>
  <c r="BA20" i="13"/>
  <c r="BA21" i="13"/>
  <c r="BA22" i="13"/>
  <c r="BA23" i="13"/>
  <c r="BA24" i="13"/>
  <c r="BA25" i="13"/>
  <c r="BA26" i="13"/>
  <c r="BA27" i="13"/>
  <c r="BA28" i="13"/>
  <c r="BA29" i="13"/>
  <c r="BA30" i="13"/>
  <c r="BA31" i="13"/>
  <c r="BA32" i="13"/>
  <c r="BA33" i="13"/>
  <c r="BA34" i="13"/>
  <c r="BA35" i="13"/>
  <c r="BA36" i="13"/>
  <c r="BA37" i="13"/>
  <c r="BA38" i="13"/>
  <c r="BA39" i="13"/>
  <c r="BA40" i="13"/>
  <c r="BA41" i="13"/>
  <c r="BA42" i="13"/>
  <c r="BA43" i="13"/>
  <c r="BA44" i="13"/>
  <c r="BA45" i="13"/>
  <c r="BA46" i="13"/>
  <c r="BA47" i="13"/>
  <c r="BA48" i="13"/>
  <c r="BA49" i="13"/>
  <c r="BA50" i="13"/>
  <c r="BA51" i="13"/>
  <c r="BA52" i="13"/>
  <c r="BA53" i="13"/>
  <c r="BA54" i="13"/>
  <c r="BA55" i="13"/>
  <c r="BA56" i="13"/>
  <c r="BA57" i="13"/>
  <c r="BA58" i="13"/>
  <c r="BA59" i="13"/>
  <c r="BA60" i="13"/>
  <c r="BA61" i="13"/>
  <c r="BA12" i="13"/>
  <c r="BB13" i="13"/>
  <c r="BB14" i="13"/>
  <c r="BB15" i="13"/>
  <c r="BB16" i="13"/>
  <c r="BB17" i="13"/>
  <c r="BB18" i="13"/>
  <c r="BB21" i="13"/>
  <c r="BB22" i="13"/>
  <c r="BB23" i="13"/>
  <c r="BB24" i="13"/>
  <c r="BB25" i="13"/>
  <c r="BB26" i="13"/>
  <c r="BB27" i="13"/>
  <c r="BB28" i="13"/>
  <c r="BB29" i="13"/>
  <c r="BB30" i="13"/>
  <c r="BB31" i="13"/>
  <c r="BB32" i="13"/>
  <c r="BB33" i="13"/>
  <c r="BB34" i="13"/>
  <c r="BB35" i="13"/>
  <c r="BB36" i="13"/>
  <c r="BB37" i="13"/>
  <c r="BB38" i="13"/>
  <c r="BB39" i="13"/>
  <c r="BB40" i="13"/>
  <c r="BB41" i="13"/>
  <c r="BB42" i="13"/>
  <c r="BB43" i="13"/>
  <c r="BB44" i="13"/>
  <c r="BB45" i="13"/>
  <c r="BB46" i="13"/>
  <c r="BB47" i="13"/>
  <c r="BB48" i="13"/>
  <c r="BB49" i="13"/>
  <c r="BB50" i="13"/>
  <c r="BB51" i="13"/>
  <c r="BB52" i="13"/>
  <c r="BB53" i="13"/>
  <c r="BB54" i="13"/>
  <c r="BB55" i="13"/>
  <c r="BB56" i="13"/>
  <c r="BB57" i="13"/>
  <c r="BB58" i="13"/>
  <c r="BB59" i="13"/>
  <c r="BB60" i="13"/>
  <c r="BB61" i="13"/>
  <c r="BB12" i="13"/>
  <c r="F13" i="13"/>
  <c r="BG13" i="13" s="1"/>
  <c r="F14" i="13"/>
  <c r="BG14" i="13" s="1"/>
  <c r="F15" i="13"/>
  <c r="BG15" i="13" s="1"/>
  <c r="F16" i="13"/>
  <c r="BG16" i="13" s="1"/>
  <c r="F17" i="13"/>
  <c r="BG17" i="13" s="1"/>
  <c r="F18" i="13"/>
  <c r="BG18" i="13" s="1"/>
  <c r="F12" i="13"/>
  <c r="BG12" i="13" s="1"/>
  <c r="AZ13" i="13"/>
  <c r="AZ14" i="13"/>
  <c r="AZ15" i="13"/>
  <c r="AZ16" i="13"/>
  <c r="AZ17" i="13"/>
  <c r="AZ18" i="13"/>
  <c r="AZ19" i="13"/>
  <c r="AZ20" i="13"/>
  <c r="AZ21" i="13"/>
  <c r="AZ22" i="13"/>
  <c r="AZ23" i="13"/>
  <c r="AZ24" i="13"/>
  <c r="AZ25" i="13"/>
  <c r="AZ26" i="13"/>
  <c r="AZ27" i="13"/>
  <c r="AZ28" i="13"/>
  <c r="AZ29" i="13"/>
  <c r="AZ30" i="13"/>
  <c r="AZ31" i="13"/>
  <c r="AZ32" i="13"/>
  <c r="AZ33" i="13"/>
  <c r="AZ34" i="13"/>
  <c r="AZ35" i="13"/>
  <c r="AZ36" i="13"/>
  <c r="AZ37" i="13"/>
  <c r="AZ38" i="13"/>
  <c r="AZ39" i="13"/>
  <c r="AZ40" i="13"/>
  <c r="BC40" i="13" s="1"/>
  <c r="AZ41" i="13"/>
  <c r="AZ42" i="13"/>
  <c r="AZ43" i="13"/>
  <c r="AZ44" i="13"/>
  <c r="AZ45" i="13"/>
  <c r="AZ46" i="13"/>
  <c r="AZ47" i="13"/>
  <c r="AZ48" i="13"/>
  <c r="BC48" i="13" s="1"/>
  <c r="AZ49" i="13"/>
  <c r="AZ50" i="13"/>
  <c r="AZ51" i="13"/>
  <c r="AZ52" i="13"/>
  <c r="AZ53" i="13"/>
  <c r="AZ54" i="13"/>
  <c r="AZ55" i="13"/>
  <c r="AZ56" i="13"/>
  <c r="BC56" i="13" s="1"/>
  <c r="AZ57" i="13"/>
  <c r="AZ58" i="13"/>
  <c r="AZ59" i="13"/>
  <c r="AZ60" i="13"/>
  <c r="AZ61" i="13"/>
  <c r="AZ12" i="13"/>
  <c r="E36" i="13"/>
  <c r="E37" i="13"/>
  <c r="D22" i="13"/>
  <c r="E22" i="13" s="1"/>
  <c r="F22" i="13" s="1"/>
  <c r="D23" i="13"/>
  <c r="E23" i="13" s="1"/>
  <c r="CD23" i="13" s="1"/>
  <c r="D24" i="13"/>
  <c r="E24" i="13" s="1"/>
  <c r="F24" i="13" s="1"/>
  <c r="D25" i="13"/>
  <c r="E25" i="13" s="1"/>
  <c r="F25" i="13" s="1"/>
  <c r="D26" i="13"/>
  <c r="E26" i="13" s="1"/>
  <c r="F26" i="13" s="1"/>
  <c r="D27" i="13"/>
  <c r="E27" i="13" s="1"/>
  <c r="F27" i="13" s="1"/>
  <c r="D28" i="13"/>
  <c r="E28" i="13" s="1"/>
  <c r="F28" i="13" s="1"/>
  <c r="D29" i="13"/>
  <c r="E29" i="13" s="1"/>
  <c r="F29" i="13" s="1"/>
  <c r="D30" i="13"/>
  <c r="E30" i="13" s="1"/>
  <c r="D31" i="13"/>
  <c r="E31" i="13" s="1"/>
  <c r="F31" i="13" s="1"/>
  <c r="D32" i="13"/>
  <c r="E32" i="13" s="1"/>
  <c r="F32" i="13" s="1"/>
  <c r="D33" i="13"/>
  <c r="E33" i="13" s="1"/>
  <c r="F33" i="13" s="1"/>
  <c r="D34" i="13"/>
  <c r="E34" i="13" s="1"/>
  <c r="F34" i="13" s="1"/>
  <c r="D35" i="13"/>
  <c r="E35" i="13" s="1"/>
  <c r="F35" i="13" s="1"/>
  <c r="D38" i="13"/>
  <c r="E38" i="13" s="1"/>
  <c r="F38" i="13" s="1"/>
  <c r="D39" i="13"/>
  <c r="E39" i="13" s="1"/>
  <c r="F39" i="13" s="1"/>
  <c r="D40" i="13"/>
  <c r="E40" i="13" s="1"/>
  <c r="F40" i="13" s="1"/>
  <c r="D41" i="13"/>
  <c r="E41" i="13" s="1"/>
  <c r="F41" i="13" s="1"/>
  <c r="D42" i="13"/>
  <c r="E42" i="13" s="1"/>
  <c r="F42" i="13" s="1"/>
  <c r="D43" i="13"/>
  <c r="E43" i="13" s="1"/>
  <c r="F43" i="13" s="1"/>
  <c r="D44" i="13"/>
  <c r="E44" i="13" s="1"/>
  <c r="F44" i="13" s="1"/>
  <c r="D45" i="13"/>
  <c r="E45" i="13" s="1"/>
  <c r="F45" i="13" s="1"/>
  <c r="D46" i="13"/>
  <c r="D47" i="13"/>
  <c r="E47" i="13" s="1"/>
  <c r="F47" i="13" s="1"/>
  <c r="D48" i="13"/>
  <c r="E48" i="13" s="1"/>
  <c r="F48" i="13" s="1"/>
  <c r="D49" i="13"/>
  <c r="E49" i="13" s="1"/>
  <c r="F49" i="13" s="1"/>
  <c r="D50" i="13"/>
  <c r="E50" i="13" s="1"/>
  <c r="F50" i="13" s="1"/>
  <c r="D51" i="13"/>
  <c r="E51" i="13" s="1"/>
  <c r="F51" i="13" s="1"/>
  <c r="D52" i="13"/>
  <c r="E52" i="13" s="1"/>
  <c r="F52" i="13" s="1"/>
  <c r="D53" i="13"/>
  <c r="E53" i="13" s="1"/>
  <c r="F53" i="13" s="1"/>
  <c r="D54" i="13"/>
  <c r="E54" i="13" s="1"/>
  <c r="F54" i="13" s="1"/>
  <c r="D55" i="13"/>
  <c r="E55" i="13" s="1"/>
  <c r="F55" i="13" s="1"/>
  <c r="D56" i="13"/>
  <c r="E56" i="13" s="1"/>
  <c r="F56" i="13" s="1"/>
  <c r="D57" i="13"/>
  <c r="E57" i="13" s="1"/>
  <c r="F57" i="13" s="1"/>
  <c r="D58" i="13"/>
  <c r="E58" i="13" s="1"/>
  <c r="F58" i="13" s="1"/>
  <c r="D59" i="13"/>
  <c r="E59" i="13" s="1"/>
  <c r="F59" i="13" s="1"/>
  <c r="D60" i="13"/>
  <c r="E60" i="13" s="1"/>
  <c r="F60" i="13" s="1"/>
  <c r="D61" i="13"/>
  <c r="E61" i="13" s="1"/>
  <c r="F61" i="13" s="1"/>
  <c r="D21" i="13"/>
  <c r="E21" i="13" s="1"/>
  <c r="CD21" i="13" s="1"/>
  <c r="D13" i="13"/>
  <c r="D14" i="13"/>
  <c r="D15" i="13"/>
  <c r="D16" i="13"/>
  <c r="D17" i="13"/>
  <c r="D18" i="13"/>
  <c r="D12" i="13"/>
  <c r="H9" i="13"/>
  <c r="H11" i="13" s="1"/>
  <c r="BN52" i="12"/>
  <c r="BM52" i="12"/>
  <c r="BL52" i="12"/>
  <c r="BK52" i="12"/>
  <c r="BJ52" i="12"/>
  <c r="BI52" i="12"/>
  <c r="BH52" i="12"/>
  <c r="BG52" i="12"/>
  <c r="BE52" i="12"/>
  <c r="BC52" i="12"/>
  <c r="BA52" i="12"/>
  <c r="AY52" i="12"/>
  <c r="BM16" i="12"/>
  <c r="BM17" i="12"/>
  <c r="BM18" i="12"/>
  <c r="BM19" i="12"/>
  <c r="BM20" i="12"/>
  <c r="BM21" i="12"/>
  <c r="BM22" i="12"/>
  <c r="BM23" i="12"/>
  <c r="BM24" i="12"/>
  <c r="BM25" i="12"/>
  <c r="BM26" i="12"/>
  <c r="BM27" i="12"/>
  <c r="BM28" i="12"/>
  <c r="BM29" i="12"/>
  <c r="BM30" i="12"/>
  <c r="BM31" i="12"/>
  <c r="BM32" i="12"/>
  <c r="BM33" i="12"/>
  <c r="BM34" i="12"/>
  <c r="BM35" i="12"/>
  <c r="BM36" i="12"/>
  <c r="BM37" i="12"/>
  <c r="BM38" i="12"/>
  <c r="BM39" i="12"/>
  <c r="BM40" i="12"/>
  <c r="BM41" i="12"/>
  <c r="BM42" i="12"/>
  <c r="BM43" i="12"/>
  <c r="BM44" i="12"/>
  <c r="BM45" i="12"/>
  <c r="BM46" i="12"/>
  <c r="BM47" i="12"/>
  <c r="BM48" i="12"/>
  <c r="BM49" i="12"/>
  <c r="BM50" i="12"/>
  <c r="BM51" i="12"/>
  <c r="BL16" i="12"/>
  <c r="BL17" i="12"/>
  <c r="BL18" i="12"/>
  <c r="BL19" i="12"/>
  <c r="BL20" i="12"/>
  <c r="BL21" i="12"/>
  <c r="BL22" i="12"/>
  <c r="BL23" i="12"/>
  <c r="BL24" i="12"/>
  <c r="BL25" i="12"/>
  <c r="BL26" i="12"/>
  <c r="BL27" i="12"/>
  <c r="BL28" i="12"/>
  <c r="BL29" i="12"/>
  <c r="BL30" i="12"/>
  <c r="BL31" i="12"/>
  <c r="BL32" i="12"/>
  <c r="BL33" i="12"/>
  <c r="BL34" i="12"/>
  <c r="BL35" i="12"/>
  <c r="BL36" i="12"/>
  <c r="BL37" i="12"/>
  <c r="BL38" i="12"/>
  <c r="BL39" i="12"/>
  <c r="BL40" i="12"/>
  <c r="BL41" i="12"/>
  <c r="BL42" i="12"/>
  <c r="BL43" i="12"/>
  <c r="BL44" i="12"/>
  <c r="BL45" i="12"/>
  <c r="BL46" i="12"/>
  <c r="BL47" i="12"/>
  <c r="BL48" i="12"/>
  <c r="BL49" i="12"/>
  <c r="BL50" i="12"/>
  <c r="BL51" i="12"/>
  <c r="BK16" i="12"/>
  <c r="BK17" i="12"/>
  <c r="BK18" i="12"/>
  <c r="BK19" i="12"/>
  <c r="BK20" i="12"/>
  <c r="BK21" i="12"/>
  <c r="BK22" i="12"/>
  <c r="BK23" i="12"/>
  <c r="BK24" i="12"/>
  <c r="BK25" i="12"/>
  <c r="BK26" i="12"/>
  <c r="BK27" i="12"/>
  <c r="BK28" i="12"/>
  <c r="BK29" i="12"/>
  <c r="BK30" i="12"/>
  <c r="BK31" i="12"/>
  <c r="BK32" i="12"/>
  <c r="BK33" i="12"/>
  <c r="BK34" i="12"/>
  <c r="BK35" i="12"/>
  <c r="BK36" i="12"/>
  <c r="BK37" i="12"/>
  <c r="BK38" i="12"/>
  <c r="BK39" i="12"/>
  <c r="BK40" i="12"/>
  <c r="BK41" i="12"/>
  <c r="BK42" i="12"/>
  <c r="BK43" i="12"/>
  <c r="BK44" i="12"/>
  <c r="BK45" i="12"/>
  <c r="BK46" i="12"/>
  <c r="BK47" i="12"/>
  <c r="BK48" i="12"/>
  <c r="BK49" i="12"/>
  <c r="BK50" i="12"/>
  <c r="BK51" i="12"/>
  <c r="BJ16" i="12"/>
  <c r="BJ17" i="12"/>
  <c r="BJ18" i="12"/>
  <c r="BJ19" i="12"/>
  <c r="BJ20" i="12"/>
  <c r="BJ21" i="12"/>
  <c r="BJ22" i="12"/>
  <c r="BJ23" i="12"/>
  <c r="BJ24" i="12"/>
  <c r="BJ25" i="12"/>
  <c r="BJ26" i="12"/>
  <c r="BJ27" i="12"/>
  <c r="BJ28" i="12"/>
  <c r="BJ29" i="12"/>
  <c r="BJ30" i="12"/>
  <c r="BJ31" i="12"/>
  <c r="BJ32" i="12"/>
  <c r="BJ33" i="12"/>
  <c r="BJ34" i="12"/>
  <c r="BJ35" i="12"/>
  <c r="BJ36" i="12"/>
  <c r="BJ37" i="12"/>
  <c r="BJ38" i="12"/>
  <c r="BJ39" i="12"/>
  <c r="BJ40" i="12"/>
  <c r="BJ41" i="12"/>
  <c r="BJ42" i="12"/>
  <c r="BJ43" i="12"/>
  <c r="BJ44" i="12"/>
  <c r="BJ45" i="12"/>
  <c r="BJ46" i="12"/>
  <c r="BJ47" i="12"/>
  <c r="BJ48" i="12"/>
  <c r="BJ49" i="12"/>
  <c r="BJ50" i="12"/>
  <c r="BJ51" i="12"/>
  <c r="BI16" i="12"/>
  <c r="BI17" i="12"/>
  <c r="BI18" i="12"/>
  <c r="BI19" i="12"/>
  <c r="BI20" i="12"/>
  <c r="BI21" i="12"/>
  <c r="BI22" i="12"/>
  <c r="BI23" i="12"/>
  <c r="BI24" i="12"/>
  <c r="BI25" i="12"/>
  <c r="BI26" i="12"/>
  <c r="BI27" i="12"/>
  <c r="BI28" i="12"/>
  <c r="BI29" i="12"/>
  <c r="BI30" i="12"/>
  <c r="BI31" i="12"/>
  <c r="BI32" i="12"/>
  <c r="BI33" i="12"/>
  <c r="BI34" i="12"/>
  <c r="BI35" i="12"/>
  <c r="BI36" i="12"/>
  <c r="BI37" i="12"/>
  <c r="BI38" i="12"/>
  <c r="BI39" i="12"/>
  <c r="BI40" i="12"/>
  <c r="BI41" i="12"/>
  <c r="BI42" i="12"/>
  <c r="BI43" i="12"/>
  <c r="BI44" i="12"/>
  <c r="BI45" i="12"/>
  <c r="BI46" i="12"/>
  <c r="BI47" i="12"/>
  <c r="BI48" i="12"/>
  <c r="BI49" i="12"/>
  <c r="BI50" i="12"/>
  <c r="BI51" i="12"/>
  <c r="BH16" i="12"/>
  <c r="BH17" i="12"/>
  <c r="BN17" i="12" s="1"/>
  <c r="BO17" i="12" s="1"/>
  <c r="BH18" i="12"/>
  <c r="BN18" i="12" s="1"/>
  <c r="BO18" i="12" s="1"/>
  <c r="BH19" i="12"/>
  <c r="BN19" i="12" s="1"/>
  <c r="BO19" i="12" s="1"/>
  <c r="BH20" i="12"/>
  <c r="BN20" i="12" s="1"/>
  <c r="BO20" i="12" s="1"/>
  <c r="BH21" i="12"/>
  <c r="BN21" i="12" s="1"/>
  <c r="BO21" i="12" s="1"/>
  <c r="BH22" i="12"/>
  <c r="BN22" i="12" s="1"/>
  <c r="BH23" i="12"/>
  <c r="BN23" i="12" s="1"/>
  <c r="BO23" i="12" s="1"/>
  <c r="BH24" i="12"/>
  <c r="BN24" i="12" s="1"/>
  <c r="BO24" i="12" s="1"/>
  <c r="BH25" i="12"/>
  <c r="BN25" i="12" s="1"/>
  <c r="BO25" i="12" s="1"/>
  <c r="BH26" i="12"/>
  <c r="BN26" i="12" s="1"/>
  <c r="BO26" i="12" s="1"/>
  <c r="BH27" i="12"/>
  <c r="BN27" i="12" s="1"/>
  <c r="BO27" i="12" s="1"/>
  <c r="BH28" i="12"/>
  <c r="BN28" i="12" s="1"/>
  <c r="BO28" i="12" s="1"/>
  <c r="BH29" i="12"/>
  <c r="BN29" i="12" s="1"/>
  <c r="BO29" i="12" s="1"/>
  <c r="BH30" i="12"/>
  <c r="BN30" i="12" s="1"/>
  <c r="BO30" i="12" s="1"/>
  <c r="BH31" i="12"/>
  <c r="BN31" i="12" s="1"/>
  <c r="BO31" i="12" s="1"/>
  <c r="BH32" i="12"/>
  <c r="BN32" i="12" s="1"/>
  <c r="BO32" i="12" s="1"/>
  <c r="BH33" i="12"/>
  <c r="BN33" i="12" s="1"/>
  <c r="BO33" i="12" s="1"/>
  <c r="BH34" i="12"/>
  <c r="BN34" i="12" s="1"/>
  <c r="BO34" i="12" s="1"/>
  <c r="BH35" i="12"/>
  <c r="BN35" i="12" s="1"/>
  <c r="BO35" i="12" s="1"/>
  <c r="BH36" i="12"/>
  <c r="BN36" i="12" s="1"/>
  <c r="BO36" i="12" s="1"/>
  <c r="BH37" i="12"/>
  <c r="BN37" i="12" s="1"/>
  <c r="BO37" i="12" s="1"/>
  <c r="BH38" i="12"/>
  <c r="BN38" i="12" s="1"/>
  <c r="BO38" i="12" s="1"/>
  <c r="BH39" i="12"/>
  <c r="BN39" i="12" s="1"/>
  <c r="BO39" i="12" s="1"/>
  <c r="BH40" i="12"/>
  <c r="BN40" i="12" s="1"/>
  <c r="BO40" i="12" s="1"/>
  <c r="BH41" i="12"/>
  <c r="BN41" i="12" s="1"/>
  <c r="BO41" i="12" s="1"/>
  <c r="BH42" i="12"/>
  <c r="BN42" i="12" s="1"/>
  <c r="BO42" i="12" s="1"/>
  <c r="BH43" i="12"/>
  <c r="BN43" i="12" s="1"/>
  <c r="BO43" i="12" s="1"/>
  <c r="BH44" i="12"/>
  <c r="BN44" i="12" s="1"/>
  <c r="BO44" i="12" s="1"/>
  <c r="BH45" i="12"/>
  <c r="BN45" i="12" s="1"/>
  <c r="BO45" i="12" s="1"/>
  <c r="BH46" i="12"/>
  <c r="BN46" i="12" s="1"/>
  <c r="BO46" i="12" s="1"/>
  <c r="BH47" i="12"/>
  <c r="BN47" i="12" s="1"/>
  <c r="BO47" i="12" s="1"/>
  <c r="BH48" i="12"/>
  <c r="BN48" i="12" s="1"/>
  <c r="BO48" i="12" s="1"/>
  <c r="BH49" i="12"/>
  <c r="BN49" i="12" s="1"/>
  <c r="BO49" i="12" s="1"/>
  <c r="BH50" i="12"/>
  <c r="BN50" i="12" s="1"/>
  <c r="BO50" i="12" s="1"/>
  <c r="BH51" i="12"/>
  <c r="BN51" i="12" s="1"/>
  <c r="BO51" i="12" s="1"/>
  <c r="BM15" i="12"/>
  <c r="BL15" i="12"/>
  <c r="BK15" i="12"/>
  <c r="BJ15" i="12"/>
  <c r="BI15" i="12"/>
  <c r="BH15" i="12"/>
  <c r="BN15" i="12" s="1"/>
  <c r="BO15" i="12" s="1"/>
  <c r="AS17" i="12"/>
  <c r="AS18" i="12"/>
  <c r="AS19" i="12"/>
  <c r="AS20" i="12"/>
  <c r="AS21" i="12"/>
  <c r="AS22" i="12"/>
  <c r="AS23" i="12"/>
  <c r="AS24" i="12"/>
  <c r="AS25" i="12"/>
  <c r="AS26" i="12"/>
  <c r="AS27" i="12"/>
  <c r="AS28" i="12"/>
  <c r="AS29" i="12"/>
  <c r="AS30" i="12"/>
  <c r="AS31" i="12"/>
  <c r="AS32" i="12"/>
  <c r="AS33" i="12"/>
  <c r="AS34" i="12"/>
  <c r="AS35" i="12"/>
  <c r="AS36" i="12"/>
  <c r="AS37" i="12"/>
  <c r="AS38" i="12"/>
  <c r="AS39" i="12"/>
  <c r="AS40" i="12"/>
  <c r="AS41" i="12"/>
  <c r="AS42" i="12"/>
  <c r="AS43" i="12"/>
  <c r="AS44" i="12"/>
  <c r="AS45" i="12"/>
  <c r="AS46" i="12"/>
  <c r="AS47" i="12"/>
  <c r="AS48" i="12"/>
  <c r="AS49" i="12"/>
  <c r="AS50" i="12"/>
  <c r="AS51" i="12"/>
  <c r="AO17" i="12"/>
  <c r="AO18" i="12"/>
  <c r="AO19" i="12"/>
  <c r="AO20" i="12"/>
  <c r="AO21" i="12"/>
  <c r="AO22" i="12"/>
  <c r="AO23" i="12"/>
  <c r="AO24" i="12"/>
  <c r="AO25" i="12"/>
  <c r="AO26" i="12"/>
  <c r="AO27" i="12"/>
  <c r="AO28" i="12"/>
  <c r="AO29" i="12"/>
  <c r="AO30" i="12"/>
  <c r="AO31" i="12"/>
  <c r="AO32" i="12"/>
  <c r="AO33" i="12"/>
  <c r="AO34" i="12"/>
  <c r="AO35" i="12"/>
  <c r="AO36" i="12"/>
  <c r="AO37" i="12"/>
  <c r="AO38" i="12"/>
  <c r="AO39" i="12"/>
  <c r="AO40" i="12"/>
  <c r="AO41" i="12"/>
  <c r="AO42" i="12"/>
  <c r="AO43" i="12"/>
  <c r="AO44" i="12"/>
  <c r="AO45" i="12"/>
  <c r="AO46" i="12"/>
  <c r="AO47" i="12"/>
  <c r="AO48" i="12"/>
  <c r="AO49" i="12"/>
  <c r="AO50" i="12"/>
  <c r="AO51" i="12"/>
  <c r="AO16" i="12"/>
  <c r="AO15" i="12"/>
  <c r="AQ23" i="12"/>
  <c r="AS16" i="12"/>
  <c r="AS15" i="12"/>
  <c r="I13" i="12"/>
  <c r="F16" i="12"/>
  <c r="AY16" i="12" s="1"/>
  <c r="F17" i="12"/>
  <c r="F18" i="12"/>
  <c r="F19" i="12"/>
  <c r="F20" i="12"/>
  <c r="AY20" i="12" s="1"/>
  <c r="F21" i="12"/>
  <c r="F22" i="12"/>
  <c r="F23" i="12"/>
  <c r="AY23" i="12" s="1"/>
  <c r="F24" i="12"/>
  <c r="F25" i="12"/>
  <c r="F26" i="12"/>
  <c r="F27" i="12"/>
  <c r="F28" i="12"/>
  <c r="AY28" i="12" s="1"/>
  <c r="F29" i="12"/>
  <c r="F30" i="12"/>
  <c r="F31" i="12"/>
  <c r="AY31" i="12" s="1"/>
  <c r="F32" i="12"/>
  <c r="F33" i="12"/>
  <c r="AY33" i="12" s="1"/>
  <c r="F34" i="12"/>
  <c r="F35" i="12"/>
  <c r="F36" i="12"/>
  <c r="AY36" i="12" s="1"/>
  <c r="F37" i="12"/>
  <c r="F38" i="12"/>
  <c r="AY38" i="12" s="1"/>
  <c r="F39" i="12"/>
  <c r="AY39" i="12" s="1"/>
  <c r="F40" i="12"/>
  <c r="AY40" i="12" s="1"/>
  <c r="F41" i="12"/>
  <c r="AY41" i="12" s="1"/>
  <c r="F42" i="12"/>
  <c r="F43" i="12"/>
  <c r="F44" i="12"/>
  <c r="AY44" i="12" s="1"/>
  <c r="F45" i="12"/>
  <c r="F46" i="12"/>
  <c r="AY46" i="12" s="1"/>
  <c r="F47" i="12"/>
  <c r="AY47" i="12" s="1"/>
  <c r="F48" i="12"/>
  <c r="AY48" i="12" s="1"/>
  <c r="F49" i="12"/>
  <c r="AY49" i="12" s="1"/>
  <c r="F50" i="12"/>
  <c r="F51" i="12"/>
  <c r="F15" i="12"/>
  <c r="G41" i="12"/>
  <c r="AQ24" i="12"/>
  <c r="G25" i="12"/>
  <c r="AQ25" i="12"/>
  <c r="G26" i="12"/>
  <c r="AQ26" i="12"/>
  <c r="G27" i="12"/>
  <c r="AQ27" i="12"/>
  <c r="G28" i="12"/>
  <c r="AQ28" i="12"/>
  <c r="G29" i="12"/>
  <c r="AQ29" i="12"/>
  <c r="G30" i="12"/>
  <c r="AQ30" i="12"/>
  <c r="G31" i="12"/>
  <c r="AQ31" i="12"/>
  <c r="G32" i="12"/>
  <c r="AQ32" i="12"/>
  <c r="G33" i="12"/>
  <c r="AQ33" i="12"/>
  <c r="G34" i="12"/>
  <c r="AQ34" i="12"/>
  <c r="G35" i="12"/>
  <c r="AQ35" i="12"/>
  <c r="G36" i="12"/>
  <c r="AQ36" i="12"/>
  <c r="G37" i="12"/>
  <c r="AQ37" i="12"/>
  <c r="G38" i="12"/>
  <c r="AQ38" i="12"/>
  <c r="G39" i="12"/>
  <c r="AQ39" i="12"/>
  <c r="G40" i="12"/>
  <c r="AQ40" i="12"/>
  <c r="AQ41" i="12"/>
  <c r="G42" i="12"/>
  <c r="AQ42" i="12"/>
  <c r="G43" i="12"/>
  <c r="AQ43" i="12"/>
  <c r="G44" i="12"/>
  <c r="AQ44" i="12"/>
  <c r="G45" i="12"/>
  <c r="AQ45" i="12"/>
  <c r="G46" i="12"/>
  <c r="AQ46" i="12"/>
  <c r="G47" i="12"/>
  <c r="AQ47" i="12"/>
  <c r="G48" i="12"/>
  <c r="AQ48" i="12"/>
  <c r="G49" i="12"/>
  <c r="AQ49" i="12"/>
  <c r="G50" i="12"/>
  <c r="AQ50" i="12"/>
  <c r="G51" i="12"/>
  <c r="AQ51" i="12"/>
  <c r="AQ15" i="12"/>
  <c r="AQ16" i="12"/>
  <c r="AQ17" i="12"/>
  <c r="AQ18" i="12"/>
  <c r="AQ19" i="12"/>
  <c r="AQ20" i="12"/>
  <c r="AQ21" i="12"/>
  <c r="AQ22" i="12"/>
  <c r="AI5" i="12"/>
  <c r="AF5" i="12"/>
  <c r="X5" i="12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17" i="10"/>
  <c r="D6" i="10"/>
  <c r="D7" i="10"/>
  <c r="D8" i="10"/>
  <c r="D9" i="10"/>
  <c r="D10" i="10"/>
  <c r="D11" i="10"/>
  <c r="D12" i="10"/>
  <c r="D13" i="10"/>
  <c r="D14" i="10"/>
  <c r="D5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17" i="10"/>
  <c r="C6" i="10"/>
  <c r="C7" i="10"/>
  <c r="C8" i="10"/>
  <c r="C9" i="10"/>
  <c r="C10" i="10"/>
  <c r="C11" i="10"/>
  <c r="C12" i="10"/>
  <c r="C13" i="10"/>
  <c r="C14" i="10"/>
  <c r="C5" i="10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7" i="3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AM40" i="8"/>
  <c r="AO40" i="8"/>
  <c r="AQ40" i="8"/>
  <c r="AS40" i="8"/>
  <c r="AS41" i="8"/>
  <c r="AS42" i="8"/>
  <c r="AS43" i="8"/>
  <c r="AS44" i="8"/>
  <c r="AS45" i="8"/>
  <c r="AS46" i="8"/>
  <c r="AS47" i="8"/>
  <c r="AS48" i="8"/>
  <c r="AS49" i="8"/>
  <c r="AS50" i="8"/>
  <c r="AS51" i="8"/>
  <c r="AM21" i="8"/>
  <c r="AO21" i="8"/>
  <c r="AQ21" i="8"/>
  <c r="AS21" i="8"/>
  <c r="AS22" i="8"/>
  <c r="AQ16" i="8"/>
  <c r="AQ17" i="8"/>
  <c r="AQ18" i="8"/>
  <c r="AQ19" i="8"/>
  <c r="AQ20" i="8"/>
  <c r="AQ22" i="8"/>
  <c r="AQ24" i="8"/>
  <c r="AQ25" i="8"/>
  <c r="AQ26" i="8"/>
  <c r="AQ27" i="8"/>
  <c r="AQ28" i="8"/>
  <c r="AQ29" i="8"/>
  <c r="AQ30" i="8"/>
  <c r="AQ31" i="8"/>
  <c r="AQ32" i="8"/>
  <c r="AQ33" i="8"/>
  <c r="AQ34" i="8"/>
  <c r="AQ35" i="8"/>
  <c r="AQ36" i="8"/>
  <c r="AQ37" i="8"/>
  <c r="AQ38" i="8"/>
  <c r="AQ39" i="8"/>
  <c r="AQ41" i="8"/>
  <c r="AQ42" i="8"/>
  <c r="AQ43" i="8"/>
  <c r="AQ44" i="8"/>
  <c r="AQ45" i="8"/>
  <c r="AQ46" i="8"/>
  <c r="AQ47" i="8"/>
  <c r="AQ48" i="8"/>
  <c r="AQ49" i="8"/>
  <c r="AQ50" i="8"/>
  <c r="AQ51" i="8"/>
  <c r="AO16" i="8"/>
  <c r="AO17" i="8"/>
  <c r="AO18" i="8"/>
  <c r="AO19" i="8"/>
  <c r="AO20" i="8"/>
  <c r="AO22" i="8"/>
  <c r="AO24" i="8"/>
  <c r="AO25" i="8"/>
  <c r="AO26" i="8"/>
  <c r="AO27" i="8"/>
  <c r="AO28" i="8"/>
  <c r="AO29" i="8"/>
  <c r="AO30" i="8"/>
  <c r="AO31" i="8"/>
  <c r="AO32" i="8"/>
  <c r="AO33" i="8"/>
  <c r="AO34" i="8"/>
  <c r="AO35" i="8"/>
  <c r="AO36" i="8"/>
  <c r="AO37" i="8"/>
  <c r="AO38" i="8"/>
  <c r="AO39" i="8"/>
  <c r="AO41" i="8"/>
  <c r="AO42" i="8"/>
  <c r="AO43" i="8"/>
  <c r="AO44" i="8"/>
  <c r="AO45" i="8"/>
  <c r="AO46" i="8"/>
  <c r="AO47" i="8"/>
  <c r="AO48" i="8"/>
  <c r="AO49" i="8"/>
  <c r="AO50" i="8"/>
  <c r="AO51" i="8"/>
  <c r="AM16" i="8"/>
  <c r="AM17" i="8"/>
  <c r="AM18" i="8"/>
  <c r="AM19" i="8"/>
  <c r="AM20" i="8"/>
  <c r="AM22" i="8"/>
  <c r="AM24" i="8"/>
  <c r="AS24" i="8" s="1"/>
  <c r="AM25" i="8"/>
  <c r="AM26" i="8"/>
  <c r="AS26" i="8"/>
  <c r="AM27" i="8"/>
  <c r="AM28" i="8"/>
  <c r="AM29" i="8"/>
  <c r="AM30" i="8"/>
  <c r="AM31" i="8"/>
  <c r="AS31" i="8"/>
  <c r="AM32" i="8"/>
  <c r="AM33" i="8"/>
  <c r="AS33" i="8"/>
  <c r="AM34" i="8"/>
  <c r="AS34" i="8"/>
  <c r="AM35" i="8"/>
  <c r="AS35" i="8"/>
  <c r="AM36" i="8"/>
  <c r="AS36" i="8"/>
  <c r="AM37" i="8"/>
  <c r="AM38" i="8"/>
  <c r="AM39" i="8"/>
  <c r="AM41" i="8"/>
  <c r="AM42" i="8"/>
  <c r="AM43" i="8"/>
  <c r="AM44" i="8"/>
  <c r="AM45" i="8"/>
  <c r="AM46" i="8"/>
  <c r="AM47" i="8"/>
  <c r="AM48" i="8"/>
  <c r="AM49" i="8"/>
  <c r="AM50" i="8"/>
  <c r="AM51" i="8"/>
  <c r="AQ15" i="8"/>
  <c r="AO15" i="8"/>
  <c r="AM15" i="8"/>
  <c r="AS37" i="8"/>
  <c r="AS38" i="8"/>
  <c r="AS39" i="8"/>
  <c r="AS20" i="8"/>
  <c r="AS32" i="8"/>
  <c r="AS27" i="8"/>
  <c r="AS25" i="8"/>
  <c r="AS30" i="8"/>
  <c r="AS29" i="8"/>
  <c r="AS28" i="8"/>
  <c r="AS17" i="8"/>
  <c r="AS19" i="8"/>
  <c r="AS18" i="8"/>
  <c r="AS16" i="8"/>
  <c r="AS15" i="8"/>
  <c r="G8" i="8"/>
  <c r="H8" i="8"/>
  <c r="AG5" i="8"/>
  <c r="AD5" i="8"/>
  <c r="V5" i="8"/>
  <c r="B12" i="7" a="1"/>
  <c r="B12" i="7"/>
  <c r="B10" i="7" a="1"/>
  <c r="B10" i="7"/>
  <c r="B6" i="7" a="1"/>
  <c r="B6" i="7"/>
  <c r="B5" i="7" a="1"/>
  <c r="B5" i="7"/>
  <c r="B4" i="7" a="1"/>
  <c r="B4" i="7"/>
  <c r="B3" i="7" a="1"/>
  <c r="B3" i="7" s="1"/>
  <c r="AG5" i="6"/>
  <c r="AD5" i="6"/>
  <c r="V5" i="6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C9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37" i="1"/>
  <c r="A38" i="1"/>
  <c r="A39" i="1"/>
  <c r="A30" i="1"/>
  <c r="A31" i="1"/>
  <c r="A32" i="1"/>
  <c r="A22" i="1"/>
  <c r="A9" i="1"/>
  <c r="A10" i="1"/>
  <c r="A11" i="1"/>
  <c r="A12" i="1"/>
  <c r="A13" i="1"/>
  <c r="A14" i="1"/>
  <c r="A15" i="1"/>
  <c r="A16" i="1"/>
  <c r="A17" i="1"/>
  <c r="A18" i="1"/>
  <c r="A19" i="1"/>
  <c r="A20" i="1"/>
  <c r="H13" i="8"/>
  <c r="I8" i="8"/>
  <c r="G13" i="8"/>
  <c r="I13" i="8"/>
  <c r="J8" i="8"/>
  <c r="J13" i="8"/>
  <c r="K8" i="8"/>
  <c r="K13" i="8"/>
  <c r="L8" i="8"/>
  <c r="M8" i="8"/>
  <c r="L13" i="8"/>
  <c r="N8" i="8"/>
  <c r="M13" i="8"/>
  <c r="O8" i="8"/>
  <c r="N13" i="8"/>
  <c r="P8" i="8"/>
  <c r="O13" i="8"/>
  <c r="P13" i="8"/>
  <c r="Q8" i="8"/>
  <c r="Q13" i="8"/>
  <c r="R8" i="8"/>
  <c r="R13" i="8"/>
  <c r="S8" i="8"/>
  <c r="S13" i="8"/>
  <c r="T8" i="8"/>
  <c r="U8" i="8"/>
  <c r="T13" i="8"/>
  <c r="V8" i="8"/>
  <c r="U13" i="8"/>
  <c r="W8" i="8"/>
  <c r="V13" i="8"/>
  <c r="X8" i="8"/>
  <c r="W13" i="8"/>
  <c r="X13" i="8"/>
  <c r="Y8" i="8"/>
  <c r="Y13" i="8"/>
  <c r="Z8" i="8"/>
  <c r="Z13" i="8"/>
  <c r="AA8" i="8"/>
  <c r="AA13" i="8"/>
  <c r="AB8" i="8"/>
  <c r="AC8" i="8"/>
  <c r="AB13" i="8"/>
  <c r="AD8" i="8"/>
  <c r="AC13" i="8"/>
  <c r="AE8" i="8"/>
  <c r="AD13" i="8"/>
  <c r="AF8" i="8"/>
  <c r="AE13" i="8"/>
  <c r="AF13" i="8"/>
  <c r="AG8" i="8"/>
  <c r="AG13" i="8"/>
  <c r="AH8" i="8"/>
  <c r="AH13" i="8"/>
  <c r="AI8" i="8"/>
  <c r="AI13" i="8"/>
  <c r="AJ8" i="8"/>
  <c r="AK8" i="8"/>
  <c r="AJ13" i="8"/>
  <c r="AK13" i="8"/>
  <c r="BC37" i="14" l="1"/>
  <c r="BC27" i="14"/>
  <c r="BC26" i="14"/>
  <c r="BC49" i="14"/>
  <c r="BC22" i="14"/>
  <c r="H8" i="6"/>
  <c r="G13" i="6"/>
  <c r="BC41" i="14"/>
  <c r="BC38" i="14"/>
  <c r="BC36" i="14"/>
  <c r="BC29" i="14"/>
  <c r="BC25" i="14"/>
  <c r="BC21" i="14"/>
  <c r="BC18" i="14"/>
  <c r="M9" i="15"/>
  <c r="L11" i="15"/>
  <c r="BC47" i="14"/>
  <c r="BC46" i="14"/>
  <c r="BC45" i="14"/>
  <c r="BC43" i="14"/>
  <c r="BC35" i="14"/>
  <c r="BC48" i="14"/>
  <c r="CD22" i="13"/>
  <c r="BV26" i="14"/>
  <c r="BT26" i="14"/>
  <c r="BU26" i="14"/>
  <c r="BS26" i="14"/>
  <c r="BT51" i="14"/>
  <c r="BV51" i="14"/>
  <c r="BS51" i="14"/>
  <c r="BU51" i="14"/>
  <c r="BS58" i="14"/>
  <c r="BV58" i="14"/>
  <c r="BU58" i="14"/>
  <c r="BT58" i="14"/>
  <c r="BU23" i="14"/>
  <c r="BS23" i="14"/>
  <c r="BV23" i="14"/>
  <c r="BT23" i="14"/>
  <c r="BT31" i="14"/>
  <c r="BV31" i="14"/>
  <c r="BS31" i="14"/>
  <c r="BU31" i="14"/>
  <c r="BS47" i="14"/>
  <c r="BV47" i="14"/>
  <c r="BU47" i="14"/>
  <c r="BT47" i="14"/>
  <c r="F51" i="14"/>
  <c r="BT54" i="14"/>
  <c r="BV54" i="14"/>
  <c r="BS54" i="14"/>
  <c r="BU54" i="14"/>
  <c r="BV57" i="14"/>
  <c r="BU57" i="14"/>
  <c r="BT57" i="14"/>
  <c r="BS57" i="14"/>
  <c r="F58" i="14"/>
  <c r="BE58" i="14" s="1"/>
  <c r="BU28" i="14"/>
  <c r="BS28" i="14"/>
  <c r="BV28" i="14"/>
  <c r="BT28" i="14"/>
  <c r="BS50" i="14"/>
  <c r="BV50" i="14"/>
  <c r="BU50" i="14"/>
  <c r="BT50" i="14"/>
  <c r="F57" i="14"/>
  <c r="BE57" i="14" s="1"/>
  <c r="BS61" i="14"/>
  <c r="BU61" i="14"/>
  <c r="BV61" i="14"/>
  <c r="BT61" i="14"/>
  <c r="BV25" i="14"/>
  <c r="BT25" i="14"/>
  <c r="BU25" i="14"/>
  <c r="BS25" i="14"/>
  <c r="BS49" i="14"/>
  <c r="BV49" i="14"/>
  <c r="BU49" i="14"/>
  <c r="BT49" i="14"/>
  <c r="F50" i="14"/>
  <c r="BE50" i="14" s="1"/>
  <c r="BV22" i="14"/>
  <c r="BT22" i="14"/>
  <c r="BS22" i="14"/>
  <c r="BU22" i="14"/>
  <c r="BV30" i="14"/>
  <c r="BS30" i="14"/>
  <c r="BU30" i="14"/>
  <c r="BT30" i="14"/>
  <c r="BV46" i="14"/>
  <c r="BU46" i="14"/>
  <c r="BT46" i="14"/>
  <c r="BS46" i="14"/>
  <c r="BT53" i="14"/>
  <c r="BS53" i="14"/>
  <c r="BV53" i="14"/>
  <c r="BU53" i="14"/>
  <c r="BV56" i="14"/>
  <c r="BU56" i="14"/>
  <c r="BT56" i="14"/>
  <c r="BS56" i="14"/>
  <c r="BU60" i="14"/>
  <c r="BV60" i="14"/>
  <c r="BS60" i="14"/>
  <c r="BT60" i="14"/>
  <c r="F23" i="13"/>
  <c r="BE23" i="13" s="1"/>
  <c r="BT27" i="14"/>
  <c r="BV27" i="14"/>
  <c r="BU27" i="14"/>
  <c r="BS27" i="14"/>
  <c r="F21" i="13"/>
  <c r="BG21" i="13" s="1"/>
  <c r="F30" i="13"/>
  <c r="BG30" i="13" s="1"/>
  <c r="BV24" i="14"/>
  <c r="BT24" i="14"/>
  <c r="BU24" i="14"/>
  <c r="BS24" i="14"/>
  <c r="BT32" i="14"/>
  <c r="BS32" i="14"/>
  <c r="BU32" i="14"/>
  <c r="BV32" i="14"/>
  <c r="BS48" i="14"/>
  <c r="BV48" i="14"/>
  <c r="BU48" i="14"/>
  <c r="BT48" i="14"/>
  <c r="BV55" i="14"/>
  <c r="BU55" i="14"/>
  <c r="BT55" i="14"/>
  <c r="BS55" i="14"/>
  <c r="BT59" i="14"/>
  <c r="BS59" i="14"/>
  <c r="BV59" i="14"/>
  <c r="BU59" i="14"/>
  <c r="BU21" i="14"/>
  <c r="BV21" i="14"/>
  <c r="BT21" i="14"/>
  <c r="BS21" i="14"/>
  <c r="BV29" i="14"/>
  <c r="BS29" i="14"/>
  <c r="BU29" i="14"/>
  <c r="BT29" i="14"/>
  <c r="BU52" i="14"/>
  <c r="BT52" i="14"/>
  <c r="BV52" i="14"/>
  <c r="BS52" i="14"/>
  <c r="F59" i="14"/>
  <c r="BE59" i="14" s="1"/>
  <c r="BV45" i="14"/>
  <c r="BS45" i="14"/>
  <c r="BU45" i="14"/>
  <c r="BT45" i="14"/>
  <c r="BU44" i="14"/>
  <c r="BS44" i="14"/>
  <c r="BV44" i="14"/>
  <c r="BT44" i="14"/>
  <c r="BT43" i="14"/>
  <c r="BV43" i="14"/>
  <c r="BU43" i="14"/>
  <c r="BS43" i="14"/>
  <c r="F43" i="14"/>
  <c r="BE43" i="14" s="1"/>
  <c r="BS42" i="14"/>
  <c r="BV42" i="14"/>
  <c r="BT42" i="14"/>
  <c r="BU42" i="14"/>
  <c r="F42" i="14"/>
  <c r="BE42" i="14" s="1"/>
  <c r="BV41" i="14"/>
  <c r="BS41" i="14"/>
  <c r="BU41" i="14"/>
  <c r="BT41" i="14"/>
  <c r="BS40" i="14"/>
  <c r="BT40" i="14"/>
  <c r="BU40" i="14"/>
  <c r="BV40" i="14"/>
  <c r="BC39" i="14"/>
  <c r="BT39" i="14"/>
  <c r="BU39" i="14"/>
  <c r="BS39" i="14"/>
  <c r="BV39" i="14"/>
  <c r="BV38" i="14"/>
  <c r="BT38" i="14"/>
  <c r="BS38" i="14"/>
  <c r="BU38" i="14"/>
  <c r="BT35" i="14"/>
  <c r="BV35" i="14"/>
  <c r="BS35" i="14"/>
  <c r="BU35" i="14"/>
  <c r="BT34" i="14"/>
  <c r="BV34" i="14"/>
  <c r="BS34" i="14"/>
  <c r="BU34" i="14"/>
  <c r="BC34" i="14"/>
  <c r="BT33" i="14"/>
  <c r="BV33" i="14"/>
  <c r="BU33" i="14"/>
  <c r="BS33" i="14"/>
  <c r="BC31" i="14"/>
  <c r="BC28" i="14"/>
  <c r="BC24" i="14"/>
  <c r="BE18" i="14"/>
  <c r="BE17" i="14"/>
  <c r="BE16" i="14"/>
  <c r="CA16" i="14" s="1"/>
  <c r="BC16" i="14"/>
  <c r="BE15" i="14"/>
  <c r="CA15" i="14" s="1"/>
  <c r="BC15" i="14"/>
  <c r="BC14" i="14"/>
  <c r="BE14" i="14"/>
  <c r="CA14" i="14" s="1"/>
  <c r="BE13" i="14"/>
  <c r="BC13" i="14"/>
  <c r="BE12" i="14"/>
  <c r="CA12" i="14" s="1"/>
  <c r="BE49" i="14"/>
  <c r="BY13" i="14"/>
  <c r="BY12" i="14"/>
  <c r="BC42" i="14"/>
  <c r="BC23" i="14"/>
  <c r="BC30" i="14"/>
  <c r="BC50" i="14"/>
  <c r="BC51" i="14"/>
  <c r="BC12" i="14"/>
  <c r="BC40" i="14"/>
  <c r="BC44" i="14"/>
  <c r="BC20" i="14"/>
  <c r="BC32" i="14"/>
  <c r="F38" i="14"/>
  <c r="F61" i="14"/>
  <c r="BG12" i="14"/>
  <c r="BW18" i="14"/>
  <c r="BY18" i="14" s="1"/>
  <c r="F28" i="14"/>
  <c r="F39" i="14"/>
  <c r="F40" i="14"/>
  <c r="F47" i="14"/>
  <c r="F48" i="14"/>
  <c r="F53" i="14"/>
  <c r="F25" i="14"/>
  <c r="BE36" i="14"/>
  <c r="F23" i="14"/>
  <c r="F41" i="14"/>
  <c r="F54" i="14"/>
  <c r="BC17" i="14"/>
  <c r="F27" i="14"/>
  <c r="F46" i="14"/>
  <c r="F24" i="14"/>
  <c r="F31" i="14"/>
  <c r="F33" i="14"/>
  <c r="BE37" i="14"/>
  <c r="F56" i="14"/>
  <c r="BW17" i="14"/>
  <c r="BY17" i="14" s="1"/>
  <c r="F29" i="14"/>
  <c r="F30" i="14"/>
  <c r="BC33" i="14"/>
  <c r="F55" i="14"/>
  <c r="F35" i="14"/>
  <c r="F45" i="14"/>
  <c r="F22" i="14"/>
  <c r="F21" i="14"/>
  <c r="F26" i="14"/>
  <c r="F34" i="14"/>
  <c r="F44" i="14"/>
  <c r="F52" i="14"/>
  <c r="F60" i="14"/>
  <c r="BW36" i="14"/>
  <c r="BY36" i="14" s="1"/>
  <c r="BW37" i="14"/>
  <c r="BY37" i="14" s="1"/>
  <c r="I9" i="14"/>
  <c r="F32" i="14"/>
  <c r="BW15" i="13"/>
  <c r="BS21" i="13"/>
  <c r="BS45" i="13"/>
  <c r="BT21" i="13"/>
  <c r="BS54" i="13"/>
  <c r="BT55" i="13"/>
  <c r="BT54" i="13"/>
  <c r="BG33" i="13"/>
  <c r="BV33" i="13"/>
  <c r="BV25" i="13"/>
  <c r="BW12" i="13"/>
  <c r="BY12" i="13" s="1"/>
  <c r="BS38" i="13"/>
  <c r="BT47" i="13"/>
  <c r="BU55" i="13"/>
  <c r="BV48" i="13"/>
  <c r="BE18" i="13"/>
  <c r="BW18" i="13"/>
  <c r="BY18" i="13" s="1"/>
  <c r="BS37" i="13"/>
  <c r="BT39" i="13"/>
  <c r="BU48" i="13"/>
  <c r="BV41" i="13"/>
  <c r="BV57" i="13"/>
  <c r="BT22" i="13"/>
  <c r="BV49" i="13"/>
  <c r="BE28" i="13"/>
  <c r="BE60" i="13"/>
  <c r="BE52" i="13"/>
  <c r="BE44" i="13"/>
  <c r="BW17" i="13"/>
  <c r="BY17" i="13" s="1"/>
  <c r="BW14" i="13"/>
  <c r="BY14" i="13" s="1"/>
  <c r="BS30" i="13"/>
  <c r="BT38" i="13"/>
  <c r="BU47" i="13"/>
  <c r="BV40" i="13"/>
  <c r="BT23" i="13"/>
  <c r="BW16" i="13"/>
  <c r="BY16" i="13" s="1"/>
  <c r="BS29" i="13"/>
  <c r="BT31" i="13"/>
  <c r="BU40" i="13"/>
  <c r="BW13" i="13"/>
  <c r="BY13" i="13" s="1"/>
  <c r="BV56" i="13"/>
  <c r="BU56" i="13"/>
  <c r="BY15" i="13"/>
  <c r="BS22" i="13"/>
  <c r="BT30" i="13"/>
  <c r="BU39" i="13"/>
  <c r="BE61" i="13"/>
  <c r="BS61" i="13"/>
  <c r="BV61" i="13"/>
  <c r="BU61" i="13"/>
  <c r="BT61" i="13"/>
  <c r="BE53" i="13"/>
  <c r="BV53" i="13"/>
  <c r="BS53" i="13"/>
  <c r="BU53" i="13"/>
  <c r="BT53" i="13"/>
  <c r="BE43" i="13"/>
  <c r="BV43" i="13"/>
  <c r="BU43" i="13"/>
  <c r="BT43" i="13"/>
  <c r="BS43" i="13"/>
  <c r="BU31" i="13"/>
  <c r="BU23" i="13"/>
  <c r="BV32" i="13"/>
  <c r="BE37" i="13"/>
  <c r="BS55" i="13"/>
  <c r="BS47" i="13"/>
  <c r="BS39" i="13"/>
  <c r="BS31" i="13"/>
  <c r="BS23" i="13"/>
  <c r="BT56" i="13"/>
  <c r="BT48" i="13"/>
  <c r="BT40" i="13"/>
  <c r="BT32" i="13"/>
  <c r="BT24" i="13"/>
  <c r="BU57" i="13"/>
  <c r="BU49" i="13"/>
  <c r="BU41" i="13"/>
  <c r="BU33" i="13"/>
  <c r="BU25" i="13"/>
  <c r="BV58" i="13"/>
  <c r="BV50" i="13"/>
  <c r="BV42" i="13"/>
  <c r="BV34" i="13"/>
  <c r="BV26" i="13"/>
  <c r="BU32" i="13"/>
  <c r="BS60" i="13"/>
  <c r="BS52" i="13"/>
  <c r="BS44" i="13"/>
  <c r="BS36" i="13"/>
  <c r="BS28" i="13"/>
  <c r="BT45" i="13"/>
  <c r="BT37" i="13"/>
  <c r="BT29" i="13"/>
  <c r="BU21" i="13"/>
  <c r="BU54" i="13"/>
  <c r="BU38" i="13"/>
  <c r="BU30" i="13"/>
  <c r="BU22" i="13"/>
  <c r="BV55" i="13"/>
  <c r="BV47" i="13"/>
  <c r="BV39" i="13"/>
  <c r="BV31" i="13"/>
  <c r="BV23" i="13"/>
  <c r="BS59" i="13"/>
  <c r="BS51" i="13"/>
  <c r="BS35" i="13"/>
  <c r="BS27" i="13"/>
  <c r="BT60" i="13"/>
  <c r="BT52" i="13"/>
  <c r="BT44" i="13"/>
  <c r="BT36" i="13"/>
  <c r="BT28" i="13"/>
  <c r="BU45" i="13"/>
  <c r="BU37" i="13"/>
  <c r="BU29" i="13"/>
  <c r="BV21" i="13"/>
  <c r="BV54" i="13"/>
  <c r="BV38" i="13"/>
  <c r="BV30" i="13"/>
  <c r="BV22" i="13"/>
  <c r="BU24" i="13"/>
  <c r="BS58" i="13"/>
  <c r="BS50" i="13"/>
  <c r="BS42" i="13"/>
  <c r="BS34" i="13"/>
  <c r="BS26" i="13"/>
  <c r="BT59" i="13"/>
  <c r="BT51" i="13"/>
  <c r="BT35" i="13"/>
  <c r="BT27" i="13"/>
  <c r="BU60" i="13"/>
  <c r="BU52" i="13"/>
  <c r="BU44" i="13"/>
  <c r="BU36" i="13"/>
  <c r="BU28" i="13"/>
  <c r="BV45" i="13"/>
  <c r="BV37" i="13"/>
  <c r="BV29" i="13"/>
  <c r="BC38" i="13"/>
  <c r="BS57" i="13"/>
  <c r="BS49" i="13"/>
  <c r="BS41" i="13"/>
  <c r="BS33" i="13"/>
  <c r="BS25" i="13"/>
  <c r="BT58" i="13"/>
  <c r="BT50" i="13"/>
  <c r="BT42" i="13"/>
  <c r="BT34" i="13"/>
  <c r="BT26" i="13"/>
  <c r="BU59" i="13"/>
  <c r="BU51" i="13"/>
  <c r="BU35" i="13"/>
  <c r="BU27" i="13"/>
  <c r="BV60" i="13"/>
  <c r="BV52" i="13"/>
  <c r="BV44" i="13"/>
  <c r="BV36" i="13"/>
  <c r="BV28" i="13"/>
  <c r="BE16" i="13"/>
  <c r="BV24" i="13"/>
  <c r="BS56" i="13"/>
  <c r="BS48" i="13"/>
  <c r="BS40" i="13"/>
  <c r="BS32" i="13"/>
  <c r="BS24" i="13"/>
  <c r="BT57" i="13"/>
  <c r="BT49" i="13"/>
  <c r="BT41" i="13"/>
  <c r="BT33" i="13"/>
  <c r="BT25" i="13"/>
  <c r="BU58" i="13"/>
  <c r="BU50" i="13"/>
  <c r="BU42" i="13"/>
  <c r="BU34" i="13"/>
  <c r="BU26" i="13"/>
  <c r="BV59" i="13"/>
  <c r="BV51" i="13"/>
  <c r="BV35" i="13"/>
  <c r="BV27" i="13"/>
  <c r="BE45" i="13"/>
  <c r="BG45" i="13"/>
  <c r="BE17" i="13"/>
  <c r="BG37" i="13"/>
  <c r="BG48" i="13"/>
  <c r="BE48" i="13"/>
  <c r="BG47" i="13"/>
  <c r="BE47" i="13"/>
  <c r="BE51" i="13"/>
  <c r="BG51" i="13"/>
  <c r="BG38" i="13"/>
  <c r="BE38" i="13"/>
  <c r="BE27" i="13"/>
  <c r="BG27" i="13"/>
  <c r="BG39" i="13"/>
  <c r="BE39" i="13"/>
  <c r="BG54" i="13"/>
  <c r="BE54" i="13"/>
  <c r="BG34" i="13"/>
  <c r="BE34" i="13"/>
  <c r="BG26" i="13"/>
  <c r="BE26" i="13"/>
  <c r="BG25" i="13"/>
  <c r="BE25" i="13"/>
  <c r="BG55" i="13"/>
  <c r="BE55" i="13"/>
  <c r="BG58" i="13"/>
  <c r="BE58" i="13"/>
  <c r="BG50" i="13"/>
  <c r="BE50" i="13"/>
  <c r="BG42" i="13"/>
  <c r="BE42" i="13"/>
  <c r="BG32" i="13"/>
  <c r="BE32" i="13"/>
  <c r="BG24" i="13"/>
  <c r="BE24" i="13"/>
  <c r="BE59" i="13"/>
  <c r="BG59" i="13"/>
  <c r="BE36" i="13"/>
  <c r="BG36" i="13"/>
  <c r="BG56" i="13"/>
  <c r="BE56" i="13"/>
  <c r="BG40" i="13"/>
  <c r="BE40" i="13"/>
  <c r="BE29" i="13"/>
  <c r="BG29" i="13"/>
  <c r="BG22" i="13"/>
  <c r="BE22" i="13"/>
  <c r="BG57" i="13"/>
  <c r="BE57" i="13"/>
  <c r="BG49" i="13"/>
  <c r="BE49" i="13"/>
  <c r="BG41" i="13"/>
  <c r="BE41" i="13"/>
  <c r="BG31" i="13"/>
  <c r="BE31" i="13"/>
  <c r="BG23" i="13"/>
  <c r="BE35" i="13"/>
  <c r="BG35" i="13"/>
  <c r="BE15" i="13"/>
  <c r="CA15" i="13" s="1"/>
  <c r="BE33" i="13"/>
  <c r="BG43" i="13"/>
  <c r="BG52" i="13"/>
  <c r="BE14" i="13"/>
  <c r="BE13" i="13"/>
  <c r="BG60" i="13"/>
  <c r="BG44" i="13"/>
  <c r="BG28" i="13"/>
  <c r="BE12" i="13"/>
  <c r="E46" i="13"/>
  <c r="F46" i="13" s="1"/>
  <c r="BC61" i="13"/>
  <c r="BC53" i="13"/>
  <c r="BC59" i="13"/>
  <c r="BC45" i="13"/>
  <c r="BC37" i="13"/>
  <c r="BC32" i="13"/>
  <c r="BC29" i="13"/>
  <c r="BC24" i="13"/>
  <c r="BC13" i="13"/>
  <c r="BC27" i="13"/>
  <c r="BC21" i="13"/>
  <c r="BC16" i="13"/>
  <c r="BC58" i="13"/>
  <c r="BC50" i="13"/>
  <c r="BC42" i="13"/>
  <c r="BC26" i="13"/>
  <c r="BC18" i="13"/>
  <c r="BC55" i="13"/>
  <c r="BC47" i="13"/>
  <c r="BC39" i="13"/>
  <c r="BC31" i="13"/>
  <c r="BC23" i="13"/>
  <c r="BC15" i="13"/>
  <c r="BC34" i="13"/>
  <c r="BC57" i="13"/>
  <c r="BC25" i="13"/>
  <c r="BC17" i="13"/>
  <c r="BC33" i="13"/>
  <c r="BC12" i="13"/>
  <c r="BC41" i="13"/>
  <c r="BC51" i="13"/>
  <c r="BC43" i="13"/>
  <c r="BC35" i="13"/>
  <c r="BC19" i="13"/>
  <c r="BC54" i="13"/>
  <c r="BC46" i="13"/>
  <c r="BC30" i="13"/>
  <c r="BC22" i="13"/>
  <c r="BC14" i="13"/>
  <c r="BC49" i="13"/>
  <c r="BC60" i="13"/>
  <c r="BC52" i="13"/>
  <c r="BC44" i="13"/>
  <c r="BC36" i="13"/>
  <c r="BC28" i="13"/>
  <c r="BC20" i="13"/>
  <c r="I9" i="13"/>
  <c r="I11" i="13" s="1"/>
  <c r="BN16" i="12"/>
  <c r="BO16" i="12" s="1"/>
  <c r="AU40" i="12"/>
  <c r="AW51" i="12"/>
  <c r="AW43" i="12"/>
  <c r="AW35" i="12"/>
  <c r="AW27" i="12"/>
  <c r="AW19" i="12"/>
  <c r="AW40" i="12"/>
  <c r="AW32" i="12"/>
  <c r="AW24" i="12"/>
  <c r="AY32" i="12"/>
  <c r="AU51" i="12"/>
  <c r="AW46" i="12"/>
  <c r="AW38" i="12"/>
  <c r="AW30" i="12"/>
  <c r="AW22" i="12"/>
  <c r="AW52" i="12" s="1"/>
  <c r="AY30" i="12"/>
  <c r="AU45" i="12"/>
  <c r="AW45" i="12"/>
  <c r="AW37" i="12"/>
  <c r="AW29" i="12"/>
  <c r="AW21" i="12"/>
  <c r="AY24" i="12"/>
  <c r="AU46" i="12"/>
  <c r="AW15" i="12"/>
  <c r="AY22" i="12"/>
  <c r="AY45" i="12"/>
  <c r="AY37" i="12"/>
  <c r="AY29" i="12"/>
  <c r="AY21" i="12"/>
  <c r="AY15" i="12"/>
  <c r="AW50" i="12"/>
  <c r="AW42" i="12"/>
  <c r="AW34" i="12"/>
  <c r="AW26" i="12"/>
  <c r="AW18" i="12"/>
  <c r="AY51" i="12"/>
  <c r="AY43" i="12"/>
  <c r="AY35" i="12"/>
  <c r="AY27" i="12"/>
  <c r="AY19" i="12"/>
  <c r="AW25" i="12"/>
  <c r="AW17" i="12"/>
  <c r="AY50" i="12"/>
  <c r="AY42" i="12"/>
  <c r="AY34" i="12"/>
  <c r="AY26" i="12"/>
  <c r="AY18" i="12"/>
  <c r="AY25" i="12"/>
  <c r="AY17" i="12"/>
  <c r="AW49" i="12"/>
  <c r="AW41" i="12"/>
  <c r="AW33" i="12"/>
  <c r="AW48" i="12"/>
  <c r="AW16" i="12"/>
  <c r="AW47" i="12"/>
  <c r="AW39" i="12"/>
  <c r="AW31" i="12"/>
  <c r="AW23" i="12"/>
  <c r="AW44" i="12"/>
  <c r="AW36" i="12"/>
  <c r="AW28" i="12"/>
  <c r="AW20" i="12"/>
  <c r="AU50" i="12"/>
  <c r="AU23" i="12"/>
  <c r="AU42" i="12"/>
  <c r="AU21" i="12"/>
  <c r="AU19" i="12"/>
  <c r="AU15" i="12"/>
  <c r="AU32" i="12"/>
  <c r="AU30" i="12"/>
  <c r="AU25" i="12"/>
  <c r="AU16" i="12"/>
  <c r="AU41" i="12"/>
  <c r="AU35" i="12"/>
  <c r="AU29" i="12"/>
  <c r="AU37" i="12"/>
  <c r="AU34" i="12"/>
  <c r="AU39" i="12"/>
  <c r="AU36" i="12"/>
  <c r="AU48" i="12"/>
  <c r="AU27" i="12"/>
  <c r="AU44" i="12"/>
  <c r="AU20" i="12"/>
  <c r="AU18" i="12"/>
  <c r="AU38" i="12"/>
  <c r="AU22" i="12"/>
  <c r="J8" i="12"/>
  <c r="K8" i="12" s="1"/>
  <c r="K13" i="12" s="1"/>
  <c r="AU17" i="12"/>
  <c r="AU49" i="12"/>
  <c r="AU47" i="12"/>
  <c r="AU28" i="12"/>
  <c r="AU26" i="12"/>
  <c r="AU24" i="12"/>
  <c r="AU43" i="12"/>
  <c r="AU33" i="12"/>
  <c r="AU31" i="12"/>
  <c r="BW56" i="14" l="1"/>
  <c r="BY56" i="14" s="1"/>
  <c r="BW48" i="14"/>
  <c r="BY48" i="14" s="1"/>
  <c r="BW27" i="14"/>
  <c r="BY27" i="14" s="1"/>
  <c r="BW54" i="14"/>
  <c r="BY54" i="14" s="1"/>
  <c r="BW29" i="14"/>
  <c r="BY29" i="14" s="1"/>
  <c r="BW31" i="14"/>
  <c r="BY31" i="14" s="1"/>
  <c r="BW59" i="14"/>
  <c r="BY59" i="14" s="1"/>
  <c r="I8" i="6"/>
  <c r="H13" i="6"/>
  <c r="CA13" i="14"/>
  <c r="N9" i="15"/>
  <c r="M11" i="15"/>
  <c r="BW58" i="14"/>
  <c r="BY58" i="14" s="1"/>
  <c r="BW26" i="14"/>
  <c r="BY26" i="14" s="1"/>
  <c r="BE51" i="14"/>
  <c r="BW50" i="14"/>
  <c r="BY50" i="14" s="1"/>
  <c r="BW53" i="14"/>
  <c r="BY53" i="14" s="1"/>
  <c r="BE30" i="13"/>
  <c r="BW44" i="14"/>
  <c r="BY44" i="14" s="1"/>
  <c r="BW52" i="14"/>
  <c r="BY52" i="14" s="1"/>
  <c r="BW21" i="14"/>
  <c r="BY21" i="14" s="1"/>
  <c r="BW55" i="14"/>
  <c r="BY55" i="14" s="1"/>
  <c r="BW32" i="14"/>
  <c r="BY32" i="14" s="1"/>
  <c r="BW30" i="14"/>
  <c r="BY30" i="14" s="1"/>
  <c r="BW61" i="14"/>
  <c r="BY61" i="14" s="1"/>
  <c r="BW47" i="14"/>
  <c r="BY47" i="14" s="1"/>
  <c r="BW30" i="13"/>
  <c r="BY30" i="13" s="1"/>
  <c r="BW43" i="14"/>
  <c r="BY43" i="14" s="1"/>
  <c r="BW51" i="14"/>
  <c r="BY51" i="14" s="1"/>
  <c r="BW33" i="14"/>
  <c r="BY33" i="14" s="1"/>
  <c r="BE21" i="13"/>
  <c r="BW49" i="14"/>
  <c r="BY49" i="14" s="1"/>
  <c r="BW45" i="13"/>
  <c r="BY45" i="13" s="1"/>
  <c r="BW28" i="13"/>
  <c r="CA28" i="13" s="1"/>
  <c r="BW34" i="14"/>
  <c r="BY34" i="14" s="1"/>
  <c r="BW42" i="14"/>
  <c r="BY42" i="14" s="1"/>
  <c r="BW57" i="14"/>
  <c r="BY57" i="14" s="1"/>
  <c r="CA36" i="14"/>
  <c r="CA59" i="14"/>
  <c r="CA37" i="14"/>
  <c r="BW22" i="14"/>
  <c r="BY22" i="14" s="1"/>
  <c r="BW35" i="14"/>
  <c r="BY35" i="14" s="1"/>
  <c r="BW45" i="14"/>
  <c r="BY45" i="14" s="1"/>
  <c r="CA17" i="14"/>
  <c r="BE28" i="14"/>
  <c r="I11" i="14"/>
  <c r="J9" i="14"/>
  <c r="BE52" i="14"/>
  <c r="BE53" i="14"/>
  <c r="BE39" i="14"/>
  <c r="BW28" i="14"/>
  <c r="BY28" i="14" s="1"/>
  <c r="BE26" i="14"/>
  <c r="BW46" i="14"/>
  <c r="BY46" i="14" s="1"/>
  <c r="BE38" i="14"/>
  <c r="BE21" i="14"/>
  <c r="BE55" i="14"/>
  <c r="BE30" i="14"/>
  <c r="BE46" i="14"/>
  <c r="BE48" i="14"/>
  <c r="BW39" i="14"/>
  <c r="BY39" i="14" s="1"/>
  <c r="BG32" i="14"/>
  <c r="BE32" i="14"/>
  <c r="CA18" i="14"/>
  <c r="BE44" i="14"/>
  <c r="BE40" i="14"/>
  <c r="BW38" i="14"/>
  <c r="BY38" i="14" s="1"/>
  <c r="BE33" i="14"/>
  <c r="BG27" i="14"/>
  <c r="BE27" i="14"/>
  <c r="BW60" i="14"/>
  <c r="BY60" i="14" s="1"/>
  <c r="BE22" i="14"/>
  <c r="BE60" i="14"/>
  <c r="BE24" i="14"/>
  <c r="BE41" i="14"/>
  <c r="BE23" i="14"/>
  <c r="BW40" i="14"/>
  <c r="BY40" i="14" s="1"/>
  <c r="BE34" i="14"/>
  <c r="BE45" i="14"/>
  <c r="BW24" i="14"/>
  <c r="BY24" i="14" s="1"/>
  <c r="BE54" i="14"/>
  <c r="BW41" i="14"/>
  <c r="BY41" i="14" s="1"/>
  <c r="BW23" i="14"/>
  <c r="BY23" i="14" s="1"/>
  <c r="BE25" i="14"/>
  <c r="BE61" i="14"/>
  <c r="BE35" i="14"/>
  <c r="BE29" i="14"/>
  <c r="BE56" i="14"/>
  <c r="BE31" i="14"/>
  <c r="BW25" i="14"/>
  <c r="BY25" i="14" s="1"/>
  <c r="BE47" i="14"/>
  <c r="BW38" i="13"/>
  <c r="BY38" i="13" s="1"/>
  <c r="CA16" i="13"/>
  <c r="BW22" i="13"/>
  <c r="BY22" i="13" s="1"/>
  <c r="BW21" i="13"/>
  <c r="BY21" i="13" s="1"/>
  <c r="CA12" i="13"/>
  <c r="BW40" i="13"/>
  <c r="BY40" i="13" s="1"/>
  <c r="BW50" i="13"/>
  <c r="BY50" i="13" s="1"/>
  <c r="BW29" i="13"/>
  <c r="BY29" i="13" s="1"/>
  <c r="BW39" i="13"/>
  <c r="BY39" i="13" s="1"/>
  <c r="BW47" i="13"/>
  <c r="BY47" i="13" s="1"/>
  <c r="CA13" i="13"/>
  <c r="BW56" i="13"/>
  <c r="BY56" i="13" s="1"/>
  <c r="BW48" i="13"/>
  <c r="BY48" i="13" s="1"/>
  <c r="BW37" i="13"/>
  <c r="BY37" i="13" s="1"/>
  <c r="CA18" i="13"/>
  <c r="CA14" i="13"/>
  <c r="BG61" i="13"/>
  <c r="BW33" i="13"/>
  <c r="BY33" i="13" s="1"/>
  <c r="BW54" i="13"/>
  <c r="BY54" i="13" s="1"/>
  <c r="CA17" i="13"/>
  <c r="BW58" i="13"/>
  <c r="BY58" i="13" s="1"/>
  <c r="BW24" i="13"/>
  <c r="BY24" i="13" s="1"/>
  <c r="BW49" i="13"/>
  <c r="BY49" i="13" s="1"/>
  <c r="BW32" i="13"/>
  <c r="BY32" i="13" s="1"/>
  <c r="BW57" i="13"/>
  <c r="BY57" i="13" s="1"/>
  <c r="BW42" i="13"/>
  <c r="BY42" i="13" s="1"/>
  <c r="BW31" i="13"/>
  <c r="BY31" i="13" s="1"/>
  <c r="BW27" i="13"/>
  <c r="BY27" i="13" s="1"/>
  <c r="BW51" i="13"/>
  <c r="BY51" i="13" s="1"/>
  <c r="BW36" i="13"/>
  <c r="BY36" i="13" s="1"/>
  <c r="BW55" i="13"/>
  <c r="BY55" i="13" s="1"/>
  <c r="BW35" i="13"/>
  <c r="BY35" i="13" s="1"/>
  <c r="BS46" i="13"/>
  <c r="BV46" i="13"/>
  <c r="BU46" i="13"/>
  <c r="BT46" i="13"/>
  <c r="BG53" i="13"/>
  <c r="BW25" i="13"/>
  <c r="BY25" i="13" s="1"/>
  <c r="BW59" i="13"/>
  <c r="BY59" i="13" s="1"/>
  <c r="BW44" i="13"/>
  <c r="BW52" i="13"/>
  <c r="BW61" i="13"/>
  <c r="BY61" i="13" s="1"/>
  <c r="BW41" i="13"/>
  <c r="BY41" i="13" s="1"/>
  <c r="BW26" i="13"/>
  <c r="BY26" i="13" s="1"/>
  <c r="BW60" i="13"/>
  <c r="BW34" i="13"/>
  <c r="BY34" i="13" s="1"/>
  <c r="BW23" i="13"/>
  <c r="BY23" i="13" s="1"/>
  <c r="BW43" i="13"/>
  <c r="BY43" i="13" s="1"/>
  <c r="BW53" i="13"/>
  <c r="BY53" i="13" s="1"/>
  <c r="BG46" i="13"/>
  <c r="BE46" i="13"/>
  <c r="J9" i="13"/>
  <c r="K9" i="13" s="1"/>
  <c r="BO22" i="12"/>
  <c r="BO52" i="12" s="1"/>
  <c r="J13" i="12"/>
  <c r="L8" i="12"/>
  <c r="L13" i="12" s="1"/>
  <c r="CA54" i="14" l="1"/>
  <c r="CA56" i="14"/>
  <c r="CA31" i="14"/>
  <c r="CA29" i="14"/>
  <c r="CA50" i="14"/>
  <c r="CA34" i="14"/>
  <c r="CA27" i="14"/>
  <c r="CA30" i="13"/>
  <c r="CA48" i="14"/>
  <c r="CA26" i="14"/>
  <c r="CA45" i="14"/>
  <c r="CA58" i="14"/>
  <c r="CA45" i="13"/>
  <c r="J8" i="6"/>
  <c r="I13" i="6"/>
  <c r="O9" i="15"/>
  <c r="N11" i="15"/>
  <c r="CA52" i="14"/>
  <c r="CA44" i="14"/>
  <c r="CA42" i="13"/>
  <c r="CA54" i="13"/>
  <c r="CA51" i="14"/>
  <c r="CA53" i="14"/>
  <c r="CA55" i="14"/>
  <c r="CA35" i="13"/>
  <c r="CA33" i="14"/>
  <c r="CA21" i="14"/>
  <c r="CA61" i="14"/>
  <c r="CA32" i="14"/>
  <c r="CA43" i="14"/>
  <c r="CA30" i="14"/>
  <c r="CA47" i="14"/>
  <c r="BY28" i="13"/>
  <c r="CA49" i="13"/>
  <c r="CA47" i="13"/>
  <c r="CA57" i="14"/>
  <c r="CA51" i="13"/>
  <c r="CA22" i="13"/>
  <c r="CA38" i="13"/>
  <c r="CA46" i="14"/>
  <c r="CA38" i="14"/>
  <c r="CA42" i="14"/>
  <c r="CA49" i="14"/>
  <c r="CA41" i="14"/>
  <c r="CA22" i="14"/>
  <c r="CA35" i="14"/>
  <c r="CA40" i="14"/>
  <c r="CA39" i="14"/>
  <c r="CA28" i="14"/>
  <c r="CA25" i="14"/>
  <c r="CA24" i="14"/>
  <c r="CA60" i="14"/>
  <c r="CA23" i="14"/>
  <c r="K9" i="14"/>
  <c r="J11" i="14"/>
  <c r="CA29" i="13"/>
  <c r="CA50" i="13"/>
  <c r="CA33" i="13"/>
  <c r="CA48" i="13"/>
  <c r="CA37" i="13"/>
  <c r="CA40" i="13"/>
  <c r="CA31" i="13"/>
  <c r="CA21" i="13"/>
  <c r="CA56" i="13"/>
  <c r="CA57" i="13"/>
  <c r="CA53" i="13"/>
  <c r="CA61" i="13"/>
  <c r="CA36" i="13"/>
  <c r="CA24" i="13"/>
  <c r="CA39" i="13"/>
  <c r="CA58" i="13"/>
  <c r="CA43" i="13"/>
  <c r="CA23" i="13"/>
  <c r="CA26" i="13"/>
  <c r="CA41" i="13"/>
  <c r="CA25" i="13"/>
  <c r="CA34" i="13"/>
  <c r="CA27" i="13"/>
  <c r="CA59" i="13"/>
  <c r="BW46" i="13"/>
  <c r="BY46" i="13" s="1"/>
  <c r="CA60" i="13"/>
  <c r="BY60" i="13"/>
  <c r="CA52" i="13"/>
  <c r="BY52" i="13"/>
  <c r="CA44" i="13"/>
  <c r="BY44" i="13"/>
  <c r="CA55" i="13"/>
  <c r="CA32" i="13"/>
  <c r="J11" i="13"/>
  <c r="L9" i="13"/>
  <c r="K11" i="13"/>
  <c r="M8" i="12"/>
  <c r="M13" i="12" s="1"/>
  <c r="K8" i="6" l="1"/>
  <c r="J13" i="6"/>
  <c r="O11" i="15"/>
  <c r="P9" i="15"/>
  <c r="CA46" i="13"/>
  <c r="L9" i="14"/>
  <c r="K11" i="14"/>
  <c r="M9" i="13"/>
  <c r="L11" i="13"/>
  <c r="N8" i="12"/>
  <c r="O8" i="12" s="1"/>
  <c r="L8" i="6" l="1"/>
  <c r="K13" i="6"/>
  <c r="P11" i="15"/>
  <c r="Q9" i="15"/>
  <c r="M9" i="14"/>
  <c r="L11" i="14"/>
  <c r="N9" i="13"/>
  <c r="M11" i="13"/>
  <c r="N13" i="12"/>
  <c r="O13" i="12"/>
  <c r="P8" i="12"/>
  <c r="M8" i="6" l="1"/>
  <c r="L13" i="6"/>
  <c r="Q11" i="15"/>
  <c r="R9" i="15"/>
  <c r="M11" i="14"/>
  <c r="N9" i="14"/>
  <c r="O9" i="13"/>
  <c r="N11" i="13"/>
  <c r="Q8" i="12"/>
  <c r="P13" i="12"/>
  <c r="N8" i="6" l="1"/>
  <c r="M13" i="6"/>
  <c r="S9" i="15"/>
  <c r="R11" i="15"/>
  <c r="N11" i="14"/>
  <c r="O9" i="14"/>
  <c r="P9" i="13"/>
  <c r="O11" i="13"/>
  <c r="Q13" i="12"/>
  <c r="R8" i="12"/>
  <c r="O8" i="6" l="1"/>
  <c r="N13" i="6"/>
  <c r="S11" i="15"/>
  <c r="T9" i="15"/>
  <c r="O11" i="14"/>
  <c r="P9" i="14"/>
  <c r="Q9" i="13"/>
  <c r="P11" i="13"/>
  <c r="S8" i="12"/>
  <c r="R13" i="12"/>
  <c r="O13" i="6" l="1"/>
  <c r="P8" i="6"/>
  <c r="U9" i="15"/>
  <c r="T11" i="15"/>
  <c r="P11" i="14"/>
  <c r="Q9" i="14"/>
  <c r="R9" i="13"/>
  <c r="Q11" i="13"/>
  <c r="S13" i="12"/>
  <c r="T8" i="12"/>
  <c r="Q8" i="6" l="1"/>
  <c r="P13" i="6"/>
  <c r="U11" i="15"/>
  <c r="V9" i="15"/>
  <c r="Q11" i="14"/>
  <c r="R9" i="14"/>
  <c r="S9" i="13"/>
  <c r="R11" i="13"/>
  <c r="U8" i="12"/>
  <c r="T13" i="12"/>
  <c r="R8" i="6" l="1"/>
  <c r="Q13" i="6"/>
  <c r="W9" i="15"/>
  <c r="V11" i="15"/>
  <c r="S9" i="14"/>
  <c r="R11" i="14"/>
  <c r="T9" i="13"/>
  <c r="S11" i="13"/>
  <c r="V8" i="12"/>
  <c r="U13" i="12"/>
  <c r="S8" i="6" l="1"/>
  <c r="R13" i="6"/>
  <c r="W11" i="15"/>
  <c r="X9" i="15"/>
  <c r="T9" i="14"/>
  <c r="S11" i="14"/>
  <c r="U9" i="13"/>
  <c r="T11" i="13"/>
  <c r="W8" i="12"/>
  <c r="V13" i="12"/>
  <c r="T8" i="6" l="1"/>
  <c r="S13" i="6"/>
  <c r="X11" i="15"/>
  <c r="Y9" i="15"/>
  <c r="U9" i="14"/>
  <c r="T11" i="14"/>
  <c r="V9" i="13"/>
  <c r="U11" i="13"/>
  <c r="W13" i="12"/>
  <c r="X8" i="12"/>
  <c r="U8" i="6" l="1"/>
  <c r="T13" i="6"/>
  <c r="Y11" i="15"/>
  <c r="Z9" i="15"/>
  <c r="U11" i="14"/>
  <c r="V9" i="14"/>
  <c r="W9" i="13"/>
  <c r="V11" i="13"/>
  <c r="Y8" i="12"/>
  <c r="X13" i="12"/>
  <c r="V8" i="6" l="1"/>
  <c r="U13" i="6"/>
  <c r="AA9" i="15"/>
  <c r="Z11" i="15"/>
  <c r="V11" i="14"/>
  <c r="W9" i="14"/>
  <c r="X9" i="13"/>
  <c r="W11" i="13"/>
  <c r="Y13" i="12"/>
  <c r="Z8" i="12"/>
  <c r="W8" i="6" l="1"/>
  <c r="V13" i="6"/>
  <c r="AB9" i="15"/>
  <c r="AA11" i="15"/>
  <c r="W11" i="14"/>
  <c r="X9" i="14"/>
  <c r="Y9" i="13"/>
  <c r="X11" i="13"/>
  <c r="AA8" i="12"/>
  <c r="Z13" i="12"/>
  <c r="X8" i="6" l="1"/>
  <c r="W13" i="6"/>
  <c r="AC9" i="15"/>
  <c r="AB11" i="15"/>
  <c r="X11" i="14"/>
  <c r="Y9" i="14"/>
  <c r="Z9" i="13"/>
  <c r="Y11" i="13"/>
  <c r="AA13" i="12"/>
  <c r="AB8" i="12"/>
  <c r="Y8" i="6" l="1"/>
  <c r="X13" i="6"/>
  <c r="AD9" i="15"/>
  <c r="AC11" i="15"/>
  <c r="Y11" i="14"/>
  <c r="Z9" i="14"/>
  <c r="AA9" i="13"/>
  <c r="Z11" i="13"/>
  <c r="AB13" i="12"/>
  <c r="AC8" i="12"/>
  <c r="Z8" i="6" l="1"/>
  <c r="Y13" i="6"/>
  <c r="AE9" i="15"/>
  <c r="AD11" i="15"/>
  <c r="AA9" i="14"/>
  <c r="Z11" i="14"/>
  <c r="AB9" i="13"/>
  <c r="AA11" i="13"/>
  <c r="AC13" i="12"/>
  <c r="AD8" i="12"/>
  <c r="AA8" i="6" l="1"/>
  <c r="Z13" i="6"/>
  <c r="AE11" i="15"/>
  <c r="AF9" i="15"/>
  <c r="AB9" i="14"/>
  <c r="AA11" i="14"/>
  <c r="AC9" i="13"/>
  <c r="AB11" i="13"/>
  <c r="AE8" i="12"/>
  <c r="AD13" i="12"/>
  <c r="AB8" i="6" l="1"/>
  <c r="AA13" i="6"/>
  <c r="AF11" i="15"/>
  <c r="AG9" i="15"/>
  <c r="AC9" i="14"/>
  <c r="AB11" i="14"/>
  <c r="AD9" i="13"/>
  <c r="AC11" i="13"/>
  <c r="AE13" i="12"/>
  <c r="AF8" i="12"/>
  <c r="AC8" i="6" l="1"/>
  <c r="AB13" i="6"/>
  <c r="AG11" i="15"/>
  <c r="AH9" i="15"/>
  <c r="AC11" i="14"/>
  <c r="AD9" i="14"/>
  <c r="AD11" i="13"/>
  <c r="AE9" i="13"/>
  <c r="AG8" i="12"/>
  <c r="AF13" i="12"/>
  <c r="AD8" i="6" l="1"/>
  <c r="AC13" i="6"/>
  <c r="AI9" i="15"/>
  <c r="AH11" i="15"/>
  <c r="AD11" i="14"/>
  <c r="AE9" i="14"/>
  <c r="AF9" i="13"/>
  <c r="AE11" i="13"/>
  <c r="AG13" i="12"/>
  <c r="AH8" i="12"/>
  <c r="AE8" i="6" l="1"/>
  <c r="AD13" i="6"/>
  <c r="AI11" i="15"/>
  <c r="AJ9" i="15"/>
  <c r="AE11" i="14"/>
  <c r="AF9" i="14"/>
  <c r="AG9" i="13"/>
  <c r="AF11" i="13"/>
  <c r="AI8" i="12"/>
  <c r="AH13" i="12"/>
  <c r="AF8" i="6" l="1"/>
  <c r="AE13" i="6"/>
  <c r="AK9" i="15"/>
  <c r="AJ11" i="15"/>
  <c r="AF11" i="14"/>
  <c r="AG9" i="14"/>
  <c r="AH9" i="13"/>
  <c r="AG11" i="13"/>
  <c r="AI13" i="12"/>
  <c r="AJ8" i="12"/>
  <c r="AG8" i="6" l="1"/>
  <c r="AF13" i="6"/>
  <c r="AL11" i="15"/>
  <c r="AK11" i="15"/>
  <c r="AG11" i="14"/>
  <c r="AH9" i="14"/>
  <c r="AI9" i="13"/>
  <c r="AH11" i="13"/>
  <c r="AK8" i="12"/>
  <c r="AJ13" i="12"/>
  <c r="AH8" i="6" l="1"/>
  <c r="AG13" i="6"/>
  <c r="AI9" i="14"/>
  <c r="AH11" i="14"/>
  <c r="AJ9" i="13"/>
  <c r="AI11" i="13"/>
  <c r="AL8" i="12"/>
  <c r="AK13" i="12"/>
  <c r="AI8" i="6" l="1"/>
  <c r="AH13" i="6"/>
  <c r="AJ9" i="14"/>
  <c r="AI11" i="14"/>
  <c r="AK9" i="13"/>
  <c r="AJ11" i="13"/>
  <c r="AM8" i="12"/>
  <c r="AM13" i="12" s="1"/>
  <c r="AL13" i="12"/>
  <c r="AJ8" i="6" l="1"/>
  <c r="AI13" i="6"/>
  <c r="AK9" i="14"/>
  <c r="AJ11" i="14"/>
  <c r="AL9" i="13"/>
  <c r="AK11" i="13"/>
  <c r="AK8" i="6" l="1"/>
  <c r="AJ13" i="6"/>
  <c r="AK11" i="14"/>
  <c r="AL9" i="14"/>
  <c r="AM9" i="13"/>
  <c r="AL11" i="13"/>
  <c r="AK13" i="6" l="1"/>
  <c r="AM23" i="6" a="1"/>
  <c r="AM23" i="6" s="1"/>
  <c r="AO30" i="6" a="1"/>
  <c r="AO30" i="6" s="1"/>
  <c r="BF38" i="14" s="1"/>
  <c r="BG38" i="14" s="1"/>
  <c r="AM51" i="6" a="1"/>
  <c r="AM51" i="6" s="1"/>
  <c r="AM25" i="6" a="1"/>
  <c r="AM25" i="6" s="1"/>
  <c r="AO17" i="6" a="1"/>
  <c r="AO17" i="6" s="1"/>
  <c r="AM30" i="6" a="1"/>
  <c r="AM30" i="6" s="1"/>
  <c r="AO40" i="6" a="1"/>
  <c r="AO40" i="6" s="1"/>
  <c r="BF48" i="14" s="1"/>
  <c r="BG48" i="14" s="1"/>
  <c r="AM35" i="6" a="1"/>
  <c r="AM35" i="6" s="1"/>
  <c r="AO39" i="6" a="1"/>
  <c r="AO39" i="6" s="1"/>
  <c r="BF47" i="14" s="1"/>
  <c r="BG47" i="14" s="1"/>
  <c r="AM18" i="6" a="1"/>
  <c r="AM18" i="6" s="1"/>
  <c r="AO33" i="6" a="1"/>
  <c r="AO33" i="6" s="1"/>
  <c r="BF41" i="14" s="1"/>
  <c r="BG41" i="14" s="1"/>
  <c r="AM50" i="6" a="1"/>
  <c r="AM50" i="6" s="1"/>
  <c r="AM38" i="6" a="1"/>
  <c r="AM38" i="6" s="1"/>
  <c r="AO36" i="6" a="1"/>
  <c r="AO36" i="6" s="1"/>
  <c r="BF44" i="14" s="1"/>
  <c r="BG44" i="14" s="1"/>
  <c r="AM16" i="6" a="1"/>
  <c r="AM16" i="6" s="1"/>
  <c r="AM31" i="6" a="1"/>
  <c r="AM31" i="6" s="1"/>
  <c r="AO22" i="6" a="1"/>
  <c r="AO22" i="6" s="1"/>
  <c r="BF29" i="14" s="1"/>
  <c r="BG29" i="14" s="1"/>
  <c r="AM47" i="6" a="1"/>
  <c r="AM47" i="6" s="1"/>
  <c r="AO29" i="6" a="1"/>
  <c r="AO29" i="6" s="1"/>
  <c r="BF37" i="14" s="1"/>
  <c r="BG37" i="14" s="1"/>
  <c r="AM17" i="6" a="1"/>
  <c r="AM17" i="6" s="1"/>
  <c r="AO44" i="6" a="1"/>
  <c r="AO44" i="6" s="1"/>
  <c r="AM44" i="6" a="1"/>
  <c r="AM44" i="6" s="1"/>
  <c r="AO18" i="6" a="1"/>
  <c r="AO18" i="6" s="1"/>
  <c r="BF24" i="14" s="1"/>
  <c r="BG24" i="14" s="1"/>
  <c r="AM28" i="6" a="1"/>
  <c r="AM28" i="6" s="1"/>
  <c r="AM32" i="6" a="1"/>
  <c r="AM32" i="6" s="1"/>
  <c r="AO50" i="6" a="1"/>
  <c r="AO50" i="6" s="1"/>
  <c r="AO47" i="6" a="1"/>
  <c r="AO47" i="6" s="1"/>
  <c r="AM26" i="6" a="1"/>
  <c r="AM26" i="6" s="1"/>
  <c r="AM49" i="6" a="1"/>
  <c r="AM49" i="6" s="1"/>
  <c r="AO27" i="6" a="1"/>
  <c r="AO27" i="6" s="1"/>
  <c r="BF35" i="14" s="1"/>
  <c r="BG35" i="14" s="1"/>
  <c r="AM22" i="6" a="1"/>
  <c r="AM22" i="6" s="1"/>
  <c r="AO42" i="6" a="1"/>
  <c r="AO42" i="6" s="1"/>
  <c r="AO51" i="6" a="1"/>
  <c r="AO51" i="6" s="1"/>
  <c r="AM19" i="6" a="1"/>
  <c r="AM19" i="6" s="1"/>
  <c r="AM20" i="6" a="1"/>
  <c r="AM20" i="6" s="1"/>
  <c r="AO34" i="6" a="1"/>
  <c r="AO34" i="6" s="1"/>
  <c r="BF42" i="14" s="1"/>
  <c r="BG42" i="14" s="1"/>
  <c r="AM24" i="6" a="1"/>
  <c r="AM24" i="6" s="1"/>
  <c r="AM15" i="6" a="1"/>
  <c r="AM15" i="6" s="1"/>
  <c r="AM36" i="6" a="1"/>
  <c r="AM36" i="6" s="1"/>
  <c r="AO16" i="6" a="1"/>
  <c r="AO16" i="6" s="1"/>
  <c r="BF22" i="14" s="1"/>
  <c r="BG22" i="14" s="1"/>
  <c r="AO49" i="6" a="1"/>
  <c r="AO49" i="6" s="1"/>
  <c r="AM27" i="6" a="1"/>
  <c r="AM27" i="6" s="1"/>
  <c r="AO20" i="6" a="1"/>
  <c r="AO20" i="6" s="1"/>
  <c r="BF26" i="14" s="1"/>
  <c r="BG26" i="14" s="1"/>
  <c r="AO25" i="6" a="1"/>
  <c r="AO25" i="6" s="1"/>
  <c r="BF33" i="14" s="1"/>
  <c r="BG33" i="14" s="1"/>
  <c r="AM29" i="6" a="1"/>
  <c r="AM29" i="6" s="1"/>
  <c r="AO31" i="6" a="1"/>
  <c r="AO31" i="6" s="1"/>
  <c r="BF39" i="14" s="1"/>
  <c r="BG39" i="14" s="1"/>
  <c r="AM42" i="6" a="1"/>
  <c r="AM42" i="6" s="1"/>
  <c r="AM46" i="6" a="1"/>
  <c r="AM46" i="6" s="1"/>
  <c r="AM48" i="6" a="1"/>
  <c r="AM48" i="6" s="1"/>
  <c r="AO38" i="6" a="1"/>
  <c r="AO38" i="6" s="1"/>
  <c r="BF46" i="14" s="1"/>
  <c r="BG46" i="14" s="1"/>
  <c r="AO21" i="6" a="1"/>
  <c r="AO21" i="6" s="1"/>
  <c r="BF28" i="14" s="1"/>
  <c r="BG28" i="14" s="1"/>
  <c r="AM21" i="6" a="1"/>
  <c r="AM21" i="6" s="1"/>
  <c r="AM45" i="6" a="1"/>
  <c r="AM45" i="6" s="1"/>
  <c r="AO45" i="6" a="1"/>
  <c r="AO45" i="6" s="1"/>
  <c r="AO32" i="6" a="1"/>
  <c r="AO32" i="6" s="1"/>
  <c r="BF40" i="14" s="1"/>
  <c r="BG40" i="14" s="1"/>
  <c r="AO19" i="6" a="1"/>
  <c r="AO19" i="6" s="1"/>
  <c r="BF25" i="14" s="1"/>
  <c r="BG25" i="14" s="1"/>
  <c r="AO35" i="6" a="1"/>
  <c r="AO35" i="6" s="1"/>
  <c r="BF43" i="14" s="1"/>
  <c r="BG43" i="14" s="1"/>
  <c r="AO28" i="6" a="1"/>
  <c r="AO28" i="6" s="1"/>
  <c r="BF36" i="14" s="1"/>
  <c r="BG36" i="14" s="1"/>
  <c r="AO46" i="6" a="1"/>
  <c r="AO46" i="6" s="1"/>
  <c r="AO26" i="6" a="1"/>
  <c r="AO26" i="6" s="1"/>
  <c r="BF34" i="14" s="1"/>
  <c r="BG34" i="14" s="1"/>
  <c r="AM40" i="6" a="1"/>
  <c r="AM40" i="6" s="1"/>
  <c r="AM33" i="6" a="1"/>
  <c r="AM33" i="6" s="1"/>
  <c r="AM37" i="6" a="1"/>
  <c r="AM37" i="6" s="1"/>
  <c r="AO43" i="6" a="1"/>
  <c r="AO43" i="6" s="1"/>
  <c r="AO48" i="6" a="1"/>
  <c r="AO48" i="6" s="1"/>
  <c r="AM34" i="6" a="1"/>
  <c r="AM34" i="6" s="1"/>
  <c r="AO37" i="6" a="1"/>
  <c r="AO37" i="6" s="1"/>
  <c r="BF45" i="14" s="1"/>
  <c r="BG45" i="14" s="1"/>
  <c r="AM39" i="6" a="1"/>
  <c r="AM39" i="6" s="1"/>
  <c r="AO41" i="6" a="1"/>
  <c r="AO41" i="6" s="1"/>
  <c r="AO15" i="6" a="1"/>
  <c r="AO15" i="6" s="1"/>
  <c r="AM43" i="6" a="1"/>
  <c r="AM43" i="6" s="1"/>
  <c r="AO24" i="6" a="1"/>
  <c r="AO24" i="6" s="1"/>
  <c r="BF31" i="14" s="1"/>
  <c r="BG31" i="14" s="1"/>
  <c r="AO23" i="6" a="1"/>
  <c r="AO23" i="6" s="1"/>
  <c r="BF30" i="14" s="1"/>
  <c r="BG30" i="14" s="1"/>
  <c r="AM41" i="6" a="1"/>
  <c r="AM41" i="6" s="1"/>
  <c r="AL11" i="14"/>
  <c r="AM11" i="13"/>
  <c r="AN9" i="13"/>
  <c r="BF23" i="14" l="1"/>
  <c r="BG23" i="14" s="1"/>
  <c r="BF21" i="14"/>
  <c r="BG21" i="14" s="1"/>
  <c r="BF50" i="14"/>
  <c r="BG50" i="14" s="1"/>
  <c r="BF58" i="14"/>
  <c r="BG58" i="14" s="1"/>
  <c r="BF51" i="14"/>
  <c r="BG51" i="14" s="1"/>
  <c r="BF59" i="14"/>
  <c r="BG59" i="14" s="1"/>
  <c r="BF52" i="14"/>
  <c r="BG52" i="14" s="1"/>
  <c r="BF60" i="14"/>
  <c r="BG60" i="14" s="1"/>
  <c r="BF57" i="14"/>
  <c r="BG57" i="14" s="1"/>
  <c r="BF53" i="14"/>
  <c r="BG53" i="14" s="1"/>
  <c r="BF61" i="14"/>
  <c r="BG61" i="14" s="1"/>
  <c r="BF54" i="14"/>
  <c r="BG54" i="14" s="1"/>
  <c r="BF56" i="14"/>
  <c r="BG56" i="14" s="1"/>
  <c r="BF49" i="14"/>
  <c r="BG49" i="14" s="1"/>
  <c r="BF55" i="14"/>
  <c r="BG55" i="14" s="1"/>
  <c r="AM11" i="14"/>
  <c r="AO9" i="13"/>
  <c r="AP9" i="13" s="1"/>
  <c r="AP11" i="13" s="1"/>
  <c r="AN11" i="13"/>
  <c r="AN11" i="14" l="1"/>
  <c r="AO11" i="13"/>
  <c r="AO11" i="14" l="1"/>
  <c r="AQ9" i="13"/>
  <c r="AP11" i="14" l="1"/>
  <c r="AR9" i="13"/>
  <c r="AQ11" i="13"/>
  <c r="AQ11" i="14" l="1"/>
  <c r="AR11" i="13"/>
  <c r="AS9" i="13"/>
  <c r="AR11" i="14" l="1"/>
  <c r="AT9" i="13"/>
  <c r="AS11" i="13"/>
  <c r="AS11" i="14" l="1"/>
  <c r="AU9" i="13"/>
  <c r="AT11" i="13"/>
  <c r="AT11" i="14" l="1"/>
  <c r="AV9" i="13"/>
  <c r="AU11" i="13"/>
  <c r="AU11" i="14" l="1"/>
  <c r="AW9" i="13"/>
  <c r="AV11" i="13"/>
  <c r="AV11" i="14" l="1"/>
  <c r="AX9" i="13"/>
  <c r="AX11" i="13" s="1"/>
  <c r="AW11" i="13"/>
  <c r="AW11" i="14" l="1"/>
  <c r="AX11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<sst xmlns="http://schemas.openxmlformats.org/spreadsheetml/2006/main" count="3022" uniqueCount="287">
  <si>
    <t>REGISTRO DE CONTROL DE ASISTENCIA</t>
  </si>
  <si>
    <t>N°</t>
  </si>
  <si>
    <t>TRABAJADORES</t>
  </si>
  <si>
    <t>DNI N°</t>
  </si>
  <si>
    <t>INGRESO</t>
  </si>
  <si>
    <t>SALIDA</t>
  </si>
  <si>
    <t>SOBRE TIEMPO</t>
  </si>
  <si>
    <t>TOTAL</t>
  </si>
  <si>
    <t>FIRMA</t>
  </si>
  <si>
    <t>OBSERVACIONES</t>
  </si>
  <si>
    <t xml:space="preserve">APELLIDOS Y NOMBRES </t>
  </si>
  <si>
    <t>Dia</t>
  </si>
  <si>
    <t>Hora y Min.</t>
  </si>
  <si>
    <t>De</t>
  </si>
  <si>
    <t>A</t>
  </si>
  <si>
    <t>GENERAL</t>
  </si>
  <si>
    <t>JEREMIAS PALOMINO, NORBERTO LEONCIO</t>
  </si>
  <si>
    <t>LOZANO MALDONADO, HERNAN</t>
  </si>
  <si>
    <t>NAVARRO LOZANO, ANGEL JAROL</t>
  </si>
  <si>
    <t>ROJAS SANDOVAL, JAVIER ELOY</t>
  </si>
  <si>
    <t>00487377</t>
  </si>
  <si>
    <t>MAYTAHUARI ACOSTA, SAMMER AXEL</t>
  </si>
  <si>
    <t>PIÑA CHUJANDAMA, KEVIN</t>
  </si>
  <si>
    <t>CONSORCIO FORTALEZA E.I.R.L</t>
  </si>
  <si>
    <t>RUC 20612747271</t>
  </si>
  <si>
    <t>CORDOVA ANGULO, JUAN</t>
  </si>
  <si>
    <t>CHINO PILCO SIMON</t>
  </si>
  <si>
    <t>NOMBRES</t>
  </si>
  <si>
    <t>DNI</t>
  </si>
  <si>
    <t>APELLIDOS Y NOMBRES</t>
  </si>
  <si>
    <t xml:space="preserve">MES </t>
  </si>
  <si>
    <t>HASTA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</si>
  <si>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</si>
  <si>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</si>
  <si>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</si>
  <si>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</si>
  <si>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</si>
  <si>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</si>
  <si>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</si>
  <si>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</si>
  <si>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</si>
  <si>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</si>
  <si>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</si>
  <si>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</si>
  <si>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Año</t>
  </si>
  <si>
    <t>Mes</t>
  </si>
  <si>
    <t>Registro y Control de Horas Trabajadas</t>
  </si>
  <si>
    <t>Apellido y Nombres</t>
  </si>
  <si>
    <t>Escoja Mes:</t>
  </si>
  <si>
    <t>Escoja Año:</t>
  </si>
  <si>
    <t>← Introduzca manualmente</t>
  </si>
  <si>
    <t>← Item Lista Desplegable</t>
  </si>
  <si>
    <t>Cargo</t>
  </si>
  <si>
    <t>Setiembre</t>
  </si>
  <si>
    <t xml:space="preserve">Empresa: </t>
  </si>
  <si>
    <t>Obra:</t>
  </si>
  <si>
    <t>Encargado:</t>
  </si>
  <si>
    <t>FSA Constructora</t>
  </si>
  <si>
    <t>Ticapampa</t>
  </si>
  <si>
    <t>Ernesto Acuachi</t>
  </si>
  <si>
    <t>El Periodo Comprende</t>
  </si>
  <si>
    <t>Mes:</t>
  </si>
  <si>
    <t>Año:</t>
  </si>
  <si>
    <t>Horas Extras</t>
  </si>
  <si>
    <t>Horas Normales</t>
  </si>
  <si>
    <t>Horas Extras:</t>
  </si>
  <si>
    <t>Por Encima de:</t>
  </si>
  <si>
    <t>SI</t>
  </si>
  <si>
    <t>Festivos</t>
  </si>
  <si>
    <t>colocar una linea de lunes a domingo en formato condicional</t>
  </si>
  <si>
    <t>apaga los dias que no se utlizan de acuerdo al mes</t>
  </si>
  <si>
    <t>para colocar un color de relleno hasta donde este los dias activos</t>
  </si>
  <si>
    <t>colocar una trama en los dias festivos y domingos</t>
  </si>
  <si>
    <t>=CAMBIAR(_HorasExtras;</t>
  </si>
  <si>
    <t>Si;SUMAPRODUCTO(SI(_Datos&lt;=_PorEncimade;_Datos;_PorEncimade);(DIASEM($G$8:$AK$8;2)&lt;=5)*1;NO(ESNUMERO(COINCIDIR($G$8:$AK$8;nFestivos;0)))*1);</t>
  </si>
  <si>
    <t>No;SUMAPRODUCTO(_Datos;(DIASEM($G$8:$AK$8;2)&lt;=5)*1;NO(ESNUMERO(COINCIDIR($G$8:$AK$8;nFestivos;0)))*1))</t>
  </si>
  <si>
    <t>para hallar horas normales = 8horas</t>
  </si>
  <si>
    <t>para que las horas extras en formato condiciona tenga otro color</t>
  </si>
  <si>
    <t>NO</t>
  </si>
  <si>
    <t>para el color al costado de los empleados</t>
  </si>
  <si>
    <t>ASISTIO(SI)</t>
  </si>
  <si>
    <t>FALTA(NO)</t>
  </si>
  <si>
    <t>MEDIO DIA(MED)</t>
  </si>
  <si>
    <t>OBREROS</t>
  </si>
  <si>
    <t>Registro y Control de Asistencia</t>
  </si>
  <si>
    <t>CLASE</t>
  </si>
  <si>
    <t>CARGO</t>
  </si>
  <si>
    <t>OBRERO</t>
  </si>
  <si>
    <t>PEON</t>
  </si>
  <si>
    <t>OPERARIO</t>
  </si>
  <si>
    <t>OPERARIO/VOLQUETERO</t>
  </si>
  <si>
    <t>PEON/CHOFER</t>
  </si>
  <si>
    <t>ACUACHI LANCHIPA, ERNESTO ALONSO</t>
  </si>
  <si>
    <t>PERSONAL NO CLAVE</t>
  </si>
  <si>
    <t>LOGISTICO</t>
  </si>
  <si>
    <t>ALEJO CHARCA, DENNYS MIRIAM</t>
  </si>
  <si>
    <t>PERSONAL CLAVE</t>
  </si>
  <si>
    <t>ING. CALIDAD</t>
  </si>
  <si>
    <t>SILVA BORDA, ARLETTE NINOSKA</t>
  </si>
  <si>
    <t>ASIS. ING.</t>
  </si>
  <si>
    <t>ADUVIRE ARGUATA, MARIO ARTURO</t>
  </si>
  <si>
    <t>MAESTRO OBRA</t>
  </si>
  <si>
    <t>SALAZAR BAZAN, ROCÍO DALILA</t>
  </si>
  <si>
    <t>RESIDENTE</t>
  </si>
  <si>
    <t>CHACON ORTIZ, JOSE ANTONIO</t>
  </si>
  <si>
    <t>00515241</t>
  </si>
  <si>
    <t xml:space="preserve">ORDOÑEZ CONDORI, GILBERTO </t>
  </si>
  <si>
    <t>GUTARATE SABINO, ADRIEL ANTONY</t>
  </si>
  <si>
    <t xml:space="preserve">QUISPE LIMACHE, ROGELIO </t>
  </si>
  <si>
    <t xml:space="preserve">APASTEGUI GRANDEZ, LUIS ALFREDO </t>
  </si>
  <si>
    <t>PERSONA CLAVE</t>
  </si>
  <si>
    <t>TOPOGRAFO</t>
  </si>
  <si>
    <t>VILLEGAS, ROGER</t>
  </si>
  <si>
    <t>OPERARIO MAQU.</t>
  </si>
  <si>
    <t>TUANAMA PILCO, CHRIS</t>
  </si>
  <si>
    <t>CACERES CALACHUA, YEYSON JORGE</t>
  </si>
  <si>
    <t xml:space="preserve">22/09/2025 llego tarde </t>
  </si>
  <si>
    <t>si</t>
  </si>
  <si>
    <t>22 09 2025 llego media dia</t>
  </si>
  <si>
    <t>Columna1</t>
  </si>
  <si>
    <t>fierro</t>
  </si>
  <si>
    <t>albañil</t>
  </si>
  <si>
    <t>CARPINTERO</t>
  </si>
  <si>
    <t>VOLQUETERO</t>
  </si>
  <si>
    <t>00662471</t>
  </si>
  <si>
    <t>ACOSTA ROJAS, JOSEPH ALFONSO</t>
  </si>
  <si>
    <t>REPRESENTANTE</t>
  </si>
  <si>
    <t>YEANCARLO</t>
  </si>
  <si>
    <t>PERSONAL OBRERO</t>
  </si>
  <si>
    <t>ESCOBAR PALACIOS, LUIS IVAN</t>
  </si>
  <si>
    <t>ESP. SEGURIDAD</t>
  </si>
  <si>
    <t>LOZA YAPUCHURA, KENNY GUILLERMO</t>
  </si>
  <si>
    <t>MED</t>
  </si>
  <si>
    <t>MAQUERA QUISPE, LEONIDAS EDWIN</t>
  </si>
  <si>
    <t>29/09/25 LLEGO 7:12</t>
  </si>
  <si>
    <t>29/09/2025 llego 8:00 am</t>
  </si>
  <si>
    <t>29/09/2025 llego 9:00 am</t>
  </si>
  <si>
    <t xml:space="preserve">29/09/2025 llego 9:00 am </t>
  </si>
  <si>
    <t xml:space="preserve">SI.   </t>
  </si>
  <si>
    <t>MOGROVEJO FALCON, OSMAR ADOLFO</t>
  </si>
  <si>
    <t>PEÓN</t>
  </si>
  <si>
    <t xml:space="preserve">PEÓN </t>
  </si>
  <si>
    <t>MAQUINISTA</t>
  </si>
  <si>
    <t>011-232-000201494909-69</t>
  </si>
  <si>
    <t>NRO CUENTA BBVA</t>
  </si>
  <si>
    <t>CCI BBVA</t>
  </si>
  <si>
    <t>0011-0814-0267066219</t>
  </si>
  <si>
    <t>011-814-000267066219-12</t>
  </si>
  <si>
    <t>011-814-000282789561-12</t>
  </si>
  <si>
    <t>NRO CUENTA BCP</t>
  </si>
  <si>
    <t>CCI BCP</t>
  </si>
  <si>
    <t>48099576706093</t>
  </si>
  <si>
    <t>002480199576706093-22</t>
  </si>
  <si>
    <t>0011-0814-0282772960</t>
  </si>
  <si>
    <t>011-814-000282772960-15</t>
  </si>
  <si>
    <t>0011-0814-0282770674</t>
  </si>
  <si>
    <t>011-814-000282770674-14</t>
  </si>
  <si>
    <t>0011-0232-0201494909</t>
  </si>
  <si>
    <t>0011-0814-0282789561</t>
  </si>
  <si>
    <t>54099248033061</t>
  </si>
  <si>
    <t>00254019924803306139</t>
  </si>
  <si>
    <t>42510879044040</t>
  </si>
  <si>
    <t>00242511087904404078</t>
  </si>
  <si>
    <t>0011-0814-0281980403</t>
  </si>
  <si>
    <t>011-814-000281980403-16</t>
  </si>
  <si>
    <t>0011-0814-0282771654</t>
  </si>
  <si>
    <t>011-814-000282771654-15</t>
  </si>
  <si>
    <t>NRO CUENTA INTERBANK</t>
  </si>
  <si>
    <t>CCI INTERBANK</t>
  </si>
  <si>
    <t>342-3123820927</t>
  </si>
  <si>
    <t>003-342-013123820927-37</t>
  </si>
  <si>
    <t>GUTARATE SABINO, RONEL ARTURO</t>
  </si>
  <si>
    <t>54095302262034</t>
  </si>
  <si>
    <t>00254019530226203437</t>
  </si>
  <si>
    <t>40594770093053</t>
  </si>
  <si>
    <t>00240519477009305391</t>
  </si>
  <si>
    <t>0011-0814-0282782036</t>
  </si>
  <si>
    <t>54039320324023</t>
  </si>
  <si>
    <t>00254013932032402337</t>
  </si>
  <si>
    <t>0011-0814-0277651071</t>
  </si>
  <si>
    <t>011-814-000277651071-17</t>
  </si>
  <si>
    <t>54074340317053</t>
  </si>
  <si>
    <t>00254017434031705337</t>
  </si>
  <si>
    <t>54092485355073</t>
  </si>
  <si>
    <t>ROSAS CHACHAJE, WILSON JHONY</t>
  </si>
  <si>
    <t>011-814-000282782036-12</t>
  </si>
  <si>
    <t>011-814-000283137347-13</t>
  </si>
  <si>
    <t>0011-0814-0283137347</t>
  </si>
  <si>
    <t>0011-0232-0201496596</t>
  </si>
  <si>
    <t>011-232-000201496596-62</t>
  </si>
  <si>
    <t>54096578590053</t>
  </si>
  <si>
    <t>54009616015070</t>
  </si>
  <si>
    <t>54003775270027</t>
  </si>
  <si>
    <t>00254010377527002739</t>
  </si>
  <si>
    <t>21570446064035</t>
  </si>
  <si>
    <t>00221517044606403528</t>
  </si>
  <si>
    <t>GAMARRA CONDORI, ANGEL</t>
  </si>
  <si>
    <t>ALBAÑIL</t>
  </si>
  <si>
    <t>48008842398077</t>
  </si>
  <si>
    <t>00248010884239807724</t>
  </si>
  <si>
    <t>Sueldo</t>
  </si>
  <si>
    <t>sueldo x dia</t>
  </si>
  <si>
    <t>TACANAHUI CALISAYA NESTOR</t>
  </si>
  <si>
    <t>SUELDO</t>
  </si>
  <si>
    <t>HORAS EXTRAS</t>
  </si>
  <si>
    <t>Columna2</t>
  </si>
  <si>
    <t>HORAS EXTRAS A PAGAR</t>
  </si>
  <si>
    <t>Columna3</t>
  </si>
  <si>
    <t>FECHA</t>
  </si>
  <si>
    <t>Columna4</t>
  </si>
  <si>
    <t>ADELANTO 1</t>
  </si>
  <si>
    <t>Columna5</t>
  </si>
  <si>
    <t>Columna6</t>
  </si>
  <si>
    <t>ADELANTO2</t>
  </si>
  <si>
    <t>Columna7</t>
  </si>
  <si>
    <t>Columna8</t>
  </si>
  <si>
    <t>ADELANTO3</t>
  </si>
  <si>
    <t>Columna9</t>
  </si>
  <si>
    <t>Columna10</t>
  </si>
  <si>
    <t>Columna11</t>
  </si>
  <si>
    <t>Columna12</t>
  </si>
  <si>
    <t>ADELANTO4</t>
  </si>
  <si>
    <t>TOTAL ADELANTOS</t>
  </si>
  <si>
    <t>AFP SETIEMBRE MITAD FINAL</t>
  </si>
  <si>
    <t>Columna13</t>
  </si>
  <si>
    <t>Columna14</t>
  </si>
  <si>
    <t>CONAFOVICER AGOSTO MITAD</t>
  </si>
  <si>
    <t>AFP OCTUBRE 1ERA MITAD</t>
  </si>
  <si>
    <t>Columna15</t>
  </si>
  <si>
    <t>Columna16</t>
  </si>
  <si>
    <t>CONAFOVICER SETIEMBRE MITAD</t>
  </si>
  <si>
    <t>TOTAL DESCUENTOS</t>
  </si>
  <si>
    <t>Columna17</t>
  </si>
  <si>
    <t>Columna18</t>
  </si>
  <si>
    <t>SUELDO NETO A DEPOSITAR</t>
  </si>
  <si>
    <t>Columna19</t>
  </si>
  <si>
    <t>SUMA TOTAL ADELANTOS Y DSCTOS</t>
  </si>
  <si>
    <t xml:space="preserve"> </t>
  </si>
  <si>
    <t>ASISTIO</t>
  </si>
  <si>
    <t>FALTO</t>
  </si>
  <si>
    <t>MEDIO DIA (MED)</t>
  </si>
  <si>
    <t>SUELDO MENSUAL</t>
  </si>
  <si>
    <t>SUELDO X DIA</t>
  </si>
  <si>
    <t>QUISPE MAQUERA, MARCO ANTONIO</t>
  </si>
  <si>
    <t>PUMAYALLI LICONA, ENOCH</t>
  </si>
  <si>
    <t>CURMAYARI MANUYAMA, VICTOR RAUL</t>
  </si>
  <si>
    <t>CURMAYARI GUZMAN, JOFFRE</t>
  </si>
  <si>
    <t>OLIVA TARAPA, TOMAS</t>
  </si>
  <si>
    <t>MACHUCA NAVARRO, OMAR JIAN FRANCO</t>
  </si>
  <si>
    <t>00082335</t>
  </si>
  <si>
    <t>01764813</t>
  </si>
  <si>
    <t>74208220</t>
  </si>
  <si>
    <t xml:space="preserve">FECHA </t>
  </si>
  <si>
    <t>ADELANTO 2</t>
  </si>
  <si>
    <t>ADELANTO 3</t>
  </si>
  <si>
    <t>ADELANTO 4</t>
  </si>
  <si>
    <t>ADELANTOS A LOS TRABAJADORES</t>
  </si>
  <si>
    <t>DESCUENTOS</t>
  </si>
  <si>
    <t>AFP</t>
  </si>
  <si>
    <t>ONP</t>
  </si>
  <si>
    <t>CONAFO</t>
  </si>
  <si>
    <t>RH</t>
  </si>
  <si>
    <t>ESCOBAR ARBILDO, GOLBER</t>
  </si>
  <si>
    <t>45415827</t>
  </si>
  <si>
    <t>ESCOBAR ARBILDO, RUSBER</t>
  </si>
  <si>
    <t>48841643</t>
  </si>
  <si>
    <t>CHAVEZ MONTALICO, ISAAC</t>
  </si>
  <si>
    <t>00663998</t>
  </si>
  <si>
    <t>NAVARRO LOZANO, MARCO MANUEL</t>
  </si>
  <si>
    <t>47308810</t>
  </si>
  <si>
    <t>ARAPA PARQUE, ENOC</t>
  </si>
  <si>
    <t>40748695</t>
  </si>
  <si>
    <t>ADICIONAL 2</t>
  </si>
  <si>
    <t>ADICIONAL 1</t>
  </si>
  <si>
    <t>ADICIONAL 3</t>
  </si>
  <si>
    <t>ADICIONAL 4</t>
  </si>
  <si>
    <t>ADICIONAL 5</t>
  </si>
  <si>
    <t>Octubre</t>
  </si>
  <si>
    <t>LAQUIHUANACO PACA, BARTOLOME</t>
  </si>
  <si>
    <t>MOLLO JILAJA, YOEL JHONATHAN</t>
  </si>
  <si>
    <t>CARMELO MONTEJO, OSCAR CESAR</t>
  </si>
  <si>
    <t>CONDORI LAQUI, RAUL</t>
  </si>
  <si>
    <t>01328043</t>
  </si>
  <si>
    <t>76949507</t>
  </si>
  <si>
    <t>73009722</t>
  </si>
  <si>
    <t>0011-0814-0232544827</t>
  </si>
  <si>
    <t>011-814-000232544827-18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</si>
</sst>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S/&quot;\ * #,##0.00_-;\-&quot;S/&quot;\ * #,##0.00_-;_-&quot;S/&quot;\ * &quot;-&quot;??_-;_-@_-"/>
    <numFmt numFmtId="165" formatCode="[$-F800]dddd\,\ mmmm\ dd\,\ yyyy"/>
    <numFmt numFmtId="166" formatCode="d\/mm\/yyyy"/>
    <numFmt numFmtId="167" formatCode="&quot;S/&quot;\ #,##0.00"/>
    <numFmt numFmtId="168" formatCode="_-[$S/-280A]\ * #,##0.00_-;\-[$S/-280A]\ * #,##0.00_-;_-[$S/-280A]\ * &quot;-&quot;??_-;_-@_-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u/>
      <sz val="24"/>
      <name val="Arial"/>
      <family val="2"/>
    </font>
    <font>
      <sz val="10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4"/>
      <name val="Aptos Narrow"/>
      <family val="2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0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name val="Arial Narrow"/>
      <family val="2"/>
    </font>
    <font>
      <sz val="9"/>
      <color theme="1"/>
      <name val="Arial Narrow"/>
      <family val="2"/>
    </font>
    <font>
      <b/>
      <sz val="11"/>
      <color theme="9" tint="-0.499984740745262"/>
      <name val="Calibri"/>
      <family val="2"/>
      <scheme val="minor"/>
    </font>
    <font>
      <b/>
      <sz val="10"/>
      <color theme="4"/>
      <name val="Aptos Narrow"/>
      <family val="2"/>
    </font>
    <font>
      <b/>
      <sz val="8"/>
      <color theme="0" tint="-0.499984740745262"/>
      <name val="Calibri"/>
      <family val="2"/>
      <scheme val="minor"/>
    </font>
    <font>
      <b/>
      <sz val="10"/>
      <color theme="0" tint="-0.14999847407452621"/>
      <name val="Calibri"/>
      <family val="2"/>
      <scheme val="minor"/>
    </font>
    <font>
      <sz val="10"/>
      <color theme="0" tint="-0.14999847407452621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0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sz val="8"/>
      <color theme="1"/>
      <name val="Aptos Narrow"/>
      <family val="2"/>
    </font>
    <font>
      <sz val="10"/>
      <color theme="1"/>
      <name val="Aptos Narrow"/>
      <family val="2"/>
    </font>
    <font>
      <sz val="9"/>
      <color theme="1"/>
      <name val="Aptos Narrow"/>
      <family val="2"/>
    </font>
    <font>
      <b/>
      <sz val="10"/>
      <color theme="0"/>
      <name val="Aptos Narrow"/>
      <family val="2"/>
    </font>
    <font>
      <b/>
      <sz val="9"/>
      <color theme="1"/>
      <name val="Aptos Narrow"/>
      <family val="2"/>
    </font>
    <font>
      <b/>
      <sz val="9"/>
      <color theme="0"/>
      <name val="Aptos Narrow"/>
      <family val="2"/>
    </font>
    <font>
      <sz val="10"/>
      <color rgb="FF000000"/>
      <name val="Calibri"/>
      <family val="2"/>
    </font>
    <font>
      <sz val="10"/>
      <color theme="0"/>
      <name val="Aptos Narrow"/>
      <family val="2"/>
    </font>
    <font>
      <b/>
      <sz val="12"/>
      <color theme="0"/>
      <name val="Aptos Narrow"/>
      <family val="2"/>
    </font>
    <font>
      <b/>
      <sz val="16"/>
      <color theme="0"/>
      <name val="Aptos Narrow"/>
      <family val="2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9" tint="-0.499984740745262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theme="4"/>
      </left>
      <right/>
      <top style="medium">
        <color theme="4"/>
      </top>
      <bottom style="medium">
        <color theme="4"/>
      </bottom>
      <diagonal/>
    </border>
    <border>
      <left/>
      <right/>
      <top style="medium">
        <color theme="4"/>
      </top>
      <bottom style="medium">
        <color theme="4"/>
      </bottom>
      <diagonal/>
    </border>
    <border>
      <left/>
      <right style="medium">
        <color theme="4"/>
      </right>
      <top style="medium">
        <color theme="4"/>
      </top>
      <bottom style="medium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medium">
        <color theme="4"/>
      </left>
      <right/>
      <top/>
      <bottom style="medium">
        <color theme="4"/>
      </bottom>
      <diagonal/>
    </border>
    <border>
      <left/>
      <right style="medium">
        <color theme="4"/>
      </right>
      <top/>
      <bottom style="medium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 style="thin">
        <color theme="0"/>
      </bottom>
      <diagonal/>
    </border>
    <border>
      <left style="medium">
        <color theme="4"/>
      </left>
      <right style="medium">
        <color theme="4"/>
      </right>
      <top style="thin">
        <color theme="0"/>
      </top>
      <bottom style="thin">
        <color theme="0"/>
      </bottom>
      <diagonal/>
    </border>
    <border>
      <left style="medium">
        <color theme="4"/>
      </left>
      <right style="medium">
        <color theme="4"/>
      </right>
      <top style="thin">
        <color theme="0"/>
      </top>
      <bottom style="medium">
        <color theme="4"/>
      </bottom>
      <diagonal/>
    </border>
    <border>
      <left style="medium">
        <color theme="4"/>
      </left>
      <right style="thin">
        <color theme="0"/>
      </right>
      <top style="medium">
        <color theme="4"/>
      </top>
      <bottom style="thin">
        <color theme="0"/>
      </bottom>
      <diagonal/>
    </border>
    <border>
      <left style="thin">
        <color theme="0"/>
      </left>
      <right style="medium">
        <color theme="4"/>
      </right>
      <top style="medium">
        <color theme="4"/>
      </top>
      <bottom style="thin">
        <color theme="0"/>
      </bottom>
      <diagonal/>
    </border>
    <border>
      <left style="thin">
        <color theme="0"/>
      </left>
      <right style="medium">
        <color theme="4"/>
      </right>
      <top style="thin">
        <color theme="0"/>
      </top>
      <bottom style="thin">
        <color theme="0"/>
      </bottom>
      <diagonal/>
    </border>
    <border>
      <left style="medium">
        <color theme="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medium">
        <color theme="4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medium">
        <color theme="4"/>
      </top>
      <bottom style="thin">
        <color theme="0"/>
      </bottom>
      <diagonal/>
    </border>
    <border>
      <left style="medium">
        <color theme="4"/>
      </left>
      <right style="thin">
        <color theme="0"/>
      </right>
      <top style="thin">
        <color theme="0"/>
      </top>
      <bottom style="medium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4"/>
      </bottom>
      <diagonal/>
    </border>
    <border>
      <left style="thin">
        <color theme="0"/>
      </left>
      <right style="medium">
        <color theme="4"/>
      </right>
      <top style="thin">
        <color theme="0"/>
      </top>
      <bottom style="medium">
        <color theme="4"/>
      </bottom>
      <diagonal/>
    </border>
    <border>
      <left style="medium">
        <color theme="4"/>
      </left>
      <right style="medium">
        <color theme="4"/>
      </right>
      <top style="thin">
        <color theme="0"/>
      </top>
      <bottom style="medium">
        <color theme="0"/>
      </bottom>
      <diagonal/>
    </border>
    <border>
      <left style="medium">
        <color theme="4"/>
      </left>
      <right/>
      <top style="thin">
        <color theme="0"/>
      </top>
      <bottom style="thin">
        <color theme="0"/>
      </bottom>
      <diagonal/>
    </border>
    <border>
      <left/>
      <right style="medium">
        <color theme="4"/>
      </right>
      <top style="thin">
        <color theme="0"/>
      </top>
      <bottom style="thin">
        <color theme="0"/>
      </bottom>
      <diagonal/>
    </border>
    <border>
      <left style="medium">
        <color theme="4"/>
      </left>
      <right/>
      <top style="thin">
        <color theme="0"/>
      </top>
      <bottom style="medium">
        <color theme="4"/>
      </bottom>
      <diagonal/>
    </border>
    <border>
      <left/>
      <right style="medium">
        <color theme="4"/>
      </right>
      <top style="thin">
        <color theme="0"/>
      </top>
      <bottom style="medium">
        <color theme="4"/>
      </bottom>
      <diagonal/>
    </border>
    <border>
      <left style="medium">
        <color theme="4" tint="-0.24994659260841701"/>
      </left>
      <right style="medium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 style="medium">
        <color theme="4" tint="-0.24994659260841701"/>
      </bottom>
      <diagonal/>
    </border>
    <border>
      <left style="thin">
        <color theme="0"/>
      </left>
      <right/>
      <top style="medium">
        <color theme="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medium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/>
      <right style="thin">
        <color theme="0"/>
      </right>
      <top style="medium">
        <color theme="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4" tint="-0.24994659260841701"/>
      </left>
      <right style="medium">
        <color theme="4" tint="-0.24994659260841701"/>
      </right>
      <top/>
      <bottom/>
      <diagonal/>
    </border>
    <border>
      <left style="medium">
        <color theme="4" tint="-0.24994659260841701"/>
      </left>
      <right style="medium">
        <color theme="4" tint="-0.24994659260841701"/>
      </right>
      <top style="medium">
        <color theme="4"/>
      </top>
      <bottom style="thin">
        <color theme="0"/>
      </bottom>
      <diagonal/>
    </border>
    <border>
      <left style="medium">
        <color theme="4" tint="-0.24994659260841701"/>
      </left>
      <right style="medium">
        <color theme="4" tint="-0.24994659260841701"/>
      </right>
      <top style="thin">
        <color theme="0"/>
      </top>
      <bottom style="thin">
        <color theme="0"/>
      </bottom>
      <diagonal/>
    </border>
    <border>
      <left/>
      <right style="medium">
        <color theme="4"/>
      </right>
      <top style="medium">
        <color theme="4"/>
      </top>
      <bottom style="thin">
        <color theme="0"/>
      </bottom>
      <diagonal/>
    </border>
    <border>
      <left style="medium">
        <color theme="4" tint="-0.24994659260841701"/>
      </left>
      <right style="medium">
        <color theme="4" tint="-0.24994659260841701"/>
      </right>
      <top style="medium">
        <color theme="4" tint="-0.2499465926084170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theme="4" tint="-0.24994659260841701"/>
      </left>
      <right style="medium">
        <color theme="4" tint="-0.24994659260841701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medium">
        <color theme="4"/>
      </right>
      <top style="thin">
        <color theme="0"/>
      </top>
      <bottom/>
      <diagonal/>
    </border>
    <border>
      <left style="medium">
        <color theme="4"/>
      </left>
      <right style="thin">
        <color theme="0"/>
      </right>
      <top style="medium">
        <color theme="4"/>
      </top>
      <bottom style="medium">
        <color theme="4"/>
      </bottom>
      <diagonal/>
    </border>
    <border>
      <left style="thin">
        <color theme="0"/>
      </left>
      <right style="thin">
        <color theme="0"/>
      </right>
      <top style="medium">
        <color theme="4"/>
      </top>
      <bottom style="medium">
        <color theme="4"/>
      </bottom>
      <diagonal/>
    </border>
    <border>
      <left style="thin">
        <color theme="0"/>
      </left>
      <right/>
      <top style="medium">
        <color theme="4"/>
      </top>
      <bottom style="medium">
        <color theme="4"/>
      </bottom>
      <diagonal/>
    </border>
    <border>
      <left/>
      <right style="thin">
        <color theme="0"/>
      </right>
      <top style="medium">
        <color theme="4"/>
      </top>
      <bottom style="medium">
        <color theme="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thick">
        <color theme="0" tint="-0.34998626667073579"/>
      </left>
      <right style="thick">
        <color theme="0" tint="-0.34998626667073579"/>
      </right>
      <top style="thick">
        <color theme="0" tint="-0.34998626667073579"/>
      </top>
      <bottom/>
      <diagonal/>
    </border>
    <border>
      <left style="thick">
        <color theme="0" tint="-0.34998626667073579"/>
      </left>
      <right style="thick">
        <color theme="0" tint="-0.34998626667073579"/>
      </right>
      <top/>
      <bottom/>
      <diagonal/>
    </border>
    <border>
      <left style="thick">
        <color theme="0" tint="-0.34998626667073579"/>
      </left>
      <right style="thick">
        <color theme="0" tint="-0.34998626667073579"/>
      </right>
      <top/>
      <bottom style="thick">
        <color theme="0" tint="-0.34998626667073579"/>
      </bottom>
      <diagonal/>
    </border>
    <border>
      <left style="medium">
        <color theme="4" tint="-0.24994659260841701"/>
      </left>
      <right style="medium">
        <color theme="4" tint="-0.24994659260841701"/>
      </right>
      <top style="medium">
        <color theme="4" tint="-0.24994659260841701"/>
      </top>
      <bottom/>
      <diagonal/>
    </border>
    <border>
      <left style="thick">
        <color theme="0" tint="-0.34998626667073579"/>
      </left>
      <right style="thick">
        <color theme="0" tint="-0.34998626667073579"/>
      </right>
      <top style="thick">
        <color theme="0" tint="-0.34998626667073579"/>
      </top>
      <bottom style="medium">
        <color theme="0"/>
      </bottom>
      <diagonal/>
    </border>
    <border>
      <left style="thick">
        <color theme="0" tint="-0.34998626667073579"/>
      </left>
      <right style="thick">
        <color theme="0" tint="-0.34998626667073579"/>
      </right>
      <top style="medium">
        <color theme="0"/>
      </top>
      <bottom style="medium">
        <color theme="0"/>
      </bottom>
      <diagonal/>
    </border>
    <border>
      <left style="thick">
        <color theme="0" tint="-0.34998626667073579"/>
      </left>
      <right style="thick">
        <color theme="0" tint="-0.34998626667073579"/>
      </right>
      <top style="medium">
        <color theme="0"/>
      </top>
      <bottom style="thick">
        <color theme="0" tint="-0.34998626667073579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30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4" fillId="0" borderId="4" xfId="0" applyFont="1" applyBorder="1"/>
    <xf numFmtId="0" fontId="0" fillId="0" borderId="4" xfId="0" applyBorder="1"/>
    <xf numFmtId="0" fontId="4" fillId="0" borderId="1" xfId="0" applyFont="1" applyBorder="1"/>
    <xf numFmtId="0" fontId="0" fillId="0" borderId="1" xfId="0" applyBorder="1"/>
    <xf numFmtId="0" fontId="4" fillId="0" borderId="1" xfId="0" quotePrefix="1" applyFont="1" applyBorder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/>
    </xf>
    <xf numFmtId="49" fontId="0" fillId="0" borderId="0" xfId="0" applyNumberFormat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15" fontId="7" fillId="0" borderId="1" xfId="0" applyNumberFormat="1" applyFont="1" applyBorder="1" applyAlignment="1">
      <alignment horizontal="center" vertical="center"/>
    </xf>
    <xf numFmtId="15" fontId="9" fillId="0" borderId="0" xfId="0" applyNumberFormat="1" applyFont="1"/>
    <xf numFmtId="0" fontId="2" fillId="3" borderId="2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center"/>
    </xf>
    <xf numFmtId="0" fontId="0" fillId="0" borderId="7" xfId="0" applyBorder="1"/>
    <xf numFmtId="0" fontId="0" fillId="0" borderId="8" xfId="0" applyBorder="1"/>
    <xf numFmtId="0" fontId="8" fillId="0" borderId="9" xfId="0" applyFont="1" applyBorder="1" applyAlignment="1">
      <alignment horizontal="left" vertical="center"/>
    </xf>
    <xf numFmtId="0" fontId="0" fillId="0" borderId="10" xfId="0" applyBorder="1"/>
    <xf numFmtId="0" fontId="8" fillId="0" borderId="11" xfId="0" applyFont="1" applyBorder="1" applyAlignment="1">
      <alignment horizontal="left" vertical="center"/>
    </xf>
    <xf numFmtId="0" fontId="0" fillId="0" borderId="12" xfId="0" applyBorder="1"/>
    <xf numFmtId="0" fontId="0" fillId="0" borderId="13" xfId="0" applyBorder="1"/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0" fontId="0" fillId="4" borderId="0" xfId="0" applyFill="1"/>
    <xf numFmtId="0" fontId="14" fillId="4" borderId="0" xfId="0" applyFont="1" applyFill="1" applyAlignment="1">
      <alignment vertical="center"/>
    </xf>
    <xf numFmtId="0" fontId="10" fillId="4" borderId="0" xfId="0" applyFont="1" applyFill="1" applyAlignment="1">
      <alignment vertical="center"/>
    </xf>
    <xf numFmtId="0" fontId="0" fillId="5" borderId="0" xfId="0" applyFill="1"/>
    <xf numFmtId="0" fontId="0" fillId="2" borderId="0" xfId="0" applyFill="1"/>
    <xf numFmtId="0" fontId="16" fillId="2" borderId="0" xfId="0" applyFont="1" applyFill="1"/>
    <xf numFmtId="0" fontId="0" fillId="2" borderId="18" xfId="0" applyFill="1" applyBorder="1"/>
    <xf numFmtId="0" fontId="0" fillId="2" borderId="19" xfId="0" applyFill="1" applyBorder="1"/>
    <xf numFmtId="0" fontId="0" fillId="2" borderId="20" xfId="0" applyFill="1" applyBorder="1"/>
    <xf numFmtId="0" fontId="0" fillId="2" borderId="21" xfId="0" applyFill="1" applyBorder="1"/>
    <xf numFmtId="0" fontId="0" fillId="2" borderId="22" xfId="0" applyFill="1" applyBorder="1"/>
    <xf numFmtId="0" fontId="0" fillId="2" borderId="23" xfId="0" applyFill="1" applyBorder="1"/>
    <xf numFmtId="0" fontId="0" fillId="2" borderId="24" xfId="0" applyFill="1" applyBorder="1"/>
    <xf numFmtId="0" fontId="0" fillId="2" borderId="25" xfId="0" applyFill="1" applyBorder="1"/>
    <xf numFmtId="0" fontId="0" fillId="0" borderId="14" xfId="0" applyBorder="1"/>
    <xf numFmtId="0" fontId="0" fillId="2" borderId="14" xfId="0" applyFill="1" applyBorder="1"/>
    <xf numFmtId="0" fontId="17" fillId="4" borderId="0" xfId="0" applyFont="1" applyFill="1" applyAlignment="1">
      <alignment horizontal="center" vertical="center"/>
    </xf>
    <xf numFmtId="0" fontId="0" fillId="5" borderId="26" xfId="0" applyFill="1" applyBorder="1"/>
    <xf numFmtId="0" fontId="0" fillId="5" borderId="27" xfId="0" applyFill="1" applyBorder="1"/>
    <xf numFmtId="0" fontId="0" fillId="5" borderId="29" xfId="0" applyFill="1" applyBorder="1"/>
    <xf numFmtId="0" fontId="15" fillId="2" borderId="0" xfId="0" applyFont="1" applyFill="1"/>
    <xf numFmtId="0" fontId="15" fillId="2" borderId="0" xfId="0" applyFont="1" applyFill="1" applyAlignment="1">
      <alignment horizontal="left"/>
    </xf>
    <xf numFmtId="0" fontId="15" fillId="2" borderId="22" xfId="0" applyFont="1" applyFill="1" applyBorder="1"/>
    <xf numFmtId="0" fontId="18" fillId="2" borderId="21" xfId="0" applyFont="1" applyFill="1" applyBorder="1" applyAlignment="1">
      <alignment horizontal="left" indent="1"/>
    </xf>
    <xf numFmtId="0" fontId="10" fillId="4" borderId="0" xfId="0" applyFont="1" applyFill="1"/>
    <xf numFmtId="0" fontId="10" fillId="6" borderId="0" xfId="0" applyFont="1" applyFill="1"/>
    <xf numFmtId="0" fontId="0" fillId="5" borderId="14" xfId="0" applyFill="1" applyBorder="1" applyAlignment="1">
      <alignment vertical="center"/>
    </xf>
    <xf numFmtId="0" fontId="0" fillId="7" borderId="14" xfId="0" applyFill="1" applyBorder="1" applyAlignment="1">
      <alignment horizontal="center" vertical="center"/>
    </xf>
    <xf numFmtId="166" fontId="0" fillId="5" borderId="0" xfId="0" applyNumberFormat="1" applyFill="1"/>
    <xf numFmtId="0" fontId="0" fillId="5" borderId="0" xfId="0" applyFill="1" applyAlignment="1">
      <alignment horizontal="center"/>
    </xf>
    <xf numFmtId="0" fontId="8" fillId="5" borderId="0" xfId="0" applyFont="1" applyFill="1" applyAlignment="1">
      <alignment vertical="center"/>
    </xf>
    <xf numFmtId="0" fontId="0" fillId="5" borderId="28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30" xfId="0" applyFill="1" applyBorder="1"/>
    <xf numFmtId="0" fontId="0" fillId="5" borderId="31" xfId="0" applyFill="1" applyBorder="1"/>
    <xf numFmtId="0" fontId="0" fillId="5" borderId="32" xfId="0" applyFill="1" applyBorder="1"/>
    <xf numFmtId="0" fontId="0" fillId="5" borderId="35" xfId="0" applyFill="1" applyBorder="1"/>
    <xf numFmtId="0" fontId="0" fillId="5" borderId="36" xfId="0" applyFill="1" applyBorder="1"/>
    <xf numFmtId="0" fontId="0" fillId="5" borderId="37" xfId="0" applyFill="1" applyBorder="1"/>
    <xf numFmtId="0" fontId="0" fillId="5" borderId="33" xfId="0" applyFill="1" applyBorder="1" applyAlignment="1">
      <alignment horizontal="center" vertical="center"/>
    </xf>
    <xf numFmtId="0" fontId="0" fillId="5" borderId="38" xfId="0" applyFill="1" applyBorder="1" applyAlignment="1">
      <alignment horizontal="center" vertical="center"/>
    </xf>
    <xf numFmtId="0" fontId="0" fillId="5" borderId="34" xfId="0" applyFill="1" applyBorder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0" fontId="0" fillId="5" borderId="35" xfId="0" applyFill="1" applyBorder="1" applyAlignment="1">
      <alignment horizontal="center" vertical="center"/>
    </xf>
    <xf numFmtId="0" fontId="0" fillId="5" borderId="39" xfId="0" applyFill="1" applyBorder="1" applyAlignment="1">
      <alignment horizontal="center" vertical="center"/>
    </xf>
    <xf numFmtId="0" fontId="0" fillId="5" borderId="40" xfId="0" applyFill="1" applyBorder="1" applyAlignment="1">
      <alignment horizontal="center" vertical="center"/>
    </xf>
    <xf numFmtId="0" fontId="0" fillId="5" borderId="41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21" fillId="5" borderId="0" xfId="0" applyFont="1" applyFill="1" applyAlignment="1">
      <alignment horizontal="center" vertical="center" wrapText="1"/>
    </xf>
    <xf numFmtId="0" fontId="0" fillId="5" borderId="30" xfId="0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 vertical="center" wrapText="1"/>
    </xf>
    <xf numFmtId="0" fontId="10" fillId="8" borderId="14" xfId="0" applyFont="1" applyFill="1" applyBorder="1" applyAlignment="1">
      <alignment horizontal="center" vertical="center" wrapText="1"/>
    </xf>
    <xf numFmtId="0" fontId="21" fillId="9" borderId="14" xfId="0" applyFont="1" applyFill="1" applyBorder="1" applyAlignment="1">
      <alignment horizontal="center" vertical="center" wrapText="1"/>
    </xf>
    <xf numFmtId="0" fontId="20" fillId="10" borderId="14" xfId="0" applyFont="1" applyFill="1" applyBorder="1" applyAlignment="1">
      <alignment horizontal="center" vertical="center" wrapText="1"/>
    </xf>
    <xf numFmtId="0" fontId="0" fillId="5" borderId="42" xfId="0" applyFill="1" applyBorder="1" applyAlignment="1">
      <alignment horizontal="center" vertical="center"/>
    </xf>
    <xf numFmtId="0" fontId="22" fillId="5" borderId="31" xfId="0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15" fillId="0" borderId="0" xfId="0" applyFont="1" applyAlignment="1">
      <alignment vertical="center" wrapText="1"/>
    </xf>
    <xf numFmtId="0" fontId="15" fillId="0" borderId="0" xfId="0" applyFont="1" applyAlignment="1">
      <alignment horizontal="center" vertical="center" wrapText="1"/>
    </xf>
    <xf numFmtId="49" fontId="15" fillId="0" borderId="0" xfId="0" applyNumberFormat="1" applyFont="1" applyAlignment="1">
      <alignment horizontal="center" vertical="center" wrapText="1"/>
    </xf>
    <xf numFmtId="0" fontId="23" fillId="5" borderId="29" xfId="0" applyFont="1" applyFill="1" applyBorder="1" applyAlignment="1">
      <alignment horizontal="centerContinuous" vertical="center"/>
    </xf>
    <xf numFmtId="0" fontId="23" fillId="5" borderId="28" xfId="0" applyFont="1" applyFill="1" applyBorder="1" applyAlignment="1">
      <alignment horizontal="centerContinuous" vertical="center"/>
    </xf>
    <xf numFmtId="0" fontId="23" fillId="5" borderId="35" xfId="0" applyFont="1" applyFill="1" applyBorder="1" applyAlignment="1">
      <alignment horizontal="centerContinuous" vertical="center"/>
    </xf>
    <xf numFmtId="0" fontId="0" fillId="0" borderId="7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4" fontId="0" fillId="0" borderId="7" xfId="0" applyNumberFormat="1" applyBorder="1"/>
    <xf numFmtId="14" fontId="0" fillId="0" borderId="1" xfId="0" applyNumberFormat="1" applyBorder="1"/>
    <xf numFmtId="0" fontId="7" fillId="0" borderId="1" xfId="0" applyFont="1" applyBorder="1" applyAlignment="1">
      <alignment horizontal="left" vertical="center"/>
    </xf>
    <xf numFmtId="15" fontId="24" fillId="0" borderId="4" xfId="0" applyNumberFormat="1" applyFont="1" applyBorder="1"/>
    <xf numFmtId="15" fontId="24" fillId="0" borderId="1" xfId="0" applyNumberFormat="1" applyFont="1" applyBorder="1"/>
    <xf numFmtId="0" fontId="24" fillId="0" borderId="4" xfId="0" applyFont="1" applyBorder="1"/>
    <xf numFmtId="0" fontId="24" fillId="0" borderId="1" xfId="0" applyFont="1" applyBorder="1"/>
    <xf numFmtId="0" fontId="24" fillId="0" borderId="1" xfId="0" applyFont="1" applyBorder="1" applyAlignment="1">
      <alignment horizontal="left" vertical="center"/>
    </xf>
    <xf numFmtId="0" fontId="25" fillId="0" borderId="1" xfId="0" applyFont="1" applyBorder="1" applyAlignment="1">
      <alignment horizontal="left" vertical="center"/>
    </xf>
    <xf numFmtId="0" fontId="25" fillId="2" borderId="1" xfId="0" applyFont="1" applyFill="1" applyBorder="1" applyAlignment="1">
      <alignment horizontal="left" vertical="center"/>
    </xf>
    <xf numFmtId="0" fontId="24" fillId="0" borderId="1" xfId="0" applyFont="1" applyBorder="1" applyAlignment="1">
      <alignment horizontal="center" vertical="center" wrapText="1"/>
    </xf>
    <xf numFmtId="15" fontId="24" fillId="0" borderId="1" xfId="0" applyNumberFormat="1" applyFont="1" applyBorder="1" applyAlignment="1">
      <alignment horizontal="center" vertical="center"/>
    </xf>
    <xf numFmtId="14" fontId="0" fillId="0" borderId="0" xfId="0" applyNumberFormat="1"/>
    <xf numFmtId="0" fontId="12" fillId="0" borderId="0" xfId="0" applyFont="1" applyAlignment="1">
      <alignment horizontal="left" vertical="center"/>
    </xf>
    <xf numFmtId="0" fontId="26" fillId="0" borderId="0" xfId="0" applyFont="1" applyAlignment="1">
      <alignment horizontal="left"/>
    </xf>
    <xf numFmtId="0" fontId="2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7" fillId="2" borderId="0" xfId="0" applyFont="1" applyFill="1"/>
    <xf numFmtId="0" fontId="0" fillId="5" borderId="31" xfId="0" applyFill="1" applyBorder="1" applyAlignment="1">
      <alignment vertical="center"/>
    </xf>
    <xf numFmtId="0" fontId="0" fillId="5" borderId="32" xfId="0" applyFill="1" applyBorder="1" applyAlignment="1">
      <alignment vertical="center"/>
    </xf>
    <xf numFmtId="0" fontId="8" fillId="0" borderId="0" xfId="0" applyFont="1" applyAlignment="1">
      <alignment horizontal="center" vertical="center" wrapText="1"/>
    </xf>
    <xf numFmtId="0" fontId="28" fillId="9" borderId="14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left" vertical="center" wrapText="1"/>
    </xf>
    <xf numFmtId="0" fontId="15" fillId="11" borderId="0" xfId="0" applyFont="1" applyFill="1" applyAlignment="1">
      <alignment vertical="center" wrapText="1"/>
    </xf>
    <xf numFmtId="0" fontId="15" fillId="11" borderId="0" xfId="0" applyFont="1" applyFill="1" applyAlignment="1">
      <alignment horizontal="center" vertical="center" wrapText="1"/>
    </xf>
    <xf numFmtId="49" fontId="15" fillId="11" borderId="0" xfId="0" applyNumberFormat="1" applyFont="1" applyFill="1" applyAlignment="1">
      <alignment horizontal="center" vertical="center" wrapText="1"/>
    </xf>
    <xf numFmtId="0" fontId="0" fillId="11" borderId="0" xfId="0" applyFill="1"/>
    <xf numFmtId="0" fontId="29" fillId="0" borderId="0" xfId="0" applyFont="1" applyAlignment="1">
      <alignment horizontal="left" vertical="center" wrapText="1"/>
    </xf>
    <xf numFmtId="0" fontId="30" fillId="0" borderId="0" xfId="0" applyFont="1" applyAlignment="1">
      <alignment vertical="center" wrapText="1"/>
    </xf>
    <xf numFmtId="49" fontId="30" fillId="0" borderId="0" xfId="0" applyNumberFormat="1" applyFont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1" fillId="0" borderId="0" xfId="0" applyFont="1"/>
    <xf numFmtId="166" fontId="0" fillId="12" borderId="0" xfId="0" applyNumberFormat="1" applyFill="1"/>
    <xf numFmtId="0" fontId="33" fillId="5" borderId="28" xfId="0" applyFont="1" applyFill="1" applyBorder="1" applyAlignment="1">
      <alignment horizontal="center" vertical="center"/>
    </xf>
    <xf numFmtId="0" fontId="0" fillId="12" borderId="0" xfId="0" applyFill="1"/>
    <xf numFmtId="0" fontId="34" fillId="5" borderId="0" xfId="0" applyFont="1" applyFill="1"/>
    <xf numFmtId="167" fontId="0" fillId="12" borderId="33" xfId="0" applyNumberFormat="1" applyFill="1" applyBorder="1"/>
    <xf numFmtId="167" fontId="0" fillId="12" borderId="38" xfId="0" applyNumberFormat="1" applyFill="1" applyBorder="1"/>
    <xf numFmtId="167" fontId="0" fillId="12" borderId="29" xfId="0" applyNumberFormat="1" applyFill="1" applyBorder="1"/>
    <xf numFmtId="167" fontId="0" fillId="12" borderId="28" xfId="0" applyNumberFormat="1" applyFill="1" applyBorder="1"/>
    <xf numFmtId="166" fontId="32" fillId="13" borderId="47" xfId="0" applyNumberFormat="1" applyFont="1" applyFill="1" applyBorder="1" applyAlignment="1">
      <alignment horizontal="center" vertical="center"/>
    </xf>
    <xf numFmtId="0" fontId="35" fillId="13" borderId="47" xfId="0" applyFont="1" applyFill="1" applyBorder="1" applyAlignment="1">
      <alignment horizontal="center" vertical="center" wrapText="1"/>
    </xf>
    <xf numFmtId="0" fontId="36" fillId="13" borderId="47" xfId="0" applyFont="1" applyFill="1" applyBorder="1" applyAlignment="1">
      <alignment horizontal="center" vertical="center" wrapText="1"/>
    </xf>
    <xf numFmtId="0" fontId="32" fillId="13" borderId="47" xfId="0" applyFont="1" applyFill="1" applyBorder="1" applyAlignment="1">
      <alignment horizontal="center" vertical="center"/>
    </xf>
    <xf numFmtId="0" fontId="32" fillId="13" borderId="47" xfId="0" applyFont="1" applyFill="1" applyBorder="1" applyAlignment="1">
      <alignment horizontal="center" vertical="center" wrapText="1"/>
    </xf>
    <xf numFmtId="0" fontId="32" fillId="13" borderId="48" xfId="0" applyFont="1" applyFill="1" applyBorder="1" applyAlignment="1">
      <alignment horizontal="center" vertical="center"/>
    </xf>
    <xf numFmtId="167" fontId="0" fillId="12" borderId="49" xfId="0" applyNumberFormat="1" applyFill="1" applyBorder="1"/>
    <xf numFmtId="167" fontId="0" fillId="12" borderId="50" xfId="0" applyNumberFormat="1" applyFill="1" applyBorder="1"/>
    <xf numFmtId="0" fontId="32" fillId="13" borderId="51" xfId="0" applyFont="1" applyFill="1" applyBorder="1" applyAlignment="1">
      <alignment horizontal="center" vertical="center" wrapText="1"/>
    </xf>
    <xf numFmtId="167" fontId="0" fillId="12" borderId="52" xfId="0" applyNumberFormat="1" applyFill="1" applyBorder="1"/>
    <xf numFmtId="167" fontId="0" fillId="12" borderId="53" xfId="0" applyNumberFormat="1" applyFill="1" applyBorder="1"/>
    <xf numFmtId="0" fontId="0" fillId="12" borderId="54" xfId="0" applyFill="1" applyBorder="1"/>
    <xf numFmtId="167" fontId="8" fillId="12" borderId="55" xfId="0" applyNumberFormat="1" applyFont="1" applyFill="1" applyBorder="1"/>
    <xf numFmtId="167" fontId="8" fillId="12" borderId="56" xfId="0" applyNumberFormat="1" applyFont="1" applyFill="1" applyBorder="1"/>
    <xf numFmtId="0" fontId="32" fillId="13" borderId="48" xfId="0" applyFont="1" applyFill="1" applyBorder="1" applyAlignment="1">
      <alignment horizontal="center" vertical="center" wrapText="1"/>
    </xf>
    <xf numFmtId="167" fontId="0" fillId="12" borderId="55" xfId="0" applyNumberFormat="1" applyFill="1" applyBorder="1"/>
    <xf numFmtId="167" fontId="0" fillId="12" borderId="56" xfId="0" applyNumberFormat="1" applyFill="1" applyBorder="1"/>
    <xf numFmtId="167" fontId="13" fillId="12" borderId="58" xfId="0" applyNumberFormat="1" applyFont="1" applyFill="1" applyBorder="1"/>
    <xf numFmtId="167" fontId="13" fillId="12" borderId="56" xfId="0" applyNumberFormat="1" applyFont="1" applyFill="1" applyBorder="1"/>
    <xf numFmtId="167" fontId="37" fillId="12" borderId="57" xfId="0" applyNumberFormat="1" applyFont="1" applyFill="1" applyBorder="1"/>
    <xf numFmtId="167" fontId="37" fillId="12" borderId="44" xfId="0" applyNumberFormat="1" applyFont="1" applyFill="1" applyBorder="1"/>
    <xf numFmtId="167" fontId="0" fillId="5" borderId="33" xfId="0" applyNumberFormat="1" applyFill="1" applyBorder="1"/>
    <xf numFmtId="167" fontId="0" fillId="5" borderId="29" xfId="0" applyNumberFormat="1" applyFill="1" applyBorder="1"/>
    <xf numFmtId="167" fontId="0" fillId="5" borderId="39" xfId="0" applyNumberFormat="1" applyFill="1" applyBorder="1"/>
    <xf numFmtId="167" fontId="0" fillId="5" borderId="38" xfId="0" applyNumberFormat="1" applyFill="1" applyBorder="1"/>
    <xf numFmtId="167" fontId="0" fillId="5" borderId="28" xfId="0" applyNumberFormat="1" applyFill="1" applyBorder="1"/>
    <xf numFmtId="167" fontId="0" fillId="5" borderId="40" xfId="0" applyNumberFormat="1" applyFill="1" applyBorder="1"/>
    <xf numFmtId="0" fontId="0" fillId="14" borderId="0" xfId="0" applyFill="1"/>
    <xf numFmtId="0" fontId="0" fillId="15" borderId="0" xfId="0" applyFill="1"/>
    <xf numFmtId="0" fontId="31" fillId="14" borderId="0" xfId="0" applyFont="1" applyFill="1"/>
    <xf numFmtId="0" fontId="0" fillId="12" borderId="38" xfId="0" applyFill="1" applyBorder="1" applyAlignment="1">
      <alignment horizontal="center"/>
    </xf>
    <xf numFmtId="0" fontId="0" fillId="12" borderId="28" xfId="0" applyFill="1" applyBorder="1" applyAlignment="1">
      <alignment horizontal="center"/>
    </xf>
    <xf numFmtId="14" fontId="0" fillId="12" borderId="38" xfId="0" applyNumberFormat="1" applyFill="1" applyBorder="1" applyAlignment="1">
      <alignment horizontal="center"/>
    </xf>
    <xf numFmtId="167" fontId="0" fillId="12" borderId="36" xfId="0" applyNumberFormat="1" applyFill="1" applyBorder="1"/>
    <xf numFmtId="0" fontId="0" fillId="12" borderId="59" xfId="0" applyFill="1" applyBorder="1" applyAlignment="1">
      <alignment horizontal="center"/>
    </xf>
    <xf numFmtId="167" fontId="0" fillId="12" borderId="59" xfId="0" applyNumberFormat="1" applyFill="1" applyBorder="1"/>
    <xf numFmtId="167" fontId="0" fillId="12" borderId="60" xfId="0" applyNumberFormat="1" applyFill="1" applyBorder="1"/>
    <xf numFmtId="167" fontId="8" fillId="12" borderId="61" xfId="0" applyNumberFormat="1" applyFont="1" applyFill="1" applyBorder="1"/>
    <xf numFmtId="167" fontId="0" fillId="12" borderId="62" xfId="0" applyNumberFormat="1" applyFill="1" applyBorder="1"/>
    <xf numFmtId="167" fontId="0" fillId="12" borderId="61" xfId="0" applyNumberFormat="1" applyFill="1" applyBorder="1"/>
    <xf numFmtId="167" fontId="13" fillId="12" borderId="61" xfId="0" applyNumberFormat="1" applyFont="1" applyFill="1" applyBorder="1"/>
    <xf numFmtId="167" fontId="37" fillId="12" borderId="63" xfId="0" applyNumberFormat="1" applyFont="1" applyFill="1" applyBorder="1"/>
    <xf numFmtId="167" fontId="0" fillId="12" borderId="64" xfId="0" applyNumberFormat="1" applyFill="1" applyBorder="1"/>
    <xf numFmtId="0" fontId="0" fillId="12" borderId="65" xfId="0" applyFill="1" applyBorder="1"/>
    <xf numFmtId="167" fontId="0" fillId="12" borderId="65" xfId="0" applyNumberFormat="1" applyFill="1" applyBorder="1"/>
    <xf numFmtId="167" fontId="0" fillId="12" borderId="66" xfId="0" applyNumberFormat="1" applyFill="1" applyBorder="1"/>
    <xf numFmtId="167" fontId="0" fillId="12" borderId="67" xfId="0" applyNumberFormat="1" applyFill="1" applyBorder="1"/>
    <xf numFmtId="167" fontId="0" fillId="12" borderId="14" xfId="0" applyNumberFormat="1" applyFill="1" applyBorder="1"/>
    <xf numFmtId="167" fontId="8" fillId="12" borderId="14" xfId="0" applyNumberFormat="1" applyFont="1" applyFill="1" applyBorder="1"/>
    <xf numFmtId="167" fontId="37" fillId="12" borderId="14" xfId="0" applyNumberFormat="1" applyFont="1" applyFill="1" applyBorder="1"/>
    <xf numFmtId="14" fontId="38" fillId="0" borderId="0" xfId="0" applyNumberFormat="1" applyFont="1" applyAlignment="1">
      <alignment horizontal="center" vertical="center" textRotation="90"/>
    </xf>
    <xf numFmtId="0" fontId="41" fillId="0" borderId="0" xfId="0" applyFont="1" applyAlignment="1">
      <alignment horizontal="center" vertical="center"/>
    </xf>
    <xf numFmtId="0" fontId="40" fillId="0" borderId="0" xfId="0" applyFont="1"/>
    <xf numFmtId="0" fontId="42" fillId="6" borderId="0" xfId="0" applyFont="1" applyFill="1" applyAlignment="1">
      <alignment horizontal="center" vertical="center" wrapText="1"/>
    </xf>
    <xf numFmtId="0" fontId="43" fillId="8" borderId="0" xfId="0" applyFont="1" applyFill="1" applyAlignment="1">
      <alignment horizontal="center" vertical="center" wrapText="1"/>
    </xf>
    <xf numFmtId="0" fontId="42" fillId="17" borderId="0" xfId="0" applyFont="1" applyFill="1" applyAlignment="1">
      <alignment horizontal="center" vertical="center" wrapText="1"/>
    </xf>
    <xf numFmtId="0" fontId="42" fillId="11" borderId="0" xfId="0" applyFont="1" applyFill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0" fontId="44" fillId="0" borderId="0" xfId="0" applyFont="1" applyAlignment="1">
      <alignment vertical="center" wrapText="1"/>
    </xf>
    <xf numFmtId="0" fontId="39" fillId="0" borderId="0" xfId="0" applyFont="1" applyAlignment="1">
      <alignment vertical="center" wrapText="1"/>
    </xf>
    <xf numFmtId="167" fontId="0" fillId="0" borderId="0" xfId="0" applyNumberFormat="1"/>
    <xf numFmtId="167" fontId="0" fillId="0" borderId="0" xfId="0" applyNumberFormat="1" applyAlignment="1">
      <alignment horizontal="center" vertical="center"/>
    </xf>
    <xf numFmtId="0" fontId="0" fillId="16" borderId="0" xfId="0" applyFill="1"/>
    <xf numFmtId="0" fontId="0" fillId="16" borderId="68" xfId="0" applyFill="1" applyBorder="1" applyAlignment="1">
      <alignment horizontal="center" vertical="center"/>
    </xf>
    <xf numFmtId="0" fontId="42" fillId="16" borderId="0" xfId="0" applyFont="1" applyFill="1" applyAlignment="1">
      <alignment horizontal="center" vertical="center"/>
    </xf>
    <xf numFmtId="0" fontId="41" fillId="0" borderId="0" xfId="0" applyFont="1" applyAlignment="1">
      <alignment horizontal="center" vertical="center" wrapText="1"/>
    </xf>
    <xf numFmtId="0" fontId="47" fillId="18" borderId="0" xfId="0" applyFont="1" applyFill="1" applyAlignment="1">
      <alignment horizontal="centerContinuous" vertical="center"/>
    </xf>
    <xf numFmtId="0" fontId="32" fillId="18" borderId="0" xfId="0" applyFont="1" applyFill="1"/>
    <xf numFmtId="0" fontId="45" fillId="13" borderId="51" xfId="0" applyFont="1" applyFill="1" applyBorder="1" applyAlignment="1">
      <alignment horizontal="center" vertical="center" wrapText="1"/>
    </xf>
    <xf numFmtId="0" fontId="45" fillId="0" borderId="51" xfId="0" applyFont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41" fillId="4" borderId="0" xfId="0" applyFont="1" applyFill="1" applyAlignment="1">
      <alignment horizontal="center" vertical="center"/>
    </xf>
    <xf numFmtId="0" fontId="46" fillId="16" borderId="0" xfId="0" applyFont="1" applyFill="1" applyAlignment="1">
      <alignment horizontal="centerContinuous" vertical="center" wrapText="1"/>
    </xf>
    <xf numFmtId="0" fontId="39" fillId="16" borderId="0" xfId="0" applyFont="1" applyFill="1" applyAlignment="1">
      <alignment horizontal="centerContinuous" vertical="center" wrapText="1"/>
    </xf>
    <xf numFmtId="0" fontId="0" fillId="16" borderId="0" xfId="0" applyFill="1" applyAlignment="1">
      <alignment horizontal="centerContinuous"/>
    </xf>
    <xf numFmtId="168" fontId="0" fillId="0" borderId="0" xfId="0" applyNumberFormat="1"/>
    <xf numFmtId="0" fontId="48" fillId="18" borderId="0" xfId="0" applyFont="1" applyFill="1" applyAlignment="1">
      <alignment horizontal="centerContinuous" vertical="center"/>
    </xf>
    <xf numFmtId="0" fontId="49" fillId="18" borderId="0" xfId="0" applyFont="1" applyFill="1" applyAlignment="1">
      <alignment horizontal="centerContinuous" vertical="center"/>
    </xf>
    <xf numFmtId="0" fontId="39" fillId="19" borderId="28" xfId="0" applyFont="1" applyFill="1" applyBorder="1" applyAlignment="1">
      <alignment vertical="center" wrapText="1"/>
    </xf>
    <xf numFmtId="0" fontId="0" fillId="19" borderId="28" xfId="0" applyFill="1" applyBorder="1"/>
    <xf numFmtId="168" fontId="0" fillId="19" borderId="28" xfId="3" applyNumberFormat="1" applyFont="1" applyFill="1" applyBorder="1" applyAlignment="1">
      <alignment horizontal="right" vertical="center"/>
    </xf>
    <xf numFmtId="167" fontId="0" fillId="19" borderId="28" xfId="0" applyNumberFormat="1" applyFill="1" applyBorder="1"/>
    <xf numFmtId="0" fontId="38" fillId="19" borderId="28" xfId="0" applyFont="1" applyFill="1" applyBorder="1" applyAlignment="1">
      <alignment vertical="center" wrapText="1"/>
    </xf>
    <xf numFmtId="0" fontId="0" fillId="20" borderId="68" xfId="0" applyFill="1" applyBorder="1" applyAlignment="1">
      <alignment horizontal="center" vertical="center"/>
    </xf>
    <xf numFmtId="0" fontId="42" fillId="21" borderId="28" xfId="0" applyFont="1" applyFill="1" applyBorder="1" applyAlignment="1">
      <alignment horizontal="center" vertical="center"/>
    </xf>
    <xf numFmtId="167" fontId="0" fillId="5" borderId="0" xfId="0" applyNumberFormat="1" applyFill="1"/>
    <xf numFmtId="167" fontId="39" fillId="5" borderId="0" xfId="0" applyNumberFormat="1" applyFont="1" applyFill="1"/>
    <xf numFmtId="14" fontId="39" fillId="5" borderId="69" xfId="0" applyNumberFormat="1" applyFont="1" applyFill="1" applyBorder="1"/>
    <xf numFmtId="167" fontId="0" fillId="5" borderId="69" xfId="0" applyNumberFormat="1" applyFill="1" applyBorder="1"/>
    <xf numFmtId="167" fontId="39" fillId="5" borderId="69" xfId="0" applyNumberFormat="1" applyFont="1" applyFill="1" applyBorder="1"/>
    <xf numFmtId="0" fontId="41" fillId="4" borderId="28" xfId="0" applyFont="1" applyFill="1" applyBorder="1" applyAlignment="1">
      <alignment horizontal="center" vertical="center"/>
    </xf>
    <xf numFmtId="0" fontId="41" fillId="4" borderId="28" xfId="0" applyFont="1" applyFill="1" applyBorder="1" applyAlignment="1">
      <alignment horizontal="center" vertical="center" wrapText="1"/>
    </xf>
    <xf numFmtId="14" fontId="39" fillId="5" borderId="70" xfId="0" applyNumberFormat="1" applyFont="1" applyFill="1" applyBorder="1"/>
    <xf numFmtId="167" fontId="0" fillId="5" borderId="70" xfId="0" applyNumberFormat="1" applyFill="1" applyBorder="1"/>
    <xf numFmtId="167" fontId="39" fillId="5" borderId="70" xfId="0" applyNumberFormat="1" applyFont="1" applyFill="1" applyBorder="1"/>
    <xf numFmtId="0" fontId="32" fillId="4" borderId="28" xfId="0" applyFont="1" applyFill="1" applyBorder="1" applyAlignment="1">
      <alignment horizontal="center" vertical="center"/>
    </xf>
    <xf numFmtId="0" fontId="32" fillId="4" borderId="28" xfId="0" applyFont="1" applyFill="1" applyBorder="1" applyAlignment="1">
      <alignment horizontal="center" vertical="center" wrapText="1"/>
    </xf>
    <xf numFmtId="0" fontId="45" fillId="13" borderId="71" xfId="0" applyFont="1" applyFill="1" applyBorder="1" applyAlignment="1">
      <alignment horizontal="center" vertical="center" wrapText="1"/>
    </xf>
    <xf numFmtId="0" fontId="45" fillId="13" borderId="72" xfId="0" applyFont="1" applyFill="1" applyBorder="1" applyAlignment="1">
      <alignment horizontal="center" vertical="center" wrapText="1"/>
    </xf>
    <xf numFmtId="167" fontId="0" fillId="5" borderId="73" xfId="0" applyNumberFormat="1" applyFill="1" applyBorder="1"/>
    <xf numFmtId="167" fontId="0" fillId="5" borderId="74" xfId="0" applyNumberFormat="1" applyFill="1" applyBorder="1"/>
    <xf numFmtId="167" fontId="0" fillId="5" borderId="75" xfId="0" applyNumberFormat="1" applyFill="1" applyBorder="1"/>
    <xf numFmtId="168" fontId="0" fillId="5" borderId="0" xfId="0" applyNumberFormat="1" applyFill="1"/>
    <xf numFmtId="168" fontId="0" fillId="5" borderId="73" xfId="0" applyNumberFormat="1" applyFill="1" applyBorder="1"/>
    <xf numFmtId="168" fontId="0" fillId="5" borderId="74" xfId="0" applyNumberFormat="1" applyFill="1" applyBorder="1"/>
    <xf numFmtId="168" fontId="0" fillId="5" borderId="75" xfId="0" applyNumberFormat="1" applyFill="1" applyBorder="1"/>
    <xf numFmtId="0" fontId="45" fillId="13" borderId="76" xfId="0" applyFont="1" applyFill="1" applyBorder="1" applyAlignment="1">
      <alignment horizontal="center" vertical="center" wrapText="1"/>
    </xf>
    <xf numFmtId="167" fontId="0" fillId="5" borderId="77" xfId="0" applyNumberFormat="1" applyFill="1" applyBorder="1"/>
    <xf numFmtId="167" fontId="0" fillId="5" borderId="78" xfId="0" applyNumberFormat="1" applyFill="1" applyBorder="1"/>
    <xf numFmtId="167" fontId="0" fillId="5" borderId="79" xfId="0" applyNumberFormat="1" applyFill="1" applyBorder="1"/>
    <xf numFmtId="9" fontId="0" fillId="0" borderId="0" xfId="0" applyNumberFormat="1"/>
    <xf numFmtId="9" fontId="8" fillId="0" borderId="0" xfId="0" applyNumberFormat="1" applyFont="1" applyAlignment="1">
      <alignment horizontal="center" vertical="center"/>
    </xf>
    <xf numFmtId="167" fontId="0" fillId="19" borderId="28" xfId="3" applyNumberFormat="1" applyFont="1" applyFill="1" applyBorder="1" applyAlignment="1">
      <alignment horizontal="right" vertical="center"/>
    </xf>
    <xf numFmtId="0" fontId="39" fillId="19" borderId="28" xfId="0" applyFont="1" applyFill="1" applyBorder="1"/>
    <xf numFmtId="0" fontId="39" fillId="20" borderId="68" xfId="0" applyFont="1" applyFill="1" applyBorder="1" applyAlignment="1">
      <alignment horizontal="center" vertical="center"/>
    </xf>
    <xf numFmtId="0" fontId="39" fillId="0" borderId="0" xfId="0" applyFont="1"/>
    <xf numFmtId="0" fontId="39" fillId="0" borderId="68" xfId="0" applyFont="1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39" fillId="5" borderId="30" xfId="0" applyFont="1" applyFill="1" applyBorder="1"/>
    <xf numFmtId="0" fontId="39" fillId="5" borderId="31" xfId="0" applyFont="1" applyFill="1" applyBorder="1"/>
    <xf numFmtId="0" fontId="39" fillId="5" borderId="32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165" fontId="6" fillId="3" borderId="5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166" fontId="19" fillId="5" borderId="0" xfId="0" applyNumberFormat="1" applyFont="1" applyFill="1" applyAlignment="1">
      <alignment horizontal="center" vertical="center" textRotation="90"/>
    </xf>
    <xf numFmtId="0" fontId="0" fillId="7" borderId="15" xfId="0" applyFill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5" borderId="33" xfId="0" applyFill="1" applyBorder="1" applyAlignment="1">
      <alignment horizontal="center"/>
    </xf>
    <xf numFmtId="0" fontId="0" fillId="5" borderId="3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29" xfId="0" applyFill="1" applyBorder="1" applyAlignment="1">
      <alignment horizontal="center"/>
    </xf>
    <xf numFmtId="0" fontId="0" fillId="5" borderId="35" xfId="0" applyFill="1" applyBorder="1" applyAlignment="1">
      <alignment horizontal="center"/>
    </xf>
    <xf numFmtId="0" fontId="15" fillId="2" borderId="21" xfId="0" applyFont="1" applyFill="1" applyBorder="1" applyAlignment="1">
      <alignment horizontal="left" vertical="center" indent="1"/>
    </xf>
    <xf numFmtId="0" fontId="15" fillId="2" borderId="0" xfId="0" applyFont="1" applyFill="1" applyAlignment="1">
      <alignment horizontal="left" vertical="center" indent="1"/>
    </xf>
    <xf numFmtId="0" fontId="8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15" fillId="5" borderId="43" xfId="0" applyFont="1" applyFill="1" applyBorder="1" applyAlignment="1">
      <alignment horizontal="center" vertical="center" wrapText="1"/>
    </xf>
    <xf numFmtId="0" fontId="15" fillId="5" borderId="44" xfId="0" applyFont="1" applyFill="1" applyBorder="1" applyAlignment="1">
      <alignment horizontal="center" vertical="center" wrapText="1"/>
    </xf>
    <xf numFmtId="0" fontId="15" fillId="5" borderId="45" xfId="0" applyFont="1" applyFill="1" applyBorder="1" applyAlignment="1">
      <alignment horizontal="center" vertical="center" wrapText="1"/>
    </xf>
    <xf numFmtId="0" fontId="15" fillId="5" borderId="46" xfId="0" applyFont="1" applyFill="1" applyBorder="1" applyAlignment="1">
      <alignment horizontal="center" vertical="center" wrapText="1"/>
    </xf>
    <xf numFmtId="0" fontId="0" fillId="5" borderId="29" xfId="0" applyFill="1" applyBorder="1" applyAlignment="1">
      <alignment horizontal="center" vertical="center"/>
    </xf>
    <xf numFmtId="0" fontId="15" fillId="5" borderId="35" xfId="0" applyFont="1" applyFill="1" applyBorder="1" applyAlignment="1">
      <alignment horizontal="center" vertical="center"/>
    </xf>
    <xf numFmtId="0" fontId="15" fillId="5" borderId="43" xfId="0" applyFont="1" applyFill="1" applyBorder="1" applyAlignment="1">
      <alignment horizontal="center" vertical="center"/>
    </xf>
    <xf numFmtId="0" fontId="15" fillId="5" borderId="44" xfId="0" applyFont="1" applyFill="1" applyBorder="1" applyAlignment="1">
      <alignment horizontal="center" vertical="center"/>
    </xf>
    <xf numFmtId="0" fontId="0" fillId="5" borderId="43" xfId="0" applyFill="1" applyBorder="1" applyAlignment="1">
      <alignment horizontal="center" vertical="center" wrapText="1"/>
    </xf>
    <xf numFmtId="0" fontId="0" fillId="5" borderId="33" xfId="0" applyFill="1" applyBorder="1" applyAlignment="1">
      <alignment horizontal="center" vertical="center"/>
    </xf>
    <xf numFmtId="0" fontId="15" fillId="5" borderId="34" xfId="0" applyFont="1" applyFill="1" applyBorder="1" applyAlignment="1">
      <alignment horizontal="center" vertical="center"/>
    </xf>
    <xf numFmtId="0" fontId="0" fillId="5" borderId="28" xfId="0" applyFill="1" applyBorder="1" applyAlignment="1">
      <alignment horizontal="center" vertical="center" wrapText="1"/>
    </xf>
    <xf numFmtId="0" fontId="15" fillId="5" borderId="35" xfId="0" applyFont="1" applyFill="1" applyBorder="1" applyAlignment="1">
      <alignment horizontal="center" vertical="center" wrapText="1"/>
    </xf>
    <xf numFmtId="0" fontId="0" fillId="5" borderId="38" xfId="0" applyFill="1" applyBorder="1" applyAlignment="1">
      <alignment horizontal="center" vertical="center" wrapText="1"/>
    </xf>
    <xf numFmtId="0" fontId="15" fillId="5" borderId="34" xfId="0" applyFont="1" applyFill="1" applyBorder="1" applyAlignment="1">
      <alignment horizontal="center" vertical="center" wrapText="1"/>
    </xf>
    <xf numFmtId="0" fontId="15" fillId="5" borderId="28" xfId="0" applyFont="1" applyFill="1" applyBorder="1" applyAlignment="1">
      <alignment horizontal="center" vertical="center" wrapText="1"/>
    </xf>
    <xf numFmtId="0" fontId="15" fillId="5" borderId="40" xfId="0" applyFont="1" applyFill="1" applyBorder="1" applyAlignment="1">
      <alignment horizontal="center" vertical="center" wrapText="1"/>
    </xf>
    <xf numFmtId="0" fontId="15" fillId="5" borderId="41" xfId="0" applyFont="1" applyFill="1" applyBorder="1" applyAlignment="1">
      <alignment horizontal="center" vertical="center" wrapText="1"/>
    </xf>
  </cellXfs>
  <cellStyles count="4">
    <cellStyle name="Moneda" xfId="3" builtinId="4"/>
    <cellStyle name="Normal" xfId="0" builtinId="0"/>
    <cellStyle name="Normal 2" xfId="2" xr:uid="{C9F2454E-1044-4ACA-AD7F-151C755DD6FA}"/>
    <cellStyle name="Normal 4" xfId="1" xr:uid="{AF0617DF-A1E1-46AC-B56B-EF571679A75E}"/>
  </cellStyles>
  <dxfs count="120">
    <dxf>
      <fill>
        <patternFill>
          <bgColor rgb="FF12E4C6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border>
        <right style="thin">
          <color theme="0" tint="-0.34998626667073579"/>
        </right>
        <vertical/>
        <horizontal/>
      </border>
    </dxf>
    <dxf>
      <fill>
        <patternFill>
          <bgColor rgb="FF00B0F0"/>
        </patternFill>
      </fill>
    </dxf>
    <dxf>
      <border>
        <right style="thin">
          <color theme="0"/>
        </right>
      </border>
    </dxf>
    <dxf>
      <fill>
        <patternFill>
          <bgColor rgb="FF12E4C6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border>
        <right style="thin">
          <color theme="1" tint="0.34998626667073579"/>
        </right>
        <vertical/>
        <horizontal/>
      </border>
    </dxf>
    <dxf>
      <border>
        <right style="thin">
          <color theme="0"/>
        </right>
      </border>
    </dxf>
    <dxf>
      <fill>
        <patternFill>
          <bgColor rgb="FF3FADFF"/>
        </patternFill>
      </fill>
    </dxf>
    <dxf>
      <border>
        <right style="thin">
          <color theme="0" tint="-0.499984740745262"/>
        </right>
        <vertical/>
        <horizontal/>
      </border>
    </dxf>
    <dxf>
      <border>
        <right style="thin">
          <color theme="0"/>
        </right>
      </border>
    </dxf>
    <dxf>
      <fill>
        <patternFill>
          <bgColor rgb="FF12E4C6"/>
        </patternFill>
      </fill>
    </dxf>
    <dxf>
      <fill>
        <patternFill>
          <bgColor rgb="FF3FADFF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 val="0"/>
        <i val="0"/>
        <color theme="0" tint="-0.34998626667073579"/>
      </font>
      <fill>
        <patternFill>
          <bgColor theme="0" tint="-0.499984740745262"/>
        </patternFill>
      </fill>
    </dxf>
    <dxf>
      <font>
        <b val="0"/>
        <i val="0"/>
        <color theme="0" tint="-0.34998626667073579"/>
      </font>
      <fill>
        <patternFill>
          <bgColor theme="0" tint="-0.499984740745262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border>
        <right style="thin">
          <color theme="0"/>
        </right>
        <vertical/>
        <horizontal/>
      </border>
    </dxf>
    <dxf>
      <font>
        <b/>
        <i val="0"/>
        <color theme="0" tint="-0.34998626667073579"/>
      </font>
    </dxf>
    <dxf>
      <fill>
        <patternFill>
          <bgColor rgb="FF33DDB5"/>
        </patternFill>
      </fill>
    </dxf>
    <dxf>
      <fill>
        <patternFill>
          <bgColor rgb="FFFF0000"/>
        </patternFill>
      </fill>
    </dxf>
    <dxf>
      <font>
        <color theme="0" tint="-0.499984740745262"/>
      </font>
    </dxf>
    <dxf>
      <fill>
        <patternFill>
          <bgColor rgb="FF95F9EB"/>
        </patternFill>
      </fill>
    </dxf>
    <dxf>
      <font>
        <b val="0"/>
        <i val="0"/>
        <color theme="0" tint="-0.34998626667073579"/>
      </font>
      <fill>
        <patternFill>
          <bgColor theme="0" tint="-0.499984740745262"/>
        </patternFill>
      </fill>
    </dxf>
    <dxf>
      <font>
        <b val="0"/>
        <i val="0"/>
        <color theme="0" tint="-0.34998626667073579"/>
      </font>
      <fill>
        <patternFill>
          <bgColor theme="0" tint="-0.499984740745262"/>
        </patternFill>
      </fill>
    </dxf>
    <dxf>
      <border>
        <right style="thin">
          <color theme="0" tint="-0.24994659260841701"/>
        </right>
        <vertical/>
        <horizontal/>
      </border>
    </dxf>
    <dxf>
      <fill>
        <patternFill patternType="lightUp"/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border>
        <right style="thin">
          <color theme="0"/>
        </right>
        <vertical/>
        <horizontal/>
      </border>
    </dxf>
    <dxf>
      <font>
        <b/>
        <i val="0"/>
        <color theme="0" tint="-0.34998626667073579"/>
      </font>
    </dxf>
    <dxf>
      <fill>
        <patternFill>
          <bgColor rgb="FF33DDB5"/>
        </patternFill>
      </fill>
    </dxf>
    <dxf>
      <fill>
        <patternFill>
          <bgColor rgb="FFFF0000"/>
        </patternFill>
      </fill>
    </dxf>
    <dxf>
      <font>
        <color theme="0" tint="-0.499984740745262"/>
      </font>
    </dxf>
    <dxf>
      <fill>
        <patternFill>
          <bgColor rgb="FF95F9EB"/>
        </patternFill>
      </fill>
    </dxf>
    <dxf>
      <font>
        <b val="0"/>
        <i val="0"/>
        <color theme="0" tint="-0.34998626667073579"/>
      </font>
      <fill>
        <patternFill>
          <bgColor theme="0" tint="-0.499984740745262"/>
        </patternFill>
      </fill>
    </dxf>
    <dxf>
      <font>
        <b val="0"/>
        <i val="0"/>
        <color theme="0" tint="-0.34998626667073579"/>
      </font>
      <fill>
        <patternFill>
          <bgColor theme="0" tint="-0.499984740745262"/>
        </patternFill>
      </fill>
    </dxf>
    <dxf>
      <border>
        <right style="thin">
          <color theme="0" tint="-0.24994659260841701"/>
        </right>
        <vertical/>
        <horizontal/>
      </border>
    </dxf>
    <dxf>
      <fill>
        <patternFill patternType="lightUp"/>
      </fill>
    </dxf>
    <dxf>
      <border>
        <right style="thin">
          <color theme="0"/>
        </right>
        <vertical/>
        <horizontal/>
      </border>
    </dxf>
    <dxf>
      <font>
        <b/>
        <i val="0"/>
        <color theme="0" tint="-0.34998626667073579"/>
      </font>
    </dxf>
    <dxf>
      <fill>
        <patternFill>
          <bgColor rgb="FF33DDB5"/>
        </patternFill>
      </fill>
    </dxf>
    <dxf>
      <fill>
        <patternFill>
          <bgColor rgb="FFFF0000"/>
        </patternFill>
      </fill>
    </dxf>
    <dxf>
      <font>
        <color theme="0" tint="-0.499984740745262"/>
      </font>
    </dxf>
    <dxf>
      <fill>
        <patternFill>
          <bgColor rgb="FF95F9EB"/>
        </patternFill>
      </fill>
    </dxf>
    <dxf>
      <font>
        <b/>
        <strike val="0"/>
        <outline val="0"/>
        <shadow val="0"/>
        <u val="none"/>
        <vertAlign val="baseline"/>
        <sz val="12"/>
        <color rgb="FF002060"/>
        <name val="Calibri"/>
        <family val="2"/>
        <scheme val="minor"/>
      </font>
      <numFmt numFmtId="167" formatCode="&quot;S/&quot;\ #,##0.00"/>
      <fill>
        <patternFill patternType="solid">
          <fgColor rgb="FF000000"/>
          <bgColor rgb="FFF2F2F2"/>
        </patternFill>
      </fill>
      <border diagonalUp="0" diagonalDown="0" outline="0"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</border>
    </dxf>
    <dxf>
      <fill>
        <patternFill patternType="solid">
          <fgColor rgb="FF000000"/>
          <bgColor rgb="FFF2F2F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&quot;S/&quot;\ #,##0.00"/>
      <fill>
        <patternFill patternType="solid">
          <fgColor rgb="FF000000"/>
          <bgColor rgb="FFF2F2F2"/>
        </patternFill>
      </fill>
      <border diagonalUp="0" diagonalDown="0"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  <vertical/>
        <horizontal/>
      </border>
    </dxf>
    <dxf>
      <fill>
        <patternFill patternType="solid">
          <fgColor rgb="FF000000"/>
          <bgColor rgb="FFF2F2F2"/>
        </patternFill>
      </fill>
    </dxf>
    <dxf>
      <numFmt numFmtId="167" formatCode="&quot;S/&quot;\ #,##0.00"/>
      <fill>
        <patternFill patternType="solid">
          <fgColor rgb="FF000000"/>
          <bgColor rgb="FFF2F2F2"/>
        </patternFill>
      </fill>
      <border diagonalUp="0" diagonalDown="0"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  <vertical/>
        <horizontal/>
      </border>
    </dxf>
    <dxf>
      <fill>
        <patternFill patternType="solid">
          <fgColor rgb="FF000000"/>
          <bgColor rgb="FFF2F2F2"/>
        </patternFill>
      </fill>
    </dxf>
    <dxf>
      <numFmt numFmtId="167" formatCode="&quot;S/&quot;\ #,##0.00"/>
      <fill>
        <patternFill patternType="solid">
          <fgColor rgb="FF000000"/>
          <bgColor rgb="FFF2F2F2"/>
        </patternFill>
      </fill>
      <border diagonalUp="0" diagonalDown="0"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  <vertical style="thin">
          <color theme="0"/>
        </vertical>
        <horizontal/>
      </border>
    </dxf>
    <dxf>
      <fill>
        <patternFill patternType="solid">
          <fgColor rgb="FF000000"/>
          <bgColor rgb="FFF2F2F2"/>
        </patternFill>
      </fill>
    </dxf>
    <dxf>
      <numFmt numFmtId="167" formatCode="&quot;S/&quot;\ #,##0.00"/>
      <fill>
        <patternFill patternType="solid">
          <fgColor rgb="FF000000"/>
          <bgColor rgb="FFF2F2F2"/>
        </patternFill>
      </fill>
      <border diagonalUp="0" diagonalDown="0"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  <vertical style="thin">
          <color theme="0"/>
        </vertical>
        <horizontal/>
      </border>
    </dxf>
    <dxf>
      <fill>
        <patternFill patternType="solid">
          <fgColor rgb="FF000000"/>
          <bgColor rgb="FFF2F2F2"/>
        </patternFill>
      </fill>
    </dxf>
    <dxf>
      <numFmt numFmtId="167" formatCode="&quot;S/&quot;\ #,##0.00"/>
      <fill>
        <patternFill patternType="solid">
          <fgColor rgb="FF000000"/>
          <bgColor rgb="FFF2F2F2"/>
        </patternFill>
      </fill>
      <border diagonalUp="0" diagonalDown="0"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  <vertical style="thin">
          <color theme="0"/>
        </vertical>
        <horizontal/>
      </border>
    </dxf>
    <dxf>
      <fill>
        <patternFill patternType="solid">
          <fgColor rgb="FF000000"/>
          <bgColor rgb="FFF2F2F2"/>
        </patternFill>
      </fill>
    </dxf>
    <dxf>
      <numFmt numFmtId="167" formatCode="&quot;S/&quot;\ #,##0.00"/>
      <fill>
        <patternFill patternType="solid">
          <fgColor rgb="FF000000"/>
          <bgColor rgb="FFF2F2F2"/>
        </patternFill>
      </fill>
      <border diagonalUp="0" diagonalDown="0"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  <vertical style="thin">
          <color theme="0"/>
        </vertical>
        <horizontal/>
      </border>
    </dxf>
    <dxf>
      <fill>
        <patternFill patternType="solid">
          <fgColor rgb="FF000000"/>
          <bgColor rgb="FFF2F2F2"/>
        </patternFill>
      </fill>
    </dxf>
    <dxf>
      <font>
        <b/>
      </font>
      <numFmt numFmtId="167" formatCode="&quot;S/&quot;\ #,##0.00"/>
      <fill>
        <patternFill patternType="solid">
          <fgColor rgb="FF000000"/>
          <bgColor rgb="FFF2F2F2"/>
        </patternFill>
      </fill>
      <border diagonalUp="0" diagonalDown="0" outline="0"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</border>
    </dxf>
    <dxf>
      <fill>
        <patternFill patternType="solid">
          <fgColor rgb="FF000000"/>
          <bgColor rgb="FFF2F2F2"/>
        </patternFill>
      </fill>
    </dxf>
    <dxf>
      <numFmt numFmtId="167" formatCode="&quot;S/&quot;\ #,##0.00"/>
      <fill>
        <patternFill patternType="solid">
          <fgColor rgb="FF000000"/>
          <bgColor rgb="FFF2F2F2"/>
        </patternFill>
      </fill>
      <border diagonalUp="0" diagonalDown="0"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  <vertical style="thin">
          <color theme="0"/>
        </vertical>
        <horizontal/>
      </border>
    </dxf>
    <dxf>
      <fill>
        <patternFill patternType="solid">
          <fgColor rgb="FF000000"/>
          <bgColor rgb="FFF2F2F2"/>
        </patternFill>
      </fill>
    </dxf>
    <dxf>
      <fill>
        <patternFill patternType="solid">
          <fgColor rgb="FF000000"/>
          <bgColor rgb="FFF2F2F2"/>
        </patternFill>
      </fill>
      <border diagonalUp="0" diagonalDown="0"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  <vertical style="thin">
          <color theme="0"/>
        </vertical>
        <horizontal/>
      </border>
    </dxf>
    <dxf>
      <fill>
        <patternFill patternType="solid">
          <fgColor rgb="FF000000"/>
          <bgColor rgb="FFF2F2F2"/>
        </patternFill>
      </fill>
    </dxf>
    <dxf>
      <numFmt numFmtId="167" formatCode="&quot;S/&quot;\ #,##0.00"/>
      <fill>
        <patternFill patternType="solid">
          <fgColor rgb="FF000000"/>
          <bgColor rgb="FFF2F2F2"/>
        </patternFill>
      </fill>
      <border diagonalUp="0" diagonalDown="0"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  <vertical style="thin">
          <color theme="0"/>
        </vertical>
        <horizontal/>
      </border>
    </dxf>
    <dxf>
      <fill>
        <patternFill patternType="solid">
          <fgColor rgb="FF000000"/>
          <bgColor rgb="FFF2F2F2"/>
        </patternFill>
      </fill>
    </dxf>
    <dxf>
      <fill>
        <patternFill patternType="solid">
          <fgColor rgb="FF000000"/>
          <bgColor rgb="FFF2F2F2"/>
        </patternFill>
      </fill>
      <border diagonalUp="0" diagonalDown="0"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  <vertical style="thin">
          <color theme="0"/>
        </vertical>
        <horizontal/>
      </border>
    </dxf>
    <dxf>
      <fill>
        <patternFill patternType="solid">
          <fgColor rgb="FF000000"/>
          <bgColor rgb="FFF2F2F2"/>
        </patternFill>
      </fill>
    </dxf>
    <dxf>
      <numFmt numFmtId="167" formatCode="&quot;S/&quot;\ #,##0.00"/>
      <fill>
        <patternFill patternType="solid">
          <fgColor rgb="FF000000"/>
          <bgColor rgb="FFF2F2F2"/>
        </patternFill>
      </fill>
      <border diagonalUp="0" diagonalDown="0"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  <vertical style="thin">
          <color theme="0"/>
        </vertical>
        <horizontal/>
      </border>
    </dxf>
    <dxf>
      <fill>
        <patternFill patternType="solid">
          <fgColor rgb="FF000000"/>
          <bgColor rgb="FFF2F2F2"/>
        </patternFill>
      </fill>
    </dxf>
    <dxf>
      <fill>
        <patternFill patternType="solid">
          <fgColor rgb="FF000000"/>
          <bgColor rgb="FFF2F2F2"/>
        </patternFill>
      </fill>
      <border diagonalUp="0" diagonalDown="0"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  <vertical style="thin">
          <color theme="0"/>
        </vertical>
        <horizontal/>
      </border>
    </dxf>
    <dxf>
      <fill>
        <patternFill patternType="solid">
          <fgColor rgb="FF000000"/>
          <bgColor rgb="FFF2F2F2"/>
        </patternFill>
      </fill>
    </dxf>
    <dxf>
      <numFmt numFmtId="167" formatCode="&quot;S/&quot;\ #,##0.00"/>
      <fill>
        <patternFill patternType="solid">
          <fgColor rgb="FF000000"/>
          <bgColor rgb="FFF2F2F2"/>
        </patternFill>
      </fill>
      <border diagonalUp="0" diagonalDown="0"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  <vertical style="thin">
          <color theme="0"/>
        </vertical>
        <horizontal/>
      </border>
    </dxf>
    <dxf>
      <fill>
        <patternFill patternType="solid">
          <fgColor rgb="FF000000"/>
          <bgColor rgb="FFF2F2F2"/>
        </patternFill>
      </fill>
    </dxf>
    <dxf>
      <fill>
        <patternFill patternType="solid">
          <fgColor rgb="FF000000"/>
          <bgColor rgb="FFF2F2F2"/>
        </patternFill>
      </fill>
      <border diagonalUp="0" diagonalDown="0"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  <vertical style="thin">
          <color theme="0"/>
        </vertical>
        <horizontal/>
      </border>
    </dxf>
    <dxf>
      <fill>
        <patternFill patternType="solid">
          <fgColor rgb="FF000000"/>
          <bgColor rgb="FFF2F2F2"/>
        </patternFill>
      </fill>
    </dxf>
    <dxf>
      <numFmt numFmtId="167" formatCode="&quot;S/&quot;\ #,##0.00"/>
      <fill>
        <patternFill patternType="solid">
          <fgColor rgb="FF000000"/>
          <bgColor rgb="FFF2F2F2"/>
        </patternFill>
      </fill>
      <border diagonalUp="0" diagonalDown="0"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  <vertical style="thin">
          <color theme="0"/>
        </vertical>
        <horizontal/>
      </border>
    </dxf>
    <dxf>
      <fill>
        <patternFill patternType="solid">
          <fgColor rgb="FF000000"/>
          <bgColor rgb="FFF2F2F2"/>
        </patternFill>
      </fill>
    </dxf>
    <dxf>
      <fill>
        <patternFill patternType="solid">
          <fgColor rgb="FF000000"/>
          <bgColor rgb="FFF2F2F2"/>
        </patternFill>
      </fill>
      <border diagonalUp="0" diagonalDown="0"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  <vertical style="thin">
          <color theme="0"/>
        </vertical>
        <horizontal/>
      </border>
    </dxf>
    <dxf>
      <fill>
        <patternFill patternType="solid">
          <fgColor rgb="FF000000"/>
          <bgColor rgb="FFF2F2F2"/>
        </patternFill>
      </fill>
    </dxf>
    <dxf>
      <numFmt numFmtId="167" formatCode="&quot;S/&quot;\ #,##0.00"/>
      <fill>
        <patternFill patternType="solid">
          <fgColor rgb="FF000000"/>
          <bgColor rgb="FFF2F2F2"/>
        </patternFill>
      </fill>
      <border diagonalUp="0" diagonalDown="0"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  <vertical style="thin">
          <color theme="0"/>
        </vertical>
        <horizontal/>
      </border>
    </dxf>
    <dxf>
      <numFmt numFmtId="166" formatCode="d\/mm\/yyyy"/>
      <fill>
        <patternFill patternType="solid">
          <fgColor rgb="FF000000"/>
          <bgColor rgb="FFF2F2F2"/>
        </patternFill>
      </fill>
    </dxf>
    <dxf>
      <numFmt numFmtId="166" formatCode="d\/mm\/yyyy"/>
      <fill>
        <patternFill patternType="solid">
          <fgColor indexed="64"/>
          <bgColor theme="0" tint="-4.9989318521683403E-2"/>
        </patternFill>
      </fill>
    </dxf>
    <dxf>
      <numFmt numFmtId="166" formatCode="d\/mm\/yyyy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ill>
        <patternFill patternType="solid">
          <fgColor indexed="64"/>
          <bgColor theme="0" tint="-4.9989318521683403E-2"/>
        </patternFill>
      </fill>
    </dxf>
    <dxf>
      <numFmt numFmtId="166" formatCode="d\/mm\/yyyy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ill>
        <patternFill patternType="solid">
          <fgColor indexed="64"/>
          <bgColor theme="0" tint="-4.9989318521683403E-2"/>
        </patternFill>
      </fill>
    </dxf>
    <dxf>
      <numFmt numFmtId="166" formatCode="d\/mm\/yyyy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EB4F53"/>
      <color rgb="FFF13763"/>
      <color rgb="FF3FADFF"/>
      <color rgb="FF12E4C6"/>
      <color rgb="FFFFFFFF"/>
      <color rgb="FF33C1B3"/>
      <color rgb="FF95F9EB"/>
      <color rgb="FF33DD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464820</xdr:colOff>
      <xdr:row>0</xdr:row>
      <xdr:rowOff>0</xdr:rowOff>
    </xdr:from>
    <xdr:to>
      <xdr:col>1</xdr:col>
      <xdr:colOff>1143000</xdr:colOff>
      <xdr:row>2</xdr:row>
      <xdr:rowOff>106680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0C5136D-C420-5CA6-2BEA-9C014C10A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340" y="0"/>
          <a:ext cx="678180" cy="6781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472440</xdr:colOff>
      <xdr:row>0</xdr:row>
      <xdr:rowOff>22860</xdr:rowOff>
    </xdr:from>
    <xdr:to>
      <xdr:col>1</xdr:col>
      <xdr:colOff>1310640</xdr:colOff>
      <xdr:row>2</xdr:row>
      <xdr:rowOff>175260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9617E5F-CB02-4FAF-8448-9EB7AA35F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22860"/>
          <a:ext cx="838200" cy="7924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22860</xdr:colOff>
      <xdr:row>4</xdr:row>
      <xdr:rowOff>68580</xdr:rowOff>
    </xdr:from>
    <xdr:to>
      <xdr:col>27</xdr:col>
      <xdr:colOff>220980</xdr:colOff>
      <xdr:row>5</xdr:row>
      <xdr:rowOff>144780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D19C5105-CC11-1FAC-7F69-AB56DEAA8EDC}"/>
            </a:ext>
          </a:extLst>
        </xdr:cNvPr>
        <xdr:cNvSpPr/>
      </xdr:nvSpPr>
      <xdr:spPr>
        <a:xfrm>
          <a:off x="7086600" y="883920"/>
          <a:ext cx="2164080" cy="266700"/>
        </a:xfrm>
        <a:prstGeom prst="roundRect">
          <a:avLst>
            <a:gd name="adj" fmla="val 50000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29</xdr:col>
      <xdr:colOff>114300</xdr:colOff>
      <xdr:row>4</xdr:row>
      <xdr:rowOff>68580</xdr:rowOff>
    </xdr:from>
    <xdr:to>
      <xdr:col>31</xdr:col>
      <xdr:colOff>259080</xdr:colOff>
      <xdr:row>5</xdr:row>
      <xdr:rowOff>144780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CBDE9FCD-7D5A-4D68-82B2-0D70098021EA}"/>
            </a:ext>
          </a:extLst>
        </xdr:cNvPr>
        <xdr:cNvSpPr/>
      </xdr:nvSpPr>
      <xdr:spPr>
        <a:xfrm>
          <a:off x="9799320" y="883920"/>
          <a:ext cx="800100" cy="266700"/>
        </a:xfrm>
        <a:prstGeom prst="roundRect">
          <a:avLst>
            <a:gd name="adj" fmla="val 50000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31</xdr:col>
      <xdr:colOff>320040</xdr:colOff>
      <xdr:row>4</xdr:row>
      <xdr:rowOff>68580</xdr:rowOff>
    </xdr:from>
    <xdr:to>
      <xdr:col>33</xdr:col>
      <xdr:colOff>289560</xdr:colOff>
      <xdr:row>5</xdr:row>
      <xdr:rowOff>144780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8988A2BA-2363-4875-A47C-162B2FABB26F}"/>
            </a:ext>
          </a:extLst>
        </xdr:cNvPr>
        <xdr:cNvSpPr/>
      </xdr:nvSpPr>
      <xdr:spPr>
        <a:xfrm>
          <a:off x="10660380" y="883920"/>
          <a:ext cx="624840" cy="266700"/>
        </a:xfrm>
        <a:prstGeom prst="roundRect">
          <a:avLst>
            <a:gd name="adj" fmla="val 50000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22860</xdr:colOff>
      <xdr:row>4</xdr:row>
      <xdr:rowOff>68580</xdr:rowOff>
    </xdr:from>
    <xdr:to>
      <xdr:col>27</xdr:col>
      <xdr:colOff>220980</xdr:colOff>
      <xdr:row>5</xdr:row>
      <xdr:rowOff>144780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BAC2F0AD-570B-4C5B-AE05-98B23A8C598A}"/>
            </a:ext>
          </a:extLst>
        </xdr:cNvPr>
        <xdr:cNvSpPr/>
      </xdr:nvSpPr>
      <xdr:spPr>
        <a:xfrm>
          <a:off x="7086600" y="883920"/>
          <a:ext cx="2164080" cy="266700"/>
        </a:xfrm>
        <a:prstGeom prst="roundRect">
          <a:avLst>
            <a:gd name="adj" fmla="val 50000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29</xdr:col>
      <xdr:colOff>114300</xdr:colOff>
      <xdr:row>4</xdr:row>
      <xdr:rowOff>68580</xdr:rowOff>
    </xdr:from>
    <xdr:to>
      <xdr:col>31</xdr:col>
      <xdr:colOff>259080</xdr:colOff>
      <xdr:row>5</xdr:row>
      <xdr:rowOff>144780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CAB2E94C-2486-40DF-AEE5-63D48D3BBE55}"/>
            </a:ext>
          </a:extLst>
        </xdr:cNvPr>
        <xdr:cNvSpPr/>
      </xdr:nvSpPr>
      <xdr:spPr>
        <a:xfrm>
          <a:off x="9799320" y="883920"/>
          <a:ext cx="800100" cy="266700"/>
        </a:xfrm>
        <a:prstGeom prst="roundRect">
          <a:avLst>
            <a:gd name="adj" fmla="val 50000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31</xdr:col>
      <xdr:colOff>320040</xdr:colOff>
      <xdr:row>4</xdr:row>
      <xdr:rowOff>68580</xdr:rowOff>
    </xdr:from>
    <xdr:to>
      <xdr:col>33</xdr:col>
      <xdr:colOff>289560</xdr:colOff>
      <xdr:row>5</xdr:row>
      <xdr:rowOff>144780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1E3DFC57-EB05-455F-8801-94E109D2DCA0}"/>
            </a:ext>
          </a:extLst>
        </xdr:cNvPr>
        <xdr:cNvSpPr/>
      </xdr:nvSpPr>
      <xdr:spPr>
        <a:xfrm>
          <a:off x="10660380" y="883920"/>
          <a:ext cx="624840" cy="266700"/>
        </a:xfrm>
        <a:prstGeom prst="roundRect">
          <a:avLst>
            <a:gd name="adj" fmla="val 50000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22860</xdr:colOff>
      <xdr:row>4</xdr:row>
      <xdr:rowOff>68580</xdr:rowOff>
    </xdr:from>
    <xdr:to>
      <xdr:col>29</xdr:col>
      <xdr:colOff>220980</xdr:colOff>
      <xdr:row>5</xdr:row>
      <xdr:rowOff>144780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4C8859F2-09C5-4C5C-95F3-66C9CFA58ADD}"/>
            </a:ext>
          </a:extLst>
        </xdr:cNvPr>
        <xdr:cNvSpPr/>
      </xdr:nvSpPr>
      <xdr:spPr>
        <a:xfrm>
          <a:off x="8961120" y="883920"/>
          <a:ext cx="2164080" cy="266700"/>
        </a:xfrm>
        <a:prstGeom prst="roundRect">
          <a:avLst>
            <a:gd name="adj" fmla="val 50000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31</xdr:col>
      <xdr:colOff>114300</xdr:colOff>
      <xdr:row>4</xdr:row>
      <xdr:rowOff>68580</xdr:rowOff>
    </xdr:from>
    <xdr:to>
      <xdr:col>33</xdr:col>
      <xdr:colOff>259080</xdr:colOff>
      <xdr:row>5</xdr:row>
      <xdr:rowOff>144780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D69CEDAA-CAB9-43AF-9DB5-D34CA970C58D}"/>
            </a:ext>
          </a:extLst>
        </xdr:cNvPr>
        <xdr:cNvSpPr/>
      </xdr:nvSpPr>
      <xdr:spPr>
        <a:xfrm>
          <a:off x="11673840" y="883920"/>
          <a:ext cx="800100" cy="266700"/>
        </a:xfrm>
        <a:prstGeom prst="roundRect">
          <a:avLst>
            <a:gd name="adj" fmla="val 50000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33</xdr:col>
      <xdr:colOff>320040</xdr:colOff>
      <xdr:row>4</xdr:row>
      <xdr:rowOff>68580</xdr:rowOff>
    </xdr:from>
    <xdr:to>
      <xdr:col>35</xdr:col>
      <xdr:colOff>289560</xdr:colOff>
      <xdr:row>5</xdr:row>
      <xdr:rowOff>144780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0721A918-C379-4D49-8B41-B871ADB5F24D}"/>
            </a:ext>
          </a:extLst>
        </xdr:cNvPr>
        <xdr:cNvSpPr/>
      </xdr:nvSpPr>
      <xdr:spPr>
        <a:xfrm>
          <a:off x="12534900" y="883920"/>
          <a:ext cx="624840" cy="266700"/>
        </a:xfrm>
        <a:prstGeom prst="roundRect">
          <a:avLst>
            <a:gd name="adj" fmla="val 50000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4755C12-6164-4691-805C-A2640DB8516B}" name="DATOS" displayName="DATOS" ref="A1:L51" totalsRowShown="0" headerRowDxfId="119" dataDxfId="118">
  <autoFilter ref="A1:L51" xr:uid="{A4755C12-6164-4691-805C-A2640DB8516B}"/>
  <tableColumns count="12">
    <tableColumn id="1" xr3:uid="{6321F6E6-280C-40B3-AEC6-D2AD4269A8D3}" name="N°" dataDxfId="117"/>
    <tableColumn id="2" xr3:uid="{D5E117B8-413C-458A-AC02-7965C360C54C}" name="NOMBRES" dataDxfId="116"/>
    <tableColumn id="3" xr3:uid="{8D399356-A058-48A5-90DD-C78A98F0205D}" name="DNI" dataDxfId="115"/>
    <tableColumn id="4" xr3:uid="{8632B3CB-0FDA-4F36-81F3-81245BD9C527}" name="CLASE" dataDxfId="114"/>
    <tableColumn id="5" xr3:uid="{BB32E9B1-D6DC-4310-988E-85516E4B3803}" name="CARGO" dataDxfId="113"/>
    <tableColumn id="6" xr3:uid="{CECFEBD9-88B5-417F-A7E6-B47010B133B3}" name="Columna1" dataDxfId="112"/>
    <tableColumn id="7" xr3:uid="{DF4DEDDB-0E17-464A-9934-54ADEF0A60E7}" name="NRO CUENTA BBVA" dataDxfId="111"/>
    <tableColumn id="8" xr3:uid="{CEC11CFD-2F8D-46FB-B99A-4DD755381A67}" name="CCI BBVA" dataDxfId="110"/>
    <tableColumn id="9" xr3:uid="{7C574F33-486F-4FBC-B2BC-BA2F43ED9473}" name="NRO CUENTA BCP" dataDxfId="109"/>
    <tableColumn id="10" xr3:uid="{C51AE789-A5FA-425E-A5C3-0838F8481E94}" name="CCI BCP" dataDxfId="108"/>
    <tableColumn id="11" xr3:uid="{6CBD6188-6D25-4100-8D27-9EF497636459}" name="NRO CUENTA INTERBANK" dataDxfId="107"/>
    <tableColumn id="12" xr3:uid="{B9C5AE3D-D6A5-453F-9E77-EE3FFB0FA254}" name="CCI INTERBANK" dataDxfId="10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7673205-99D6-4CB5-85D5-DCE4DAA464C5}" name="Tabla6" displayName="Tabla6" ref="A4:D46" totalsRowShown="0">
  <autoFilter ref="A4:D46" xr:uid="{27673205-99D6-4CB5-85D5-DCE4DAA464C5}"/>
  <tableColumns count="4">
    <tableColumn id="1" xr3:uid="{5B488799-1A55-4A66-B911-15D680DC5EB2}" name="N°" dataDxfId="105"/>
    <tableColumn id="2" xr3:uid="{F58603B7-AE94-496A-B5A1-0B7A9EC03504}" name="APELLIDOS Y NOMBRES"/>
    <tableColumn id="3" xr3:uid="{112AC93C-CE4D-41B3-9FE1-2B15FBD0FC4A}" name="DNI" dataDxfId="104">
      <calculatedColumnFormula>_xlfn.XLOOKUP(Hoja1!B5,DATOS[NOMBRES],DATOS[DNI])</calculatedColumnFormula>
    </tableColumn>
    <tableColumn id="4" xr3:uid="{173D6773-4F28-4910-8E64-383BB421DB87}" name="CARGO" dataDxfId="103">
      <calculatedColumnFormula>_xlfn.XLOOKUP(Tabla6[[#This Row],[APELLIDOS Y NOMBRES]],DATOS[NOMBRES],DATOS[CARGO])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F33600-CB45-44E1-814E-7A33FBC7FCB4}" name="tFestivos" displayName="tFestivos" ref="AQ9:AQ15" totalsRowShown="0" headerRowDxfId="102" dataDxfId="101">
  <autoFilter ref="AQ9:AQ15" xr:uid="{1AF33600-CB45-44E1-814E-7A33FBC7FCB4}"/>
  <tableColumns count="1">
    <tableColumn id="1" xr3:uid="{B0154DFE-D06E-4ABA-A72B-9B43CA6C2AD9}" name="Festivos" dataDxfId="10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B439AE-85CC-423F-B6C2-467758C92E3A}" name="TMESES" displayName="TMESES" ref="A1:B13" totalsRowShown="0">
  <autoFilter ref="A1:B13" xr:uid="{A4B439AE-85CC-423F-B6C2-467758C92E3A}"/>
  <tableColumns count="2">
    <tableColumn id="1" xr3:uid="{510D1D6C-3038-49A5-B05C-6C1FD2AD58EF}" name="MES "/>
    <tableColumn id="2" xr3:uid="{A8167DD2-31BC-494D-A5F0-A92166E4418C}" name="HAST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E8010D-46A0-4BD6-994C-3F50515D0903}" name="tFestivos4" displayName="tFestivos4" ref="AT9:AT15" totalsRowShown="0" headerRowDxfId="99" dataDxfId="98">
  <autoFilter ref="AT9:AT15" xr:uid="{1AF33600-CB45-44E1-814E-7A33FBC7FCB4}"/>
  <tableColumns count="1">
    <tableColumn id="1" xr3:uid="{D66893A2-4462-4BB1-AA17-F20B949C7A00}" name="Festivos" dataDxfId="97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51B186F-07B7-48E7-8F63-F09E657594B3}" name="tFestivos46" displayName="tFestivos46" ref="AV9:BO52" totalsRowCount="1" headerRowDxfId="96" dataDxfId="95">
  <autoFilter ref="AV9:BO51" xr:uid="{1AF33600-CB45-44E1-814E-7A33FBC7FCB4}"/>
  <tableColumns count="20">
    <tableColumn id="1" xr3:uid="{8D95D540-EA91-441A-A9D2-066F18E4DA9C}" name="Festivos" dataDxfId="94" totalsRowDxfId="93"/>
    <tableColumn id="2" xr3:uid="{FEB6E1C9-3DD4-4A75-9132-6687CA64D64E}" name="Columna1" totalsRowFunction="sum" dataDxfId="92" totalsRowDxfId="91"/>
    <tableColumn id="3" xr3:uid="{C323078C-E070-4AD3-88E2-E8CBBF4DDE92}" name="Columna2" dataDxfId="90" totalsRowDxfId="89"/>
    <tableColumn id="4" xr3:uid="{59ADF9DB-C478-4430-AD6F-7E6143C32028}" name="Columna3" totalsRowFunction="sum" dataDxfId="88" totalsRowDxfId="87"/>
    <tableColumn id="5" xr3:uid="{C1BBDD9F-A748-4C84-9D18-2C57007702FB}" name="Columna4" dataDxfId="86" totalsRowDxfId="85"/>
    <tableColumn id="6" xr3:uid="{10FAC1DB-FB95-422E-BAF3-8EB82D5BE737}" name="Columna5" totalsRowFunction="sum" dataDxfId="84" totalsRowDxfId="83"/>
    <tableColumn id="7" xr3:uid="{53ACFE40-642E-42E5-9B2B-103C544C0A29}" name="Columna6" dataDxfId="82" totalsRowDxfId="81"/>
    <tableColumn id="8" xr3:uid="{0B0827AF-FA9F-41FA-AAFB-8B8FECC5586B}" name="Columna7" totalsRowFunction="sum" dataDxfId="80" totalsRowDxfId="79"/>
    <tableColumn id="9" xr3:uid="{626685E2-F426-41E5-82FA-C489CEE05D6F}" name="Columna8" dataDxfId="78" totalsRowDxfId="77"/>
    <tableColumn id="10" xr3:uid="{49099C39-11A7-42B0-8222-2DDAA2B2C001}" name="Columna9" totalsRowFunction="sum" dataDxfId="76" totalsRowDxfId="75"/>
    <tableColumn id="11" xr3:uid="{EF35B580-8505-4139-9FE4-4C06413A7935}" name="Columna10" dataDxfId="74" totalsRowDxfId="73"/>
    <tableColumn id="12" xr3:uid="{B8BC185E-C736-4B83-8B1D-B14080F5F9C4}" name="Columna11" totalsRowFunction="sum" dataDxfId="72" totalsRowDxfId="71"/>
    <tableColumn id="13" xr3:uid="{1CDC7A1C-4EAE-4D6D-8511-6C068803F175}" name="Columna12" totalsRowFunction="sum" dataDxfId="70" totalsRowDxfId="69"/>
    <tableColumn id="14" xr3:uid="{DEF79290-77CD-46AD-A934-0D1F977D2B4B}" name="Columna13" totalsRowFunction="sum" dataDxfId="68" totalsRowDxfId="67"/>
    <tableColumn id="15" xr3:uid="{355DAE43-4EF5-4334-A319-65CBD57AC604}" name="Columna14" totalsRowFunction="sum" dataDxfId="66" totalsRowDxfId="65"/>
    <tableColumn id="16" xr3:uid="{58DB89AD-A242-41E8-BEA2-AFE7CED9C796}" name="Columna15" totalsRowFunction="sum" dataDxfId="64" totalsRowDxfId="63"/>
    <tableColumn id="17" xr3:uid="{54F60159-575C-4938-BE02-66AE0FB5AFD6}" name="Columna16" totalsRowFunction="sum" dataDxfId="62" totalsRowDxfId="61"/>
    <tableColumn id="18" xr3:uid="{803C0ED6-E906-4846-8BDE-9CDA17A30A1C}" name="Columna17" totalsRowFunction="sum" dataDxfId="60" totalsRowDxfId="59"/>
    <tableColumn id="19" xr3:uid="{DB77F6BA-B571-49B5-97FF-E5F4515CBDDF}" name="Columna18" totalsRowFunction="sum" dataDxfId="58" totalsRowDxfId="57"/>
    <tableColumn id="20" xr3:uid="{DEA9CCBA-1303-4D5A-A45C-5A72659643F9}" name="Columna19" totalsRowFunction="sum" dataDxfId="56" totalsRowDxfId="5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Papel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5C1E1-6FB1-457D-9412-EC2A9B7C74CA}">
  <sheetPr codeName="Hoja1"/>
  <dimension ref="A1:C36"/>
  <sheetViews>
    <sheetView topLeftCell="A2" workbookViewId="0">
      <selection activeCell="C11" sqref="C11"/>
    </sheetView>
  </sheetViews>
  <sheetFormatPr baseColWidth="10" defaultColWidth="10.7109375" defaultRowHeight="15" x14ac:dyDescent="0.25"/>
  <cols>
    <col min="1" max="1" width="7.140625" customWidth="1"/>
    <col min="2" max="2" width="38.5703125" customWidth="1"/>
  </cols>
  <sheetData>
    <row r="1" spans="1:3" x14ac:dyDescent="0.25">
      <c r="B1" s="11" t="s">
        <v>27</v>
      </c>
      <c r="C1" s="11" t="s">
        <v>28</v>
      </c>
    </row>
    <row r="2" spans="1:3" ht="21" customHeight="1" x14ac:dyDescent="0.25">
      <c r="A2" s="12">
        <v>1</v>
      </c>
      <c r="B2" t="s">
        <v>18</v>
      </c>
      <c r="C2">
        <v>75396402</v>
      </c>
    </row>
    <row r="3" spans="1:3" ht="21" customHeight="1" x14ac:dyDescent="0.25">
      <c r="A3" s="12">
        <v>2</v>
      </c>
      <c r="B3" t="s">
        <v>16</v>
      </c>
      <c r="C3">
        <v>44184914</v>
      </c>
    </row>
    <row r="4" spans="1:3" ht="21" customHeight="1" x14ac:dyDescent="0.25">
      <c r="A4" s="12">
        <v>3</v>
      </c>
      <c r="B4" t="s">
        <v>17</v>
      </c>
      <c r="C4">
        <v>40839932</v>
      </c>
    </row>
    <row r="5" spans="1:3" ht="21" customHeight="1" x14ac:dyDescent="0.25">
      <c r="A5" s="12">
        <v>4</v>
      </c>
      <c r="B5" t="s">
        <v>22</v>
      </c>
      <c r="C5">
        <v>70833343</v>
      </c>
    </row>
    <row r="6" spans="1:3" ht="21" customHeight="1" x14ac:dyDescent="0.25">
      <c r="A6" s="12">
        <v>5</v>
      </c>
      <c r="B6" t="s">
        <v>21</v>
      </c>
      <c r="C6">
        <v>48492558</v>
      </c>
    </row>
    <row r="7" spans="1:3" ht="21" customHeight="1" x14ac:dyDescent="0.25">
      <c r="A7" s="12">
        <v>6</v>
      </c>
      <c r="B7" t="s">
        <v>25</v>
      </c>
      <c r="C7">
        <v>40889884</v>
      </c>
    </row>
    <row r="8" spans="1:3" ht="21" customHeight="1" x14ac:dyDescent="0.25">
      <c r="A8" s="12">
        <v>7</v>
      </c>
      <c r="B8" t="s">
        <v>19</v>
      </c>
      <c r="C8">
        <v>40861767</v>
      </c>
    </row>
    <row r="9" spans="1:3" ht="21" customHeight="1" x14ac:dyDescent="0.25">
      <c r="A9" s="12">
        <v>8</v>
      </c>
      <c r="B9" t="s">
        <v>26</v>
      </c>
      <c r="C9" s="13" t="s">
        <v>20</v>
      </c>
    </row>
    <row r="10" spans="1:3" ht="21" customHeight="1" x14ac:dyDescent="0.25">
      <c r="A10" s="12">
        <v>9</v>
      </c>
    </row>
    <row r="11" spans="1:3" ht="21" customHeight="1" x14ac:dyDescent="0.25">
      <c r="A11" s="12">
        <v>10</v>
      </c>
    </row>
    <row r="12" spans="1:3" ht="21" customHeight="1" x14ac:dyDescent="0.25">
      <c r="A12" s="12">
        <v>11</v>
      </c>
    </row>
    <row r="13" spans="1:3" ht="21" customHeight="1" x14ac:dyDescent="0.25">
      <c r="A13" s="12">
        <v>12</v>
      </c>
    </row>
    <row r="14" spans="1:3" ht="21" customHeight="1" x14ac:dyDescent="0.25">
      <c r="A14" s="12">
        <v>13</v>
      </c>
    </row>
    <row r="15" spans="1:3" ht="21" customHeight="1" x14ac:dyDescent="0.25">
      <c r="A15" s="12">
        <v>14</v>
      </c>
    </row>
    <row r="16" spans="1:3" ht="21" customHeight="1" x14ac:dyDescent="0.25">
      <c r="A16" s="12">
        <v>15</v>
      </c>
    </row>
    <row r="17" spans="1:1" ht="21" customHeight="1" x14ac:dyDescent="0.25">
      <c r="A17" s="12">
        <v>16</v>
      </c>
    </row>
    <row r="18" spans="1:1" ht="21" customHeight="1" x14ac:dyDescent="0.25">
      <c r="A18" s="12">
        <v>17</v>
      </c>
    </row>
    <row r="19" spans="1:1" ht="21" customHeight="1" x14ac:dyDescent="0.25">
      <c r="A19" s="12">
        <v>18</v>
      </c>
    </row>
    <row r="20" spans="1:1" ht="21" customHeight="1" x14ac:dyDescent="0.25">
      <c r="A20" s="12">
        <v>19</v>
      </c>
    </row>
    <row r="21" spans="1:1" ht="21" customHeight="1" x14ac:dyDescent="0.25">
      <c r="A21" s="12">
        <v>20</v>
      </c>
    </row>
    <row r="22" spans="1:1" ht="21" customHeight="1" x14ac:dyDescent="0.25">
      <c r="A22" s="12">
        <v>21</v>
      </c>
    </row>
    <row r="23" spans="1:1" ht="21" customHeight="1" x14ac:dyDescent="0.25">
      <c r="A23" s="12">
        <v>22</v>
      </c>
    </row>
    <row r="24" spans="1:1" ht="21" customHeight="1" x14ac:dyDescent="0.25">
      <c r="A24" s="12">
        <v>23</v>
      </c>
    </row>
    <row r="25" spans="1:1" ht="21" customHeight="1" x14ac:dyDescent="0.25">
      <c r="A25" s="12">
        <v>24</v>
      </c>
    </row>
    <row r="26" spans="1:1" ht="21" customHeight="1" x14ac:dyDescent="0.25">
      <c r="A26" s="12">
        <v>25</v>
      </c>
    </row>
    <row r="27" spans="1:1" ht="21" customHeight="1" x14ac:dyDescent="0.25">
      <c r="A27" s="12">
        <v>26</v>
      </c>
    </row>
    <row r="28" spans="1:1" ht="21" customHeight="1" x14ac:dyDescent="0.25">
      <c r="A28" s="12">
        <v>27</v>
      </c>
    </row>
    <row r="29" spans="1:1" ht="21" customHeight="1" x14ac:dyDescent="0.25">
      <c r="A29" s="12">
        <v>28</v>
      </c>
    </row>
    <row r="30" spans="1:1" ht="21" customHeight="1" x14ac:dyDescent="0.25">
      <c r="A30" s="12">
        <v>29</v>
      </c>
    </row>
    <row r="31" spans="1:1" ht="21" customHeight="1" x14ac:dyDescent="0.25">
      <c r="A31" s="12">
        <v>30</v>
      </c>
    </row>
    <row r="32" spans="1:1" ht="21" customHeight="1" x14ac:dyDescent="0.25">
      <c r="A32" s="12">
        <v>31</v>
      </c>
    </row>
    <row r="33" spans="1:1" ht="21" customHeight="1" x14ac:dyDescent="0.25">
      <c r="A33" s="12">
        <v>32</v>
      </c>
    </row>
    <row r="34" spans="1:1" ht="21" customHeight="1" x14ac:dyDescent="0.25">
      <c r="A34" s="12">
        <v>33</v>
      </c>
    </row>
    <row r="35" spans="1:1" ht="21" customHeight="1" x14ac:dyDescent="0.25">
      <c r="A35" s="12">
        <v>34</v>
      </c>
    </row>
    <row r="36" spans="1:1" ht="21" customHeight="1" x14ac:dyDescent="0.25">
      <c r="A36" s="12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E8852-41C8-4D9A-8E90-849D0A169BDA}">
  <sheetPr codeName="Hoja2"/>
  <dimension ref="A1:L51"/>
  <sheetViews>
    <sheetView zoomScale="81" zoomScaleNormal="81" workbookViewId="0">
      <selection activeCell="I31" sqref="I31"/>
    </sheetView>
  </sheetViews>
  <sheetFormatPr baseColWidth="10" defaultColWidth="10.7109375" defaultRowHeight="15" x14ac:dyDescent="0.25"/>
  <cols>
    <col min="1" max="1" width="4.28515625" customWidth="1"/>
    <col min="2" max="2" width="37.28515625" customWidth="1"/>
    <col min="3" max="3" width="13.28515625" customWidth="1"/>
    <col min="5" max="5" width="12.85546875" customWidth="1"/>
    <col min="6" max="6" width="12.5703125" customWidth="1"/>
    <col min="7" max="7" width="24.28515625" customWidth="1"/>
    <col min="8" max="8" width="23.28515625" customWidth="1"/>
    <col min="9" max="9" width="25.7109375" customWidth="1"/>
    <col min="10" max="10" width="30" customWidth="1"/>
    <col min="11" max="11" width="28.85546875" customWidth="1"/>
    <col min="12" max="12" width="25.28515625" customWidth="1"/>
  </cols>
  <sheetData>
    <row r="1" spans="1:12" ht="41.45" customHeight="1" x14ac:dyDescent="0.25">
      <c r="A1" s="11" t="s">
        <v>1</v>
      </c>
      <c r="B1" s="11" t="s">
        <v>27</v>
      </c>
      <c r="C1" s="11" t="s">
        <v>28</v>
      </c>
      <c r="D1" s="11" t="s">
        <v>85</v>
      </c>
      <c r="E1" s="11" t="s">
        <v>86</v>
      </c>
      <c r="F1" s="11" t="s">
        <v>119</v>
      </c>
      <c r="G1" s="119" t="s">
        <v>144</v>
      </c>
      <c r="H1" s="11" t="s">
        <v>145</v>
      </c>
      <c r="I1" s="119" t="s">
        <v>149</v>
      </c>
      <c r="J1" s="11" t="s">
        <v>150</v>
      </c>
      <c r="K1" s="11" t="s">
        <v>167</v>
      </c>
      <c r="L1" s="11" t="s">
        <v>168</v>
      </c>
    </row>
    <row r="2" spans="1:12" ht="28.15" customHeight="1" x14ac:dyDescent="0.25">
      <c r="A2" s="89">
        <v>1</v>
      </c>
      <c r="B2" s="90" t="s">
        <v>18</v>
      </c>
      <c r="C2" s="91">
        <v>75396402</v>
      </c>
      <c r="D2" s="91" t="s">
        <v>87</v>
      </c>
      <c r="E2" s="91" t="s">
        <v>88</v>
      </c>
      <c r="F2" s="91"/>
      <c r="G2" s="91"/>
      <c r="H2" s="91"/>
      <c r="I2" s="92" t="s">
        <v>151</v>
      </c>
      <c r="J2" s="92" t="s">
        <v>152</v>
      </c>
      <c r="K2" s="91"/>
      <c r="L2" s="91"/>
    </row>
    <row r="3" spans="1:12" ht="28.15" customHeight="1" x14ac:dyDescent="0.25">
      <c r="A3" s="89">
        <v>2</v>
      </c>
      <c r="B3" s="90" t="s">
        <v>16</v>
      </c>
      <c r="C3" s="91">
        <v>44184914</v>
      </c>
      <c r="D3" s="91" t="s">
        <v>87</v>
      </c>
      <c r="E3" s="91" t="s">
        <v>88</v>
      </c>
      <c r="F3" s="91"/>
      <c r="G3" s="91"/>
      <c r="H3" s="91"/>
      <c r="I3" s="92" t="s">
        <v>174</v>
      </c>
      <c r="J3" s="92" t="s">
        <v>175</v>
      </c>
      <c r="K3" s="91"/>
      <c r="L3" s="91"/>
    </row>
    <row r="4" spans="1:12" ht="28.15" customHeight="1" x14ac:dyDescent="0.25">
      <c r="A4" s="89">
        <v>3</v>
      </c>
      <c r="B4" s="90" t="s">
        <v>17</v>
      </c>
      <c r="C4" s="91">
        <v>40839932</v>
      </c>
      <c r="D4" s="91" t="s">
        <v>87</v>
      </c>
      <c r="E4" s="91" t="s">
        <v>88</v>
      </c>
      <c r="F4" s="91"/>
      <c r="G4" s="91"/>
      <c r="H4" s="91"/>
      <c r="I4" s="92" t="s">
        <v>198</v>
      </c>
      <c r="J4" s="92" t="s">
        <v>199</v>
      </c>
      <c r="K4" s="91"/>
      <c r="L4" s="91"/>
    </row>
    <row r="5" spans="1:12" ht="28.15" customHeight="1" x14ac:dyDescent="0.25">
      <c r="A5" s="89">
        <v>4</v>
      </c>
      <c r="B5" s="90" t="s">
        <v>22</v>
      </c>
      <c r="C5" s="91">
        <v>70833343</v>
      </c>
      <c r="D5" s="91" t="s">
        <v>87</v>
      </c>
      <c r="E5" s="91" t="s">
        <v>88</v>
      </c>
      <c r="F5" s="91"/>
      <c r="G5" s="91"/>
      <c r="H5" s="91"/>
      <c r="I5" s="92" t="s">
        <v>172</v>
      </c>
      <c r="J5" s="92" t="s">
        <v>173</v>
      </c>
      <c r="K5" s="91"/>
      <c r="L5" s="91"/>
    </row>
    <row r="6" spans="1:12" s="125" customFormat="1" ht="28.15" customHeight="1" x14ac:dyDescent="0.25">
      <c r="A6" s="121">
        <v>5</v>
      </c>
      <c r="B6" s="122" t="s">
        <v>21</v>
      </c>
      <c r="C6" s="123">
        <v>48492558</v>
      </c>
      <c r="D6" s="123" t="s">
        <v>87</v>
      </c>
      <c r="E6" s="123" t="s">
        <v>89</v>
      </c>
      <c r="F6" s="123" t="s">
        <v>122</v>
      </c>
      <c r="G6" s="123"/>
      <c r="H6" s="123"/>
      <c r="I6" s="124" t="s">
        <v>190</v>
      </c>
      <c r="J6" s="124"/>
      <c r="K6" s="123"/>
      <c r="L6" s="123"/>
    </row>
    <row r="7" spans="1:12" s="125" customFormat="1" ht="28.15" customHeight="1" x14ac:dyDescent="0.25">
      <c r="A7" s="121">
        <v>6</v>
      </c>
      <c r="B7" s="122" t="s">
        <v>25</v>
      </c>
      <c r="C7" s="123">
        <v>40889884</v>
      </c>
      <c r="D7" s="123" t="s">
        <v>87</v>
      </c>
      <c r="E7" s="123" t="s">
        <v>88</v>
      </c>
      <c r="F7" s="123"/>
      <c r="G7" s="123"/>
      <c r="H7" s="123"/>
      <c r="I7" s="124" t="s">
        <v>191</v>
      </c>
      <c r="J7" s="124"/>
      <c r="K7" s="123"/>
      <c r="L7" s="123"/>
    </row>
    <row r="8" spans="1:12" ht="28.15" customHeight="1" x14ac:dyDescent="0.25">
      <c r="A8" s="89">
        <v>7</v>
      </c>
      <c r="B8" s="90" t="s">
        <v>19</v>
      </c>
      <c r="C8" s="91">
        <v>40861767</v>
      </c>
      <c r="D8" s="91" t="s">
        <v>87</v>
      </c>
      <c r="E8" s="91" t="s">
        <v>90</v>
      </c>
      <c r="F8" s="91" t="s">
        <v>123</v>
      </c>
      <c r="G8" s="91" t="s">
        <v>165</v>
      </c>
      <c r="H8" s="91" t="s">
        <v>166</v>
      </c>
      <c r="I8" s="92"/>
      <c r="J8" s="92"/>
      <c r="K8" s="91"/>
      <c r="L8" s="91"/>
    </row>
    <row r="9" spans="1:12" s="130" customFormat="1" ht="28.15" customHeight="1" x14ac:dyDescent="0.25">
      <c r="A9" s="126">
        <v>8</v>
      </c>
      <c r="B9" s="127" t="s">
        <v>26</v>
      </c>
      <c r="C9" s="128" t="s">
        <v>20</v>
      </c>
      <c r="D9" s="129" t="s">
        <v>87</v>
      </c>
      <c r="E9" s="129" t="s">
        <v>91</v>
      </c>
      <c r="F9" s="129"/>
      <c r="G9" s="129"/>
      <c r="H9" s="129"/>
      <c r="I9" s="128"/>
      <c r="J9" s="128"/>
      <c r="K9" s="129"/>
      <c r="L9" s="129"/>
    </row>
    <row r="10" spans="1:12" ht="28.15" customHeight="1" x14ac:dyDescent="0.25">
      <c r="A10" s="89">
        <v>9</v>
      </c>
      <c r="B10" s="90" t="s">
        <v>92</v>
      </c>
      <c r="C10" s="91">
        <v>41056694</v>
      </c>
      <c r="D10" s="91" t="s">
        <v>93</v>
      </c>
      <c r="E10" s="91" t="s">
        <v>94</v>
      </c>
      <c r="F10" s="91"/>
      <c r="G10" s="91"/>
      <c r="H10" s="91"/>
      <c r="I10" s="92"/>
      <c r="J10" s="92"/>
      <c r="K10" s="91" t="s">
        <v>169</v>
      </c>
      <c r="L10" s="91" t="s">
        <v>170</v>
      </c>
    </row>
    <row r="11" spans="1:12" ht="28.15" customHeight="1" x14ac:dyDescent="0.25">
      <c r="A11" s="89">
        <v>10</v>
      </c>
      <c r="B11" s="90" t="s">
        <v>95</v>
      </c>
      <c r="C11" s="91">
        <v>76470794</v>
      </c>
      <c r="D11" s="91" t="s">
        <v>96</v>
      </c>
      <c r="E11" s="91" t="s">
        <v>97</v>
      </c>
      <c r="F11" s="91"/>
      <c r="G11" s="91"/>
      <c r="H11" s="91"/>
      <c r="I11" s="92" t="s">
        <v>181</v>
      </c>
      <c r="J11" s="92" t="s">
        <v>182</v>
      </c>
      <c r="K11" s="91"/>
      <c r="L11" s="91"/>
    </row>
    <row r="12" spans="1:12" ht="28.15" customHeight="1" x14ac:dyDescent="0.25">
      <c r="A12" s="89">
        <v>11</v>
      </c>
      <c r="B12" s="90" t="s">
        <v>98</v>
      </c>
      <c r="C12" s="91">
        <v>71234038</v>
      </c>
      <c r="D12" s="91" t="s">
        <v>93</v>
      </c>
      <c r="E12" s="91" t="s">
        <v>99</v>
      </c>
      <c r="F12" s="91"/>
      <c r="G12" s="91" t="s">
        <v>179</v>
      </c>
      <c r="H12" s="91" t="s">
        <v>180</v>
      </c>
      <c r="I12" s="92"/>
      <c r="J12" s="92"/>
      <c r="K12" s="91"/>
      <c r="L12" s="91"/>
    </row>
    <row r="13" spans="1:12" ht="28.15" customHeight="1" x14ac:dyDescent="0.25">
      <c r="A13" s="89">
        <v>12</v>
      </c>
      <c r="B13" s="90" t="s">
        <v>100</v>
      </c>
      <c r="C13" s="92" t="s">
        <v>124</v>
      </c>
      <c r="D13" s="91" t="s">
        <v>87</v>
      </c>
      <c r="E13" s="91" t="s">
        <v>101</v>
      </c>
      <c r="F13" s="91"/>
      <c r="G13" s="92" t="s">
        <v>157</v>
      </c>
      <c r="H13" s="91" t="s">
        <v>143</v>
      </c>
      <c r="I13" s="92"/>
      <c r="J13" s="92"/>
      <c r="K13" s="91"/>
      <c r="L13" s="91"/>
    </row>
    <row r="14" spans="1:12" ht="28.15" customHeight="1" x14ac:dyDescent="0.25">
      <c r="A14" s="89">
        <v>13</v>
      </c>
      <c r="B14" s="90" t="s">
        <v>102</v>
      </c>
      <c r="C14" s="91">
        <v>26683098</v>
      </c>
      <c r="D14" s="91" t="s">
        <v>96</v>
      </c>
      <c r="E14" s="91" t="s">
        <v>103</v>
      </c>
      <c r="F14" s="91"/>
      <c r="G14" s="91"/>
      <c r="H14" s="91"/>
      <c r="I14" s="92" t="s">
        <v>177</v>
      </c>
      <c r="J14" s="92" t="s">
        <v>178</v>
      </c>
      <c r="K14" s="91"/>
      <c r="L14" s="91"/>
    </row>
    <row r="15" spans="1:12" ht="28.15" customHeight="1" x14ac:dyDescent="0.25">
      <c r="A15" s="89">
        <v>14</v>
      </c>
      <c r="B15" s="90" t="s">
        <v>104</v>
      </c>
      <c r="C15" s="92" t="s">
        <v>105</v>
      </c>
      <c r="D15" s="91" t="s">
        <v>87</v>
      </c>
      <c r="E15" s="91" t="s">
        <v>89</v>
      </c>
      <c r="F15" s="91" t="s">
        <v>122</v>
      </c>
      <c r="G15" s="91" t="s">
        <v>158</v>
      </c>
      <c r="H15" s="91" t="s">
        <v>148</v>
      </c>
      <c r="I15" s="92"/>
      <c r="J15" s="92"/>
      <c r="K15" s="91"/>
      <c r="L15" s="91"/>
    </row>
    <row r="16" spans="1:12" ht="28.15" customHeight="1" x14ac:dyDescent="0.25">
      <c r="A16" s="89">
        <v>15</v>
      </c>
      <c r="B16" s="90" t="s">
        <v>106</v>
      </c>
      <c r="C16" s="91">
        <v>44723682</v>
      </c>
      <c r="D16" s="91" t="s">
        <v>87</v>
      </c>
      <c r="E16" s="91" t="s">
        <v>88</v>
      </c>
      <c r="F16" s="91"/>
      <c r="G16" s="91" t="s">
        <v>153</v>
      </c>
      <c r="H16" s="91" t="s">
        <v>154</v>
      </c>
      <c r="I16" s="92"/>
      <c r="J16" s="92"/>
      <c r="K16" s="91"/>
      <c r="L16" s="91"/>
    </row>
    <row r="17" spans="1:12" ht="28.15" customHeight="1" x14ac:dyDescent="0.25">
      <c r="A17" s="89">
        <v>16</v>
      </c>
      <c r="B17" s="90" t="s">
        <v>107</v>
      </c>
      <c r="C17" s="91">
        <v>78202475</v>
      </c>
      <c r="D17" s="91" t="s">
        <v>87</v>
      </c>
      <c r="E17" s="91" t="s">
        <v>89</v>
      </c>
      <c r="F17" s="91" t="s">
        <v>120</v>
      </c>
      <c r="G17" s="91" t="s">
        <v>176</v>
      </c>
      <c r="H17" s="91" t="s">
        <v>185</v>
      </c>
      <c r="I17" s="92"/>
      <c r="J17" s="92"/>
      <c r="K17" s="91"/>
      <c r="L17" s="91"/>
    </row>
    <row r="18" spans="1:12" ht="28.15" customHeight="1" x14ac:dyDescent="0.25">
      <c r="A18" s="89">
        <v>17</v>
      </c>
      <c r="B18" s="90" t="s">
        <v>108</v>
      </c>
      <c r="C18" s="91">
        <v>44758063</v>
      </c>
      <c r="D18" s="91" t="s">
        <v>87</v>
      </c>
      <c r="E18" s="91" t="s">
        <v>89</v>
      </c>
      <c r="F18" s="91" t="s">
        <v>121</v>
      </c>
      <c r="G18" s="91" t="s">
        <v>188</v>
      </c>
      <c r="H18" s="91" t="s">
        <v>189</v>
      </c>
      <c r="I18" s="92"/>
      <c r="J18" s="92"/>
      <c r="K18" s="91"/>
      <c r="L18" s="91"/>
    </row>
    <row r="19" spans="1:12" ht="28.15" customHeight="1" x14ac:dyDescent="0.25">
      <c r="A19" s="89">
        <v>18</v>
      </c>
      <c r="B19" s="90" t="s">
        <v>109</v>
      </c>
      <c r="C19" s="91">
        <v>46906026</v>
      </c>
      <c r="D19" s="91" t="s">
        <v>87</v>
      </c>
      <c r="E19" s="91" t="s">
        <v>88</v>
      </c>
      <c r="F19" s="91"/>
      <c r="G19" s="91" t="s">
        <v>155</v>
      </c>
      <c r="H19" s="91" t="s">
        <v>156</v>
      </c>
      <c r="I19" s="92"/>
      <c r="J19" s="92"/>
      <c r="K19" s="91"/>
      <c r="L19" s="91"/>
    </row>
    <row r="20" spans="1:12" ht="28.15" customHeight="1" x14ac:dyDescent="0.25">
      <c r="A20" s="89">
        <v>19</v>
      </c>
      <c r="B20" s="90" t="s">
        <v>131</v>
      </c>
      <c r="C20" s="91">
        <v>72188706</v>
      </c>
      <c r="D20" s="91" t="s">
        <v>110</v>
      </c>
      <c r="E20" s="91" t="s">
        <v>111</v>
      </c>
      <c r="F20" s="91"/>
      <c r="G20" s="91"/>
      <c r="H20" s="91"/>
      <c r="I20" s="92" t="s">
        <v>192</v>
      </c>
      <c r="J20" s="92" t="s">
        <v>193</v>
      </c>
      <c r="K20" s="91"/>
      <c r="L20" s="91"/>
    </row>
    <row r="21" spans="1:12" ht="28.15" customHeight="1" x14ac:dyDescent="0.25">
      <c r="A21" s="89">
        <v>20</v>
      </c>
      <c r="B21" s="90" t="s">
        <v>112</v>
      </c>
      <c r="C21" s="91"/>
      <c r="D21" s="91" t="s">
        <v>87</v>
      </c>
      <c r="E21" s="91" t="s">
        <v>113</v>
      </c>
      <c r="F21" s="91"/>
      <c r="G21" s="91"/>
      <c r="H21" s="91"/>
      <c r="I21" s="92"/>
      <c r="J21" s="92"/>
      <c r="K21" s="91"/>
      <c r="L21" s="91"/>
    </row>
    <row r="22" spans="1:12" ht="28.15" customHeight="1" x14ac:dyDescent="0.25">
      <c r="A22" s="89">
        <v>21</v>
      </c>
      <c r="B22" s="90" t="s">
        <v>114</v>
      </c>
      <c r="C22" s="91">
        <v>74367601</v>
      </c>
      <c r="D22" s="91" t="s">
        <v>87</v>
      </c>
      <c r="E22" s="91" t="s">
        <v>88</v>
      </c>
      <c r="F22" s="91"/>
      <c r="G22" s="91" t="s">
        <v>163</v>
      </c>
      <c r="H22" s="91" t="s">
        <v>164</v>
      </c>
      <c r="I22" s="92"/>
      <c r="J22" s="92"/>
      <c r="K22" s="91"/>
      <c r="L22" s="91"/>
    </row>
    <row r="23" spans="1:12" ht="28.15" customHeight="1" x14ac:dyDescent="0.25">
      <c r="A23" s="89">
        <v>22</v>
      </c>
      <c r="B23" s="90" t="s">
        <v>115</v>
      </c>
      <c r="C23" s="91">
        <v>47109805</v>
      </c>
      <c r="D23" s="91" t="s">
        <v>87</v>
      </c>
      <c r="E23" s="91" t="s">
        <v>89</v>
      </c>
      <c r="F23" s="91" t="s">
        <v>120</v>
      </c>
      <c r="G23" s="91"/>
      <c r="H23" s="91"/>
      <c r="I23" s="92" t="s">
        <v>161</v>
      </c>
      <c r="J23" s="92" t="s">
        <v>162</v>
      </c>
      <c r="K23" s="91"/>
      <c r="L23" s="91"/>
    </row>
    <row r="24" spans="1:12" s="130" customFormat="1" ht="28.15" customHeight="1" x14ac:dyDescent="0.25">
      <c r="A24" s="126">
        <v>23</v>
      </c>
      <c r="B24" s="127" t="s">
        <v>125</v>
      </c>
      <c r="C24" s="129">
        <v>70522697</v>
      </c>
      <c r="D24" s="129" t="s">
        <v>96</v>
      </c>
      <c r="E24" s="129" t="s">
        <v>126</v>
      </c>
      <c r="F24" s="129"/>
      <c r="G24" s="129"/>
      <c r="H24" s="129"/>
      <c r="I24" s="128"/>
      <c r="J24" s="128"/>
      <c r="K24" s="129"/>
      <c r="L24" s="129"/>
    </row>
    <row r="25" spans="1:12" s="130" customFormat="1" ht="28.15" customHeight="1" x14ac:dyDescent="0.25">
      <c r="A25" s="126">
        <v>24</v>
      </c>
      <c r="B25" s="127" t="s">
        <v>127</v>
      </c>
      <c r="C25" s="129"/>
      <c r="D25" s="129" t="s">
        <v>96</v>
      </c>
      <c r="E25" s="129" t="s">
        <v>99</v>
      </c>
      <c r="F25" s="129"/>
      <c r="G25" s="129"/>
      <c r="H25" s="129"/>
      <c r="I25" s="128"/>
      <c r="J25" s="128"/>
      <c r="K25" s="129"/>
      <c r="L25" s="129"/>
    </row>
    <row r="26" spans="1:12" s="130" customFormat="1" ht="28.15" customHeight="1" x14ac:dyDescent="0.25">
      <c r="A26" s="126">
        <v>25</v>
      </c>
      <c r="B26" s="127" t="s">
        <v>129</v>
      </c>
      <c r="C26" s="129"/>
      <c r="D26" s="129" t="s">
        <v>96</v>
      </c>
      <c r="E26" s="129" t="s">
        <v>130</v>
      </c>
      <c r="F26" s="129"/>
      <c r="G26" s="129"/>
      <c r="H26" s="129"/>
      <c r="I26" s="128"/>
      <c r="J26" s="128"/>
      <c r="K26" s="129"/>
      <c r="L26" s="129"/>
    </row>
    <row r="27" spans="1:12" ht="28.15" customHeight="1" x14ac:dyDescent="0.25">
      <c r="A27" s="89">
        <v>26</v>
      </c>
      <c r="B27" s="90" t="s">
        <v>133</v>
      </c>
      <c r="C27" s="91">
        <v>41018582</v>
      </c>
      <c r="D27" s="91" t="s">
        <v>87</v>
      </c>
      <c r="E27" s="91" t="s">
        <v>89</v>
      </c>
      <c r="F27" s="91" t="s">
        <v>122</v>
      </c>
      <c r="G27" s="91" t="s">
        <v>146</v>
      </c>
      <c r="H27" s="91" t="s">
        <v>147</v>
      </c>
      <c r="I27" s="92"/>
      <c r="J27" s="92"/>
      <c r="K27" s="91"/>
      <c r="L27" s="91"/>
    </row>
    <row r="28" spans="1:12" ht="28.15" customHeight="1" x14ac:dyDescent="0.25">
      <c r="A28" s="89">
        <v>27</v>
      </c>
      <c r="B28" s="90" t="s">
        <v>139</v>
      </c>
      <c r="C28" s="91">
        <v>61415253</v>
      </c>
      <c r="D28" s="91" t="s">
        <v>96</v>
      </c>
      <c r="E28" s="91" t="s">
        <v>130</v>
      </c>
      <c r="F28" s="91"/>
      <c r="G28" s="91"/>
      <c r="H28" s="91"/>
      <c r="I28" s="92" t="s">
        <v>194</v>
      </c>
      <c r="J28" s="92" t="s">
        <v>195</v>
      </c>
      <c r="K28" s="91"/>
      <c r="L28" s="91"/>
    </row>
    <row r="29" spans="1:12" ht="28.15" customHeight="1" x14ac:dyDescent="0.25">
      <c r="A29" s="89">
        <v>28</v>
      </c>
      <c r="B29" s="90" t="s">
        <v>202</v>
      </c>
      <c r="C29" s="91"/>
      <c r="D29" s="91" t="s">
        <v>87</v>
      </c>
      <c r="E29" s="91" t="s">
        <v>140</v>
      </c>
      <c r="F29" s="91"/>
      <c r="G29" s="91"/>
      <c r="H29" s="91"/>
      <c r="I29" s="92" t="s">
        <v>159</v>
      </c>
      <c r="J29" s="92" t="s">
        <v>160</v>
      </c>
      <c r="K29" s="91"/>
      <c r="L29" s="91"/>
    </row>
    <row r="30" spans="1:12" ht="28.15" customHeight="1" x14ac:dyDescent="0.25">
      <c r="A30" s="89">
        <v>29</v>
      </c>
      <c r="B30" s="90" t="s">
        <v>171</v>
      </c>
      <c r="C30" s="91">
        <v>76338169</v>
      </c>
      <c r="D30" s="91" t="s">
        <v>87</v>
      </c>
      <c r="E30" s="91" t="s">
        <v>141</v>
      </c>
      <c r="F30" s="91"/>
      <c r="G30" s="91" t="s">
        <v>187</v>
      </c>
      <c r="H30" s="91" t="s">
        <v>186</v>
      </c>
      <c r="I30" s="92"/>
      <c r="J30" s="92"/>
      <c r="K30" s="91"/>
      <c r="L30" s="91"/>
    </row>
    <row r="31" spans="1:12" ht="28.15" customHeight="1" x14ac:dyDescent="0.25">
      <c r="A31" s="89">
        <v>30</v>
      </c>
      <c r="B31" s="90" t="s">
        <v>184</v>
      </c>
      <c r="C31" s="91">
        <v>44365799</v>
      </c>
      <c r="D31" s="91" t="s">
        <v>87</v>
      </c>
      <c r="E31" s="91" t="s">
        <v>89</v>
      </c>
      <c r="F31" s="91" t="s">
        <v>142</v>
      </c>
      <c r="G31" s="91"/>
      <c r="H31" s="91"/>
      <c r="I31" s="92" t="s">
        <v>183</v>
      </c>
      <c r="J31" s="92"/>
      <c r="K31" s="91"/>
      <c r="L31" s="91"/>
    </row>
    <row r="32" spans="1:12" ht="29.45" customHeight="1" x14ac:dyDescent="0.25">
      <c r="A32" s="89">
        <v>31</v>
      </c>
      <c r="B32" s="90" t="s">
        <v>196</v>
      </c>
      <c r="C32" s="91">
        <v>47099079</v>
      </c>
      <c r="D32" s="91" t="s">
        <v>87</v>
      </c>
      <c r="E32" s="91" t="s">
        <v>89</v>
      </c>
      <c r="F32" s="91" t="s">
        <v>197</v>
      </c>
      <c r="G32" s="91" t="s">
        <v>285</v>
      </c>
      <c r="H32" s="91" t="s">
        <v>286</v>
      </c>
      <c r="I32" s="92"/>
      <c r="J32" s="92"/>
      <c r="K32" s="91"/>
      <c r="L32" s="91"/>
    </row>
    <row r="33" spans="1:12" ht="29.45" customHeight="1" x14ac:dyDescent="0.25">
      <c r="A33" s="89">
        <v>32</v>
      </c>
      <c r="B33" s="197" t="s">
        <v>243</v>
      </c>
      <c r="C33" s="91">
        <v>74808890</v>
      </c>
      <c r="D33" s="91" t="s">
        <v>87</v>
      </c>
      <c r="E33" s="91" t="s">
        <v>88</v>
      </c>
      <c r="F33" s="91"/>
      <c r="G33" s="91"/>
      <c r="H33" s="91"/>
      <c r="I33" s="92"/>
      <c r="J33" s="92"/>
      <c r="K33" s="91"/>
      <c r="L33" s="91"/>
    </row>
    <row r="34" spans="1:12" ht="29.45" customHeight="1" x14ac:dyDescent="0.25">
      <c r="A34" s="89">
        <v>33</v>
      </c>
      <c r="B34" s="197" t="s">
        <v>244</v>
      </c>
      <c r="C34" s="91">
        <v>45366294</v>
      </c>
      <c r="D34" s="91" t="s">
        <v>87</v>
      </c>
      <c r="E34" s="91" t="s">
        <v>88</v>
      </c>
      <c r="F34" s="91"/>
      <c r="G34" s="91"/>
      <c r="H34" s="91"/>
      <c r="I34" s="92"/>
      <c r="J34" s="92"/>
      <c r="K34" s="91"/>
      <c r="L34" s="91"/>
    </row>
    <row r="35" spans="1:12" ht="29.45" customHeight="1" x14ac:dyDescent="0.25">
      <c r="A35" s="89">
        <v>34</v>
      </c>
      <c r="B35" s="197" t="s">
        <v>245</v>
      </c>
      <c r="C35" s="92" t="s">
        <v>249</v>
      </c>
      <c r="D35" s="91" t="s">
        <v>87</v>
      </c>
      <c r="E35" s="91" t="s">
        <v>89</v>
      </c>
      <c r="F35" s="91"/>
      <c r="G35" s="91"/>
      <c r="H35" s="91"/>
      <c r="I35" s="92"/>
      <c r="J35" s="92"/>
      <c r="K35" s="91"/>
      <c r="L35" s="91"/>
    </row>
    <row r="36" spans="1:12" ht="29.45" customHeight="1" x14ac:dyDescent="0.25">
      <c r="A36" s="89">
        <v>35</v>
      </c>
      <c r="B36" s="197" t="s">
        <v>246</v>
      </c>
      <c r="C36" s="91">
        <v>47846597</v>
      </c>
      <c r="D36" s="91" t="s">
        <v>87</v>
      </c>
      <c r="E36" s="91" t="s">
        <v>89</v>
      </c>
      <c r="F36" s="91"/>
      <c r="G36" s="91"/>
      <c r="H36" s="91"/>
      <c r="I36" s="92"/>
      <c r="J36" s="92"/>
      <c r="K36" s="91"/>
      <c r="L36" s="91"/>
    </row>
    <row r="37" spans="1:12" ht="29.45" customHeight="1" x14ac:dyDescent="0.25">
      <c r="A37" s="89">
        <v>36</v>
      </c>
      <c r="B37" s="197" t="s">
        <v>247</v>
      </c>
      <c r="C37" s="92" t="s">
        <v>250</v>
      </c>
      <c r="D37" s="91" t="s">
        <v>87</v>
      </c>
      <c r="E37" s="91" t="s">
        <v>88</v>
      </c>
      <c r="F37" s="91"/>
      <c r="G37" s="91"/>
      <c r="H37" s="91"/>
      <c r="I37" s="91"/>
      <c r="J37" s="92"/>
      <c r="K37" s="91"/>
      <c r="L37" s="91"/>
    </row>
    <row r="38" spans="1:12" ht="29.45" customHeight="1" x14ac:dyDescent="0.25">
      <c r="A38" s="89">
        <v>37</v>
      </c>
      <c r="B38" s="197" t="s">
        <v>248</v>
      </c>
      <c r="C38" s="92" t="s">
        <v>251</v>
      </c>
      <c r="D38" s="91" t="s">
        <v>87</v>
      </c>
      <c r="E38" s="91" t="s">
        <v>88</v>
      </c>
      <c r="F38" s="91"/>
      <c r="G38" s="91"/>
      <c r="H38" s="91"/>
      <c r="I38" s="91"/>
      <c r="J38" s="92"/>
      <c r="K38" s="91"/>
      <c r="L38" s="91"/>
    </row>
    <row r="39" spans="1:12" ht="29.45" customHeight="1" x14ac:dyDescent="0.25">
      <c r="A39" s="89">
        <v>38</v>
      </c>
      <c r="B39" s="90" t="s">
        <v>262</v>
      </c>
      <c r="C39" s="92" t="s">
        <v>263</v>
      </c>
      <c r="D39" s="91" t="s">
        <v>87</v>
      </c>
      <c r="E39" s="91" t="s">
        <v>88</v>
      </c>
      <c r="F39" s="91"/>
      <c r="G39" s="91"/>
      <c r="H39" s="91"/>
      <c r="I39" s="91"/>
      <c r="J39" s="92"/>
      <c r="K39" s="91"/>
      <c r="L39" s="91"/>
    </row>
    <row r="40" spans="1:12" ht="29.45" customHeight="1" x14ac:dyDescent="0.25">
      <c r="A40" s="89">
        <v>39</v>
      </c>
      <c r="B40" s="90" t="s">
        <v>264</v>
      </c>
      <c r="C40" s="92" t="s">
        <v>265</v>
      </c>
      <c r="D40" s="91" t="s">
        <v>87</v>
      </c>
      <c r="E40" s="91" t="s">
        <v>88</v>
      </c>
      <c r="F40" s="91"/>
      <c r="G40" s="91"/>
      <c r="H40" s="91"/>
      <c r="I40" s="91"/>
      <c r="J40" s="92"/>
      <c r="K40" s="91"/>
      <c r="L40" s="91"/>
    </row>
    <row r="41" spans="1:12" ht="29.45" customHeight="1" x14ac:dyDescent="0.25">
      <c r="A41" s="89">
        <v>40</v>
      </c>
      <c r="B41" s="90" t="s">
        <v>266</v>
      </c>
      <c r="C41" s="92" t="s">
        <v>267</v>
      </c>
      <c r="D41" s="91" t="s">
        <v>87</v>
      </c>
      <c r="E41" s="91" t="s">
        <v>89</v>
      </c>
      <c r="F41" s="91"/>
      <c r="G41" s="91"/>
      <c r="H41" s="91"/>
      <c r="I41" s="91"/>
      <c r="J41" s="92"/>
      <c r="K41" s="91"/>
      <c r="L41" s="91"/>
    </row>
    <row r="42" spans="1:12" ht="29.45" customHeight="1" x14ac:dyDescent="0.25">
      <c r="A42" s="89">
        <v>41</v>
      </c>
      <c r="B42" s="90" t="s">
        <v>268</v>
      </c>
      <c r="C42" s="92" t="s">
        <v>269</v>
      </c>
      <c r="D42" s="91" t="s">
        <v>87</v>
      </c>
      <c r="E42" s="91" t="s">
        <v>89</v>
      </c>
      <c r="F42" s="91"/>
      <c r="G42" s="91"/>
      <c r="H42" s="91"/>
      <c r="I42" s="91"/>
      <c r="J42" s="92"/>
      <c r="K42" s="91"/>
      <c r="L42" s="91"/>
    </row>
    <row r="43" spans="1:12" ht="29.45" customHeight="1" x14ac:dyDescent="0.25">
      <c r="A43" s="89">
        <v>42</v>
      </c>
      <c r="B43" s="90" t="s">
        <v>270</v>
      </c>
      <c r="C43" s="92" t="s">
        <v>271</v>
      </c>
      <c r="D43" s="91" t="s">
        <v>87</v>
      </c>
      <c r="E43" s="91" t="s">
        <v>89</v>
      </c>
      <c r="F43" s="91"/>
      <c r="G43" s="91"/>
      <c r="H43" s="91"/>
      <c r="I43" s="91"/>
      <c r="J43" s="92"/>
      <c r="K43" s="91"/>
      <c r="L43" s="91"/>
    </row>
    <row r="44" spans="1:12" ht="28.15" customHeight="1" x14ac:dyDescent="0.25">
      <c r="A44" s="89">
        <v>42</v>
      </c>
      <c r="B44" s="90" t="s">
        <v>278</v>
      </c>
      <c r="C44" s="92" t="s">
        <v>282</v>
      </c>
      <c r="D44" s="91" t="s">
        <v>87</v>
      </c>
      <c r="E44" s="91" t="s">
        <v>89</v>
      </c>
      <c r="F44" s="91" t="s">
        <v>122</v>
      </c>
      <c r="G44" s="91"/>
      <c r="H44" s="91"/>
      <c r="I44" s="91"/>
      <c r="J44" s="92"/>
      <c r="K44" s="91"/>
      <c r="L44" s="91"/>
    </row>
    <row r="45" spans="1:12" ht="28.15" customHeight="1" x14ac:dyDescent="0.25">
      <c r="A45" s="89">
        <v>43</v>
      </c>
      <c r="B45" s="90" t="s">
        <v>279</v>
      </c>
      <c r="C45" s="92" t="s">
        <v>283</v>
      </c>
      <c r="D45" s="91" t="s">
        <v>87</v>
      </c>
      <c r="E45" s="91" t="s">
        <v>89</v>
      </c>
      <c r="F45" s="91" t="s">
        <v>122</v>
      </c>
      <c r="G45" s="91"/>
      <c r="H45" s="91"/>
      <c r="I45" s="91"/>
      <c r="J45" s="92"/>
      <c r="K45" s="91"/>
      <c r="L45" s="91"/>
    </row>
    <row r="46" spans="1:12" ht="28.15" customHeight="1" x14ac:dyDescent="0.25">
      <c r="A46" s="89">
        <v>44</v>
      </c>
      <c r="B46" s="90" t="s">
        <v>280</v>
      </c>
      <c r="C46" s="92" t="s">
        <v>284</v>
      </c>
      <c r="D46" s="91" t="s">
        <v>87</v>
      </c>
      <c r="E46" s="91" t="s">
        <v>88</v>
      </c>
      <c r="F46" s="91"/>
      <c r="G46" s="91"/>
      <c r="H46" s="91"/>
      <c r="I46" s="91"/>
      <c r="J46" s="92"/>
      <c r="K46" s="91"/>
      <c r="L46" s="91"/>
    </row>
    <row r="47" spans="1:12" ht="30" customHeight="1" x14ac:dyDescent="0.25">
      <c r="A47" s="89">
        <v>45</v>
      </c>
      <c r="B47" s="90" t="s">
        <v>281</v>
      </c>
      <c r="C47" s="91">
        <v>7398</v>
      </c>
      <c r="D47" s="91" t="s">
        <v>87</v>
      </c>
      <c r="E47" s="91" t="s">
        <v>89</v>
      </c>
      <c r="F47" s="91" t="s">
        <v>142</v>
      </c>
      <c r="G47" s="91"/>
      <c r="H47" s="91"/>
      <c r="I47" s="91"/>
      <c r="J47" s="92"/>
      <c r="K47" s="91"/>
      <c r="L47" s="91"/>
    </row>
    <row r="48" spans="1:12" ht="30" customHeight="1" x14ac:dyDescent="0.25">
      <c r="A48" s="89">
        <v>46</v>
      </c>
      <c r="B48" s="90" t="s">
        <v>278</v>
      </c>
      <c r="C48" s="92" t="s">
        <v>282</v>
      </c>
      <c r="D48" s="91" t="s">
        <v>87</v>
      </c>
      <c r="E48" s="91" t="s">
        <v>89</v>
      </c>
      <c r="F48" s="91" t="s">
        <v>122</v>
      </c>
      <c r="G48" s="91"/>
      <c r="H48" s="91"/>
      <c r="I48" s="91"/>
      <c r="J48" s="92"/>
      <c r="K48" s="91"/>
      <c r="L48" s="91"/>
    </row>
    <row r="49" spans="1:12" ht="30" customHeight="1" x14ac:dyDescent="0.25">
      <c r="A49" s="89">
        <v>47</v>
      </c>
      <c r="B49" s="90" t="s">
        <v>279</v>
      </c>
      <c r="C49" s="92" t="s">
        <v>283</v>
      </c>
      <c r="D49" s="91" t="s">
        <v>87</v>
      </c>
      <c r="E49" s="91" t="s">
        <v>89</v>
      </c>
      <c r="F49" s="91" t="s">
        <v>122</v>
      </c>
      <c r="G49" s="91"/>
      <c r="H49" s="91"/>
      <c r="I49" s="91"/>
      <c r="J49" s="92"/>
      <c r="K49" s="91"/>
      <c r="L49" s="91"/>
    </row>
    <row r="50" spans="1:12" ht="30" customHeight="1" x14ac:dyDescent="0.25">
      <c r="A50" s="89">
        <v>48</v>
      </c>
      <c r="B50" s="90" t="s">
        <v>280</v>
      </c>
      <c r="C50" s="92" t="s">
        <v>284</v>
      </c>
      <c r="D50" s="91" t="s">
        <v>87</v>
      </c>
      <c r="E50" s="91" t="s">
        <v>88</v>
      </c>
      <c r="F50" s="91"/>
      <c r="G50" s="91"/>
      <c r="H50" s="91"/>
      <c r="I50" s="91"/>
      <c r="J50" s="92"/>
      <c r="K50" s="91"/>
      <c r="L50" s="91"/>
    </row>
    <row r="51" spans="1:12" ht="30" customHeight="1" x14ac:dyDescent="0.25">
      <c r="A51" s="89">
        <v>49</v>
      </c>
      <c r="B51" s="90"/>
      <c r="C51" s="91"/>
      <c r="D51" s="91"/>
      <c r="E51" s="91"/>
      <c r="F51" s="91"/>
      <c r="G51" s="91"/>
      <c r="H51" s="91"/>
      <c r="I51" s="91"/>
      <c r="J51" s="92"/>
      <c r="K51" s="91"/>
      <c r="L51" s="9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595DB-821C-46BF-9DCD-49B077EA1E02}">
  <dimension ref="A4:D46"/>
  <sheetViews>
    <sheetView topLeftCell="A29" workbookViewId="0">
      <selection activeCell="G32" sqref="G32"/>
    </sheetView>
  </sheetViews>
  <sheetFormatPr baseColWidth="10" defaultColWidth="10.7109375" defaultRowHeight="15" x14ac:dyDescent="0.25"/>
  <cols>
    <col min="1" max="1" width="5" customWidth="1"/>
    <col min="2" max="2" width="41" customWidth="1"/>
    <col min="4" max="4" width="16.5703125" customWidth="1"/>
  </cols>
  <sheetData>
    <row r="4" spans="1:4" ht="28.15" customHeight="1" x14ac:dyDescent="0.25">
      <c r="A4" t="s">
        <v>1</v>
      </c>
      <c r="B4" s="11" t="s">
        <v>29</v>
      </c>
      <c r="C4" t="s">
        <v>28</v>
      </c>
      <c r="D4" t="s">
        <v>86</v>
      </c>
    </row>
    <row r="5" spans="1:4" ht="25.9" customHeight="1" x14ac:dyDescent="0.25">
      <c r="A5" s="112">
        <v>1</v>
      </c>
      <c r="B5" t="s">
        <v>102</v>
      </c>
      <c r="C5" s="27">
        <f>IF(_xlfn.XLOOKUP(Hoja1!B5,DATOS[NOMBRES],DATOS[DNI])="","",_xlfn.XLOOKUP(Hoja1!B5,DATOS[NOMBRES],DATOS[DNI]))</f>
        <v>26683098</v>
      </c>
      <c r="D5" s="114" t="str">
        <f>IF(_xlfn.XLOOKUP(Tabla6[[#This Row],[APELLIDOS Y NOMBRES]],DATOS[NOMBRES],DATOS[CARGO])="","",_xlfn.XLOOKUP(Tabla6[[#This Row],[APELLIDOS Y NOMBRES]],DATOS[NOMBRES],DATOS[CARGO]))</f>
        <v>RESIDENTE</v>
      </c>
    </row>
    <row r="6" spans="1:4" ht="25.9" customHeight="1" x14ac:dyDescent="0.25">
      <c r="A6" s="112">
        <v>2</v>
      </c>
      <c r="B6" t="s">
        <v>95</v>
      </c>
      <c r="C6" s="27">
        <f>IF(_xlfn.XLOOKUP(Hoja1!B6,DATOS[NOMBRES],DATOS[DNI])="","",_xlfn.XLOOKUP(Hoja1!B6,DATOS[NOMBRES],DATOS[DNI]))</f>
        <v>76470794</v>
      </c>
      <c r="D6" s="114" t="str">
        <f>IF(_xlfn.XLOOKUP(Tabla6[[#This Row],[APELLIDOS Y NOMBRES]],DATOS[NOMBRES],DATOS[CARGO])="","",_xlfn.XLOOKUP(Tabla6[[#This Row],[APELLIDOS Y NOMBRES]],DATOS[NOMBRES],DATOS[CARGO]))</f>
        <v>ING. CALIDAD</v>
      </c>
    </row>
    <row r="7" spans="1:4" ht="25.9" customHeight="1" x14ac:dyDescent="0.25">
      <c r="A7" s="112">
        <v>3</v>
      </c>
      <c r="B7" t="s">
        <v>98</v>
      </c>
      <c r="C7" s="27">
        <f>IF(_xlfn.XLOOKUP(Hoja1!B7,DATOS[NOMBRES],DATOS[DNI])="","",_xlfn.XLOOKUP(Hoja1!B7,DATOS[NOMBRES],DATOS[DNI]))</f>
        <v>71234038</v>
      </c>
      <c r="D7" s="114" t="str">
        <f>IF(_xlfn.XLOOKUP(Tabla6[[#This Row],[APELLIDOS Y NOMBRES]],DATOS[NOMBRES],DATOS[CARGO])="","",_xlfn.XLOOKUP(Tabla6[[#This Row],[APELLIDOS Y NOMBRES]],DATOS[NOMBRES],DATOS[CARGO]))</f>
        <v>ASIS. ING.</v>
      </c>
    </row>
    <row r="8" spans="1:4" ht="25.9" customHeight="1" x14ac:dyDescent="0.25">
      <c r="A8" s="112">
        <v>4</v>
      </c>
      <c r="B8" t="s">
        <v>92</v>
      </c>
      <c r="C8" s="27">
        <f>IF(_xlfn.XLOOKUP(Hoja1!B8,DATOS[NOMBRES],DATOS[DNI])="","",_xlfn.XLOOKUP(Hoja1!B8,DATOS[NOMBRES],DATOS[DNI]))</f>
        <v>41056694</v>
      </c>
      <c r="D8" s="114" t="str">
        <f>IF(_xlfn.XLOOKUP(Tabla6[[#This Row],[APELLIDOS Y NOMBRES]],DATOS[NOMBRES],DATOS[CARGO])="","",_xlfn.XLOOKUP(Tabla6[[#This Row],[APELLIDOS Y NOMBRES]],DATOS[NOMBRES],DATOS[CARGO]))</f>
        <v>LOGISTICO</v>
      </c>
    </row>
    <row r="9" spans="1:4" ht="25.9" customHeight="1" x14ac:dyDescent="0.25">
      <c r="A9" s="112">
        <v>5</v>
      </c>
      <c r="B9" t="s">
        <v>131</v>
      </c>
      <c r="C9" s="27">
        <f>IF(_xlfn.XLOOKUP(Hoja1!B9,DATOS[NOMBRES],DATOS[DNI])="","",_xlfn.XLOOKUP(Hoja1!B9,DATOS[NOMBRES],DATOS[DNI]))</f>
        <v>72188706</v>
      </c>
      <c r="D9" s="114" t="str">
        <f>IF(_xlfn.XLOOKUP(Tabla6[[#This Row],[APELLIDOS Y NOMBRES]],DATOS[NOMBRES],DATOS[CARGO])="","",_xlfn.XLOOKUP(Tabla6[[#This Row],[APELLIDOS Y NOMBRES]],DATOS[NOMBRES],DATOS[CARGO]))</f>
        <v>TOPOGRAFO</v>
      </c>
    </row>
    <row r="10" spans="1:4" ht="25.9" customHeight="1" x14ac:dyDescent="0.25">
      <c r="A10" s="112">
        <v>6</v>
      </c>
      <c r="B10" t="s">
        <v>100</v>
      </c>
      <c r="C10" s="27" t="str">
        <f>IF(_xlfn.XLOOKUP(Hoja1!B10,DATOS[NOMBRES],DATOS[DNI])="","",_xlfn.XLOOKUP(Hoja1!B10,DATOS[NOMBRES],DATOS[DNI]))</f>
        <v>00662471</v>
      </c>
      <c r="D10" s="114" t="str">
        <f>IF(_xlfn.XLOOKUP(Tabla6[[#This Row],[APELLIDOS Y NOMBRES]],DATOS[NOMBRES],DATOS[CARGO])="","",_xlfn.XLOOKUP(Tabla6[[#This Row],[APELLIDOS Y NOMBRES]],DATOS[NOMBRES],DATOS[CARGO]))</f>
        <v>MAESTRO OBRA</v>
      </c>
    </row>
    <row r="11" spans="1:4" ht="25.9" customHeight="1" x14ac:dyDescent="0.25">
      <c r="A11" s="112">
        <v>7</v>
      </c>
      <c r="B11" t="s">
        <v>125</v>
      </c>
      <c r="C11" s="27">
        <f>IF(_xlfn.XLOOKUP(Hoja1!B11,DATOS[NOMBRES],DATOS[DNI])="","",_xlfn.XLOOKUP(Hoja1!B11,DATOS[NOMBRES],DATOS[DNI]))</f>
        <v>70522697</v>
      </c>
      <c r="D11" s="114" t="str">
        <f>IF(_xlfn.XLOOKUP(Tabla6[[#This Row],[APELLIDOS Y NOMBRES]],DATOS[NOMBRES],DATOS[CARGO])="","",_xlfn.XLOOKUP(Tabla6[[#This Row],[APELLIDOS Y NOMBRES]],DATOS[NOMBRES],DATOS[CARGO]))</f>
        <v>REPRESENTANTE</v>
      </c>
    </row>
    <row r="12" spans="1:4" ht="25.9" customHeight="1" x14ac:dyDescent="0.25">
      <c r="A12" s="112">
        <v>8</v>
      </c>
      <c r="B12" t="s">
        <v>127</v>
      </c>
      <c r="C12" s="27" t="str">
        <f>IF(_xlfn.XLOOKUP(Hoja1!B12,DATOS[NOMBRES],DATOS[DNI])="","",_xlfn.XLOOKUP(Hoja1!B12,DATOS[NOMBRES],DATOS[DNI]))</f>
        <v/>
      </c>
      <c r="D12" s="114" t="str">
        <f>IF(_xlfn.XLOOKUP(Tabla6[[#This Row],[APELLIDOS Y NOMBRES]],DATOS[NOMBRES],DATOS[CARGO])="","",_xlfn.XLOOKUP(Tabla6[[#This Row],[APELLIDOS Y NOMBRES]],DATOS[NOMBRES],DATOS[CARGO]))</f>
        <v>ASIS. ING.</v>
      </c>
    </row>
    <row r="13" spans="1:4" ht="25.9" customHeight="1" x14ac:dyDescent="0.25">
      <c r="A13" s="112">
        <v>9</v>
      </c>
      <c r="B13" t="s">
        <v>129</v>
      </c>
      <c r="C13" s="27" t="str">
        <f>IF(_xlfn.XLOOKUP(Hoja1!B13,DATOS[NOMBRES],DATOS[DNI])="","",_xlfn.XLOOKUP(Hoja1!B13,DATOS[NOMBRES],DATOS[DNI]))</f>
        <v/>
      </c>
      <c r="D13" s="114" t="str">
        <f>IF(_xlfn.XLOOKUP(Tabla6[[#This Row],[APELLIDOS Y NOMBRES]],DATOS[NOMBRES],DATOS[CARGO])="","",_xlfn.XLOOKUP(Tabla6[[#This Row],[APELLIDOS Y NOMBRES]],DATOS[NOMBRES],DATOS[CARGO]))</f>
        <v>ESP. SEGURIDAD</v>
      </c>
    </row>
    <row r="14" spans="1:4" ht="25.9" customHeight="1" x14ac:dyDescent="0.25">
      <c r="A14" s="112">
        <v>10</v>
      </c>
      <c r="C14" s="27" t="str">
        <f>IF(_xlfn.XLOOKUP(Hoja1!B14,DATOS[NOMBRES],DATOS[DNI])="","",_xlfn.XLOOKUP(Hoja1!B14,DATOS[NOMBRES],DATOS[DNI]))</f>
        <v/>
      </c>
      <c r="D14" s="114" t="str">
        <f>IF(_xlfn.XLOOKUP(Tabla6[[#This Row],[APELLIDOS Y NOMBRES]],DATOS[NOMBRES],DATOS[CARGO])="","",_xlfn.XLOOKUP(Tabla6[[#This Row],[APELLIDOS Y NOMBRES]],DATOS[NOMBRES],DATOS[CARGO]))</f>
        <v/>
      </c>
    </row>
    <row r="15" spans="1:4" x14ac:dyDescent="0.25">
      <c r="D15" s="114"/>
    </row>
    <row r="16" spans="1:4" ht="18.75" x14ac:dyDescent="0.25">
      <c r="B16" s="113" t="s">
        <v>128</v>
      </c>
      <c r="D16" s="114"/>
    </row>
    <row r="17" spans="1:4" ht="25.15" customHeight="1" x14ac:dyDescent="0.25">
      <c r="A17" s="111">
        <v>1</v>
      </c>
      <c r="B17" t="s">
        <v>21</v>
      </c>
      <c r="C17" s="27">
        <f>IF(_xlfn.XLOOKUP(Hoja1!B17,DATOS[NOMBRES],DATOS[DNI])="","",_xlfn.XLOOKUP(Hoja1!B17,DATOS[NOMBRES],DATOS[DNI]))</f>
        <v>48492558</v>
      </c>
      <c r="D17" s="114" t="str">
        <f>IF(_xlfn.XLOOKUP(Tabla6[[#This Row],[APELLIDOS Y NOMBRES]],DATOS[NOMBRES],DATOS[CARGO])="","",_xlfn.XLOOKUP(Tabla6[[#This Row],[APELLIDOS Y NOMBRES]],DATOS[NOMBRES],DATOS[CARGO]))</f>
        <v>OPERARIO</v>
      </c>
    </row>
    <row r="18" spans="1:4" ht="25.15" customHeight="1" x14ac:dyDescent="0.25">
      <c r="A18" s="111">
        <v>2</v>
      </c>
      <c r="B18" t="s">
        <v>104</v>
      </c>
      <c r="C18" s="27" t="str">
        <f>IF(_xlfn.XLOOKUP(Hoja1!B18,DATOS[NOMBRES],DATOS[DNI])="","",_xlfn.XLOOKUP(Hoja1!B18,DATOS[NOMBRES],DATOS[DNI]))</f>
        <v>00515241</v>
      </c>
      <c r="D18" s="114" t="str">
        <f>IF(_xlfn.XLOOKUP(Tabla6[[#This Row],[APELLIDOS Y NOMBRES]],DATOS[NOMBRES],DATOS[CARGO])="","",_xlfn.XLOOKUP(Tabla6[[#This Row],[APELLIDOS Y NOMBRES]],DATOS[NOMBRES],DATOS[CARGO]))</f>
        <v>OPERARIO</v>
      </c>
    </row>
    <row r="19" spans="1:4" ht="25.15" customHeight="1" x14ac:dyDescent="0.25">
      <c r="A19" s="111">
        <v>3</v>
      </c>
      <c r="B19" t="s">
        <v>107</v>
      </c>
      <c r="C19" s="27">
        <f>IF(_xlfn.XLOOKUP(Hoja1!B19,DATOS[NOMBRES],DATOS[DNI])="","",_xlfn.XLOOKUP(Hoja1!B19,DATOS[NOMBRES],DATOS[DNI]))</f>
        <v>78202475</v>
      </c>
      <c r="D19" s="114" t="str">
        <f>IF(_xlfn.XLOOKUP(Tabla6[[#This Row],[APELLIDOS Y NOMBRES]],DATOS[NOMBRES],DATOS[CARGO])="","",_xlfn.XLOOKUP(Tabla6[[#This Row],[APELLIDOS Y NOMBRES]],DATOS[NOMBRES],DATOS[CARGO]))</f>
        <v>OPERARIO</v>
      </c>
    </row>
    <row r="20" spans="1:4" ht="25.15" customHeight="1" x14ac:dyDescent="0.25">
      <c r="A20" s="111">
        <v>4</v>
      </c>
      <c r="B20" t="s">
        <v>108</v>
      </c>
      <c r="C20" s="27">
        <f>IF(_xlfn.XLOOKUP(Hoja1!B20,DATOS[NOMBRES],DATOS[DNI])="","",_xlfn.XLOOKUP(Hoja1!B20,DATOS[NOMBRES],DATOS[DNI]))</f>
        <v>44758063</v>
      </c>
      <c r="D20" s="114" t="str">
        <f>IF(_xlfn.XLOOKUP(Tabla6[[#This Row],[APELLIDOS Y NOMBRES]],DATOS[NOMBRES],DATOS[CARGO])="","",_xlfn.XLOOKUP(Tabla6[[#This Row],[APELLIDOS Y NOMBRES]],DATOS[NOMBRES],DATOS[CARGO]))</f>
        <v>OPERARIO</v>
      </c>
    </row>
    <row r="21" spans="1:4" ht="25.15" customHeight="1" x14ac:dyDescent="0.25">
      <c r="A21" s="111">
        <v>5</v>
      </c>
      <c r="B21" t="s">
        <v>115</v>
      </c>
      <c r="C21" s="27">
        <f>IF(_xlfn.XLOOKUP(Hoja1!B21,DATOS[NOMBRES],DATOS[DNI])="","",_xlfn.XLOOKUP(Hoja1!B21,DATOS[NOMBRES],DATOS[DNI]))</f>
        <v>47109805</v>
      </c>
      <c r="D21" s="114" t="str">
        <f>IF(_xlfn.XLOOKUP(Tabla6[[#This Row],[APELLIDOS Y NOMBRES]],DATOS[NOMBRES],DATOS[CARGO])="","",_xlfn.XLOOKUP(Tabla6[[#This Row],[APELLIDOS Y NOMBRES]],DATOS[NOMBRES],DATOS[CARGO]))</f>
        <v>OPERARIO</v>
      </c>
    </row>
    <row r="22" spans="1:4" ht="25.15" customHeight="1" x14ac:dyDescent="0.25">
      <c r="A22" s="111">
        <v>6</v>
      </c>
      <c r="B22" t="s">
        <v>19</v>
      </c>
      <c r="C22" s="27">
        <f>IF(_xlfn.XLOOKUP(Hoja1!B22,DATOS[NOMBRES],DATOS[DNI])="","",_xlfn.XLOOKUP(Hoja1!B22,DATOS[NOMBRES],DATOS[DNI]))</f>
        <v>40861767</v>
      </c>
      <c r="D22" s="114" t="str">
        <f>IF(_xlfn.XLOOKUP(Tabla6[[#This Row],[APELLIDOS Y NOMBRES]],DATOS[NOMBRES],DATOS[CARGO])="","",_xlfn.XLOOKUP(Tabla6[[#This Row],[APELLIDOS Y NOMBRES]],DATOS[NOMBRES],DATOS[CARGO]))</f>
        <v>OPERARIO/VOLQUETERO</v>
      </c>
    </row>
    <row r="23" spans="1:4" ht="25.15" customHeight="1" x14ac:dyDescent="0.25">
      <c r="A23" s="111">
        <v>7</v>
      </c>
      <c r="B23" t="s">
        <v>18</v>
      </c>
      <c r="C23" s="27">
        <f>IF(_xlfn.XLOOKUP(Hoja1!B23,DATOS[NOMBRES],DATOS[DNI])="","",_xlfn.XLOOKUP(Hoja1!B23,DATOS[NOMBRES],DATOS[DNI]))</f>
        <v>75396402</v>
      </c>
      <c r="D23" s="114" t="str">
        <f>IF(_xlfn.XLOOKUP(Tabla6[[#This Row],[APELLIDOS Y NOMBRES]],DATOS[NOMBRES],DATOS[CARGO])="","",_xlfn.XLOOKUP(Tabla6[[#This Row],[APELLIDOS Y NOMBRES]],DATOS[NOMBRES],DATOS[CARGO]))</f>
        <v>PEON</v>
      </c>
    </row>
    <row r="24" spans="1:4" ht="25.15" customHeight="1" x14ac:dyDescent="0.25">
      <c r="A24" s="111">
        <v>8</v>
      </c>
      <c r="B24" t="s">
        <v>16</v>
      </c>
      <c r="C24" s="27">
        <f>IF(_xlfn.XLOOKUP(Hoja1!B24,DATOS[NOMBRES],DATOS[DNI])="","",_xlfn.XLOOKUP(Hoja1!B24,DATOS[NOMBRES],DATOS[DNI]))</f>
        <v>44184914</v>
      </c>
      <c r="D24" s="114" t="str">
        <f>IF(_xlfn.XLOOKUP(Tabla6[[#This Row],[APELLIDOS Y NOMBRES]],DATOS[NOMBRES],DATOS[CARGO])="","",_xlfn.XLOOKUP(Tabla6[[#This Row],[APELLIDOS Y NOMBRES]],DATOS[NOMBRES],DATOS[CARGO]))</f>
        <v>PEON</v>
      </c>
    </row>
    <row r="25" spans="1:4" ht="25.15" customHeight="1" x14ac:dyDescent="0.25">
      <c r="A25" s="111">
        <v>9</v>
      </c>
      <c r="B25" t="s">
        <v>17</v>
      </c>
      <c r="C25" s="27">
        <f>IF(_xlfn.XLOOKUP(Hoja1!B25,DATOS[NOMBRES],DATOS[DNI])="","",_xlfn.XLOOKUP(Hoja1!B25,DATOS[NOMBRES],DATOS[DNI]))</f>
        <v>40839932</v>
      </c>
      <c r="D25" s="114" t="str">
        <f>IF(_xlfn.XLOOKUP(Tabla6[[#This Row],[APELLIDOS Y NOMBRES]],DATOS[NOMBRES],DATOS[CARGO])="","",_xlfn.XLOOKUP(Tabla6[[#This Row],[APELLIDOS Y NOMBRES]],DATOS[NOMBRES],DATOS[CARGO]))</f>
        <v>PEON</v>
      </c>
    </row>
    <row r="26" spans="1:4" ht="25.15" customHeight="1" x14ac:dyDescent="0.25">
      <c r="A26" s="111">
        <v>10</v>
      </c>
      <c r="B26" t="s">
        <v>22</v>
      </c>
      <c r="C26" s="27">
        <f>IF(_xlfn.XLOOKUP(Hoja1!B26,DATOS[NOMBRES],DATOS[DNI])="","",_xlfn.XLOOKUP(Hoja1!B26,DATOS[NOMBRES],DATOS[DNI]))</f>
        <v>70833343</v>
      </c>
      <c r="D26" s="114" t="str">
        <f>IF(_xlfn.XLOOKUP(Tabla6[[#This Row],[APELLIDOS Y NOMBRES]],DATOS[NOMBRES],DATOS[CARGO])="","",_xlfn.XLOOKUP(Tabla6[[#This Row],[APELLIDOS Y NOMBRES]],DATOS[NOMBRES],DATOS[CARGO]))</f>
        <v>PEON</v>
      </c>
    </row>
    <row r="27" spans="1:4" ht="25.15" customHeight="1" x14ac:dyDescent="0.25">
      <c r="A27" s="111">
        <v>11</v>
      </c>
      <c r="B27" t="s">
        <v>25</v>
      </c>
      <c r="C27" s="27">
        <f>IF(_xlfn.XLOOKUP(Hoja1!B27,DATOS[NOMBRES],DATOS[DNI])="","",_xlfn.XLOOKUP(Hoja1!B27,DATOS[NOMBRES],DATOS[DNI]))</f>
        <v>40889884</v>
      </c>
      <c r="D27" s="114" t="str">
        <f>IF(_xlfn.XLOOKUP(Tabla6[[#This Row],[APELLIDOS Y NOMBRES]],DATOS[NOMBRES],DATOS[CARGO])="","",_xlfn.XLOOKUP(Tabla6[[#This Row],[APELLIDOS Y NOMBRES]],DATOS[NOMBRES],DATOS[CARGO]))</f>
        <v>PEON</v>
      </c>
    </row>
    <row r="28" spans="1:4" ht="25.15" customHeight="1" x14ac:dyDescent="0.25">
      <c r="A28" s="111">
        <v>12</v>
      </c>
      <c r="B28" t="s">
        <v>106</v>
      </c>
      <c r="C28" s="27">
        <f>IF(_xlfn.XLOOKUP(Hoja1!B28,DATOS[NOMBRES],DATOS[DNI])="","",_xlfn.XLOOKUP(Hoja1!B28,DATOS[NOMBRES],DATOS[DNI]))</f>
        <v>44723682</v>
      </c>
      <c r="D28" s="114" t="str">
        <f>IF(_xlfn.XLOOKUP(Tabla6[[#This Row],[APELLIDOS Y NOMBRES]],DATOS[NOMBRES],DATOS[CARGO])="","",_xlfn.XLOOKUP(Tabla6[[#This Row],[APELLIDOS Y NOMBRES]],DATOS[NOMBRES],DATOS[CARGO]))</f>
        <v>PEON</v>
      </c>
    </row>
    <row r="29" spans="1:4" ht="25.15" customHeight="1" x14ac:dyDescent="0.25">
      <c r="A29" s="111">
        <v>13</v>
      </c>
      <c r="B29" t="s">
        <v>109</v>
      </c>
      <c r="C29" s="27">
        <f>IF(_xlfn.XLOOKUP(Hoja1!B29,DATOS[NOMBRES],DATOS[DNI])="","",_xlfn.XLOOKUP(Hoja1!B29,DATOS[NOMBRES],DATOS[DNI]))</f>
        <v>46906026</v>
      </c>
      <c r="D29" s="114" t="str">
        <f>IF(_xlfn.XLOOKUP(Tabla6[[#This Row],[APELLIDOS Y NOMBRES]],DATOS[NOMBRES],DATOS[CARGO])="","",_xlfn.XLOOKUP(Tabla6[[#This Row],[APELLIDOS Y NOMBRES]],DATOS[NOMBRES],DATOS[CARGO]))</f>
        <v>PEON</v>
      </c>
    </row>
    <row r="30" spans="1:4" ht="25.15" customHeight="1" x14ac:dyDescent="0.25">
      <c r="A30" s="111">
        <v>14</v>
      </c>
      <c r="B30" t="s">
        <v>114</v>
      </c>
      <c r="C30" s="27">
        <f>IF(_xlfn.XLOOKUP(Hoja1!B30,DATOS[NOMBRES],DATOS[DNI])="","",_xlfn.XLOOKUP(Hoja1!B30,DATOS[NOMBRES],DATOS[DNI]))</f>
        <v>74367601</v>
      </c>
      <c r="D30" s="114" t="str">
        <f>IF(_xlfn.XLOOKUP(Tabla6[[#This Row],[APELLIDOS Y NOMBRES]],DATOS[NOMBRES],DATOS[CARGO])="","",_xlfn.XLOOKUP(Tabla6[[#This Row],[APELLIDOS Y NOMBRES]],DATOS[NOMBRES],DATOS[CARGO]))</f>
        <v>PEON</v>
      </c>
    </row>
    <row r="31" spans="1:4" ht="25.15" customHeight="1" x14ac:dyDescent="0.25">
      <c r="A31" s="111">
        <v>15</v>
      </c>
      <c r="B31" t="s">
        <v>112</v>
      </c>
      <c r="C31" s="27" t="str">
        <f>IF(_xlfn.XLOOKUP(Hoja1!B31,DATOS[NOMBRES],DATOS[DNI])="","",_xlfn.XLOOKUP(Hoja1!B31,DATOS[NOMBRES],DATOS[DNI]))</f>
        <v/>
      </c>
      <c r="D31" s="114" t="str">
        <f>IF(_xlfn.XLOOKUP(Tabla6[[#This Row],[APELLIDOS Y NOMBRES]],DATOS[NOMBRES],DATOS[CARGO])="","",_xlfn.XLOOKUP(Tabla6[[#This Row],[APELLIDOS Y NOMBRES]],DATOS[NOMBRES],DATOS[CARGO]))</f>
        <v>OPERARIO MAQU.</v>
      </c>
    </row>
    <row r="32" spans="1:4" ht="25.15" customHeight="1" x14ac:dyDescent="0.25">
      <c r="A32" s="111">
        <v>16</v>
      </c>
      <c r="C32" s="27" t="str">
        <f>IF(_xlfn.XLOOKUP(Hoja1!B32,DATOS[NOMBRES],DATOS[DNI])="","",_xlfn.XLOOKUP(Hoja1!B32,DATOS[NOMBRES],DATOS[DNI]))</f>
        <v/>
      </c>
      <c r="D32" s="114" t="str">
        <f>IF(_xlfn.XLOOKUP(Tabla6[[#This Row],[APELLIDOS Y NOMBRES]],DATOS[NOMBRES],DATOS[CARGO])="","",_xlfn.XLOOKUP(Tabla6[[#This Row],[APELLIDOS Y NOMBRES]],DATOS[NOMBRES],DATOS[CARGO]))</f>
        <v/>
      </c>
    </row>
    <row r="33" spans="1:4" ht="25.15" customHeight="1" x14ac:dyDescent="0.25">
      <c r="A33" s="111">
        <v>17</v>
      </c>
      <c r="C33" s="27" t="str">
        <f>IF(_xlfn.XLOOKUP(Hoja1!B33,DATOS[NOMBRES],DATOS[DNI])="","",_xlfn.XLOOKUP(Hoja1!B33,DATOS[NOMBRES],DATOS[DNI]))</f>
        <v/>
      </c>
      <c r="D33" s="114" t="str">
        <f>IF(_xlfn.XLOOKUP(Tabla6[[#This Row],[APELLIDOS Y NOMBRES]],DATOS[NOMBRES],DATOS[CARGO])="","",_xlfn.XLOOKUP(Tabla6[[#This Row],[APELLIDOS Y NOMBRES]],DATOS[NOMBRES],DATOS[CARGO]))</f>
        <v/>
      </c>
    </row>
    <row r="34" spans="1:4" ht="25.15" customHeight="1" x14ac:dyDescent="0.25">
      <c r="A34" s="111">
        <v>18</v>
      </c>
      <c r="C34" s="27" t="str">
        <f>IF(_xlfn.XLOOKUP(Hoja1!B34,DATOS[NOMBRES],DATOS[DNI])="","",_xlfn.XLOOKUP(Hoja1!B34,DATOS[NOMBRES],DATOS[DNI]))</f>
        <v/>
      </c>
      <c r="D34" s="114" t="str">
        <f>IF(_xlfn.XLOOKUP(Tabla6[[#This Row],[APELLIDOS Y NOMBRES]],DATOS[NOMBRES],DATOS[CARGO])="","",_xlfn.XLOOKUP(Tabla6[[#This Row],[APELLIDOS Y NOMBRES]],DATOS[NOMBRES],DATOS[CARGO]))</f>
        <v/>
      </c>
    </row>
    <row r="35" spans="1:4" ht="25.15" customHeight="1" x14ac:dyDescent="0.25">
      <c r="A35" s="111">
        <v>19</v>
      </c>
      <c r="C35" s="27" t="str">
        <f>IF(_xlfn.XLOOKUP(Hoja1!B35,DATOS[NOMBRES],DATOS[DNI])="","",_xlfn.XLOOKUP(Hoja1!B35,DATOS[NOMBRES],DATOS[DNI]))</f>
        <v/>
      </c>
      <c r="D35" s="114" t="str">
        <f>IF(_xlfn.XLOOKUP(Tabla6[[#This Row],[APELLIDOS Y NOMBRES]],DATOS[NOMBRES],DATOS[CARGO])="","",_xlfn.XLOOKUP(Tabla6[[#This Row],[APELLIDOS Y NOMBRES]],DATOS[NOMBRES],DATOS[CARGO]))</f>
        <v/>
      </c>
    </row>
    <row r="36" spans="1:4" ht="25.15" customHeight="1" x14ac:dyDescent="0.25">
      <c r="A36" s="111">
        <v>20</v>
      </c>
      <c r="C36" s="27" t="str">
        <f>IF(_xlfn.XLOOKUP(Hoja1!B36,DATOS[NOMBRES],DATOS[DNI])="","",_xlfn.XLOOKUP(Hoja1!B36,DATOS[NOMBRES],DATOS[DNI]))</f>
        <v/>
      </c>
      <c r="D36" s="114" t="str">
        <f>IF(_xlfn.XLOOKUP(Tabla6[[#This Row],[APELLIDOS Y NOMBRES]],DATOS[NOMBRES],DATOS[CARGO])="","",_xlfn.XLOOKUP(Tabla6[[#This Row],[APELLIDOS Y NOMBRES]],DATOS[NOMBRES],DATOS[CARGO]))</f>
        <v/>
      </c>
    </row>
    <row r="37" spans="1:4" ht="25.15" customHeight="1" x14ac:dyDescent="0.25">
      <c r="A37" s="111">
        <v>21</v>
      </c>
      <c r="C37" s="27" t="str">
        <f>IF(_xlfn.XLOOKUP(Hoja1!B37,DATOS[NOMBRES],DATOS[DNI])="","",_xlfn.XLOOKUP(Hoja1!B37,DATOS[NOMBRES],DATOS[DNI]))</f>
        <v/>
      </c>
      <c r="D37" s="114" t="str">
        <f>IF(_xlfn.XLOOKUP(Tabla6[[#This Row],[APELLIDOS Y NOMBRES]],DATOS[NOMBRES],DATOS[CARGO])="","",_xlfn.XLOOKUP(Tabla6[[#This Row],[APELLIDOS Y NOMBRES]],DATOS[NOMBRES],DATOS[CARGO]))</f>
        <v/>
      </c>
    </row>
    <row r="38" spans="1:4" ht="25.15" customHeight="1" x14ac:dyDescent="0.25">
      <c r="A38" s="111">
        <v>22</v>
      </c>
      <c r="C38" s="27" t="str">
        <f>IF(_xlfn.XLOOKUP(Hoja1!B38,DATOS[NOMBRES],DATOS[DNI])="","",_xlfn.XLOOKUP(Hoja1!B38,DATOS[NOMBRES],DATOS[DNI]))</f>
        <v/>
      </c>
      <c r="D38" s="114" t="str">
        <f>IF(_xlfn.XLOOKUP(Tabla6[[#This Row],[APELLIDOS Y NOMBRES]],DATOS[NOMBRES],DATOS[CARGO])="","",_xlfn.XLOOKUP(Tabla6[[#This Row],[APELLIDOS Y NOMBRES]],DATOS[NOMBRES],DATOS[CARGO]))</f>
        <v/>
      </c>
    </row>
    <row r="39" spans="1:4" ht="25.15" customHeight="1" x14ac:dyDescent="0.25">
      <c r="A39" s="111">
        <v>23</v>
      </c>
      <c r="C39" s="27" t="str">
        <f>IF(_xlfn.XLOOKUP(Hoja1!B39,DATOS[NOMBRES],DATOS[DNI])="","",_xlfn.XLOOKUP(Hoja1!B39,DATOS[NOMBRES],DATOS[DNI]))</f>
        <v/>
      </c>
      <c r="D39" s="114" t="str">
        <f>IF(_xlfn.XLOOKUP(Tabla6[[#This Row],[APELLIDOS Y NOMBRES]],DATOS[NOMBRES],DATOS[CARGO])="","",_xlfn.XLOOKUP(Tabla6[[#This Row],[APELLIDOS Y NOMBRES]],DATOS[NOMBRES],DATOS[CARGO]))</f>
        <v/>
      </c>
    </row>
    <row r="40" spans="1:4" ht="25.15" customHeight="1" x14ac:dyDescent="0.25">
      <c r="A40" s="111">
        <v>24</v>
      </c>
      <c r="C40" s="27" t="str">
        <f>IF(_xlfn.XLOOKUP(Hoja1!B40,DATOS[NOMBRES],DATOS[DNI])="","",_xlfn.XLOOKUP(Hoja1!B40,DATOS[NOMBRES],DATOS[DNI]))</f>
        <v/>
      </c>
      <c r="D40" s="114" t="str">
        <f>IF(_xlfn.XLOOKUP(Tabla6[[#This Row],[APELLIDOS Y NOMBRES]],DATOS[NOMBRES],DATOS[CARGO])="","",_xlfn.XLOOKUP(Tabla6[[#This Row],[APELLIDOS Y NOMBRES]],DATOS[NOMBRES],DATOS[CARGO]))</f>
        <v/>
      </c>
    </row>
    <row r="41" spans="1:4" ht="25.15" customHeight="1" x14ac:dyDescent="0.25">
      <c r="A41" s="111">
        <v>25</v>
      </c>
      <c r="C41" s="27" t="str">
        <f>IF(_xlfn.XLOOKUP(Hoja1!B41,DATOS[NOMBRES],DATOS[DNI])="","",_xlfn.XLOOKUP(Hoja1!B41,DATOS[NOMBRES],DATOS[DNI]))</f>
        <v/>
      </c>
      <c r="D41" s="114" t="str">
        <f>IF(_xlfn.XLOOKUP(Tabla6[[#This Row],[APELLIDOS Y NOMBRES]],DATOS[NOMBRES],DATOS[CARGO])="","",_xlfn.XLOOKUP(Tabla6[[#This Row],[APELLIDOS Y NOMBRES]],DATOS[NOMBRES],DATOS[CARGO]))</f>
        <v/>
      </c>
    </row>
    <row r="42" spans="1:4" ht="25.15" customHeight="1" x14ac:dyDescent="0.25">
      <c r="A42" s="111">
        <v>26</v>
      </c>
      <c r="C42" s="27" t="str">
        <f>IF(_xlfn.XLOOKUP(Hoja1!B42,DATOS[NOMBRES],DATOS[DNI])="","",_xlfn.XLOOKUP(Hoja1!B42,DATOS[NOMBRES],DATOS[DNI]))</f>
        <v/>
      </c>
      <c r="D42" s="114" t="str">
        <f>IF(_xlfn.XLOOKUP(Tabla6[[#This Row],[APELLIDOS Y NOMBRES]],DATOS[NOMBRES],DATOS[CARGO])="","",_xlfn.XLOOKUP(Tabla6[[#This Row],[APELLIDOS Y NOMBRES]],DATOS[NOMBRES],DATOS[CARGO]))</f>
        <v/>
      </c>
    </row>
    <row r="43" spans="1:4" ht="25.15" customHeight="1" x14ac:dyDescent="0.25">
      <c r="A43" s="111">
        <v>27</v>
      </c>
      <c r="C43" s="27" t="str">
        <f>IF(_xlfn.XLOOKUP(Hoja1!B43,DATOS[NOMBRES],DATOS[DNI])="","",_xlfn.XLOOKUP(Hoja1!B43,DATOS[NOMBRES],DATOS[DNI]))</f>
        <v/>
      </c>
      <c r="D43" s="114" t="str">
        <f>IF(_xlfn.XLOOKUP(Tabla6[[#This Row],[APELLIDOS Y NOMBRES]],DATOS[NOMBRES],DATOS[CARGO])="","",_xlfn.XLOOKUP(Tabla6[[#This Row],[APELLIDOS Y NOMBRES]],DATOS[NOMBRES],DATOS[CARGO]))</f>
        <v/>
      </c>
    </row>
    <row r="44" spans="1:4" ht="25.15" customHeight="1" x14ac:dyDescent="0.25">
      <c r="A44" s="111">
        <v>28</v>
      </c>
      <c r="C44" s="27" t="str">
        <f>IF(_xlfn.XLOOKUP(Hoja1!B44,DATOS[NOMBRES],DATOS[DNI])="","",_xlfn.XLOOKUP(Hoja1!B44,DATOS[NOMBRES],DATOS[DNI]))</f>
        <v/>
      </c>
      <c r="D44" s="114" t="str">
        <f>IF(_xlfn.XLOOKUP(Tabla6[[#This Row],[APELLIDOS Y NOMBRES]],DATOS[NOMBRES],DATOS[CARGO])="","",_xlfn.XLOOKUP(Tabla6[[#This Row],[APELLIDOS Y NOMBRES]],DATOS[NOMBRES],DATOS[CARGO]))</f>
        <v/>
      </c>
    </row>
    <row r="45" spans="1:4" ht="25.15" customHeight="1" x14ac:dyDescent="0.25">
      <c r="A45" s="111">
        <v>29</v>
      </c>
      <c r="C45" s="27" t="str">
        <f>IF(_xlfn.XLOOKUP(Hoja1!B45,DATOS[NOMBRES],DATOS[DNI])="","",_xlfn.XLOOKUP(Hoja1!B45,DATOS[NOMBRES],DATOS[DNI]))</f>
        <v/>
      </c>
      <c r="D45" s="114" t="str">
        <f>IF(_xlfn.XLOOKUP(Tabla6[[#This Row],[APELLIDOS Y NOMBRES]],DATOS[NOMBRES],DATOS[CARGO])="","",_xlfn.XLOOKUP(Tabla6[[#This Row],[APELLIDOS Y NOMBRES]],DATOS[NOMBRES],DATOS[CARGO]))</f>
        <v/>
      </c>
    </row>
    <row r="46" spans="1:4" ht="25.15" customHeight="1" x14ac:dyDescent="0.25">
      <c r="A46" s="111">
        <v>30</v>
      </c>
      <c r="C46" s="27" t="str">
        <f>IF(_xlfn.XLOOKUP(Hoja1!B46,DATOS[NOMBRES],DATOS[DNI])="","",_xlfn.XLOOKUP(Hoja1!B46,DATOS[NOMBRES],DATOS[DNI]))</f>
        <v/>
      </c>
      <c r="D46" s="114" t="str">
        <f>IF(_xlfn.XLOOKUP(Tabla6[[#This Row],[APELLIDOS Y NOMBRES]],DATOS[NOMBRES],DATOS[CARGO])="","",_xlfn.XLOOKUP(Tabla6[[#This Row],[APELLIDOS Y NOMBRES]],DATOS[NOMBRES],DATOS[CARGO]))</f>
        <v/>
      </c>
    </row>
  </sheetData>
  <pageMargins left="0.7" right="0.7" top="0.36" bottom="0.25" header="0.3" footer="0.3"/>
  <pageSetup paperSize="9" orientation="portrait" horizontalDpi="4294967293" verticalDpi="0" r:id="rId1"/>
  <ignoredErrors>
    <ignoredError sqref="C5:C6" calculatedColumn="1"/>
  </ignoredError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33673EE3-B07C-4B88-AE4B-12647890087C}">
          <x14:formula1>
            <xm:f>'DATOS GRALES 1'!$B$2:$B$36</xm:f>
          </x14:formula1>
          <xm:sqref>B5:B14 B17:B46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5D53A-412F-45DE-BDD5-1AA2EF9C4B44}">
  <sheetPr codeName="Hoja3">
    <pageSetUpPr fitToPage="1"/>
  </sheetPr>
  <dimension ref="A1:L83"/>
  <sheetViews>
    <sheetView workbookViewId="0">
      <selection activeCell="H68" sqref="H68"/>
    </sheetView>
  </sheetViews>
  <sheetFormatPr baseColWidth="10" defaultColWidth="10.7109375" defaultRowHeight="15" x14ac:dyDescent="0.25"/>
  <cols>
    <col min="1" max="1" width="3.7109375" customWidth="1"/>
    <col min="2" max="2" width="32" customWidth="1"/>
    <col min="3" max="3" width="9.28515625" customWidth="1"/>
    <col min="4" max="4" width="7.85546875" style="17" customWidth="1"/>
    <col min="6" max="6" width="7.85546875" style="17" customWidth="1"/>
    <col min="12" max="12" width="18.7109375" customWidth="1"/>
  </cols>
  <sheetData>
    <row r="1" spans="1:12" ht="26.25" customHeight="1" x14ac:dyDescent="0.4">
      <c r="A1" s="268"/>
      <c r="B1" s="266"/>
      <c r="C1" s="270" t="s">
        <v>0</v>
      </c>
      <c r="D1" s="270"/>
      <c r="E1" s="270"/>
      <c r="F1" s="270"/>
      <c r="G1" s="270"/>
      <c r="H1" s="270"/>
      <c r="I1" s="270"/>
      <c r="J1" s="270"/>
      <c r="K1" s="270"/>
      <c r="L1" s="270"/>
    </row>
    <row r="2" spans="1:12" ht="19.5" customHeight="1" x14ac:dyDescent="0.3">
      <c r="A2" s="268"/>
      <c r="B2" s="266"/>
      <c r="C2" s="271" t="s">
        <v>23</v>
      </c>
      <c r="D2" s="271"/>
      <c r="E2" s="271"/>
      <c r="F2" s="271"/>
      <c r="G2" s="271"/>
      <c r="H2" s="271"/>
      <c r="I2" s="271"/>
      <c r="J2" s="271"/>
      <c r="K2" s="271"/>
      <c r="L2" s="271"/>
    </row>
    <row r="3" spans="1:12" ht="25.15" customHeight="1" x14ac:dyDescent="0.3">
      <c r="A3" s="269"/>
      <c r="B3" s="267"/>
      <c r="C3" s="272" t="s">
        <v>24</v>
      </c>
      <c r="D3" s="272"/>
      <c r="E3" s="272"/>
      <c r="F3" s="272"/>
      <c r="G3" s="272"/>
      <c r="H3" s="272"/>
      <c r="I3" s="272"/>
      <c r="J3" s="272"/>
      <c r="K3" s="272"/>
      <c r="L3" s="272"/>
    </row>
    <row r="4" spans="1:12" s="3" customFormat="1" ht="12.75" x14ac:dyDescent="0.2">
      <c r="A4" s="260" t="s">
        <v>1</v>
      </c>
      <c r="B4" s="14" t="s">
        <v>2</v>
      </c>
      <c r="C4" s="263" t="s">
        <v>3</v>
      </c>
      <c r="D4" s="261" t="s">
        <v>4</v>
      </c>
      <c r="E4" s="261"/>
      <c r="F4" s="261" t="s">
        <v>5</v>
      </c>
      <c r="G4" s="261"/>
      <c r="H4" s="262" t="s">
        <v>6</v>
      </c>
      <c r="I4" s="262"/>
      <c r="J4" s="14" t="s">
        <v>7</v>
      </c>
      <c r="K4" s="260" t="s">
        <v>8</v>
      </c>
      <c r="L4" s="260" t="s">
        <v>9</v>
      </c>
    </row>
    <row r="5" spans="1:12" ht="13.5" customHeight="1" x14ac:dyDescent="0.25">
      <c r="A5" s="260"/>
      <c r="B5" s="260" t="s">
        <v>10</v>
      </c>
      <c r="C5" s="264"/>
      <c r="D5" s="260" t="s">
        <v>11</v>
      </c>
      <c r="E5" s="273" t="s">
        <v>12</v>
      </c>
      <c r="F5" s="260" t="s">
        <v>11</v>
      </c>
      <c r="G5" s="273" t="s">
        <v>12</v>
      </c>
      <c r="H5" s="14" t="s">
        <v>13</v>
      </c>
      <c r="I5" s="14" t="s">
        <v>14</v>
      </c>
      <c r="J5" s="260" t="s">
        <v>15</v>
      </c>
      <c r="K5" s="260"/>
      <c r="L5" s="260"/>
    </row>
    <row r="6" spans="1:12" ht="18" customHeight="1" x14ac:dyDescent="0.25">
      <c r="A6" s="260"/>
      <c r="B6" s="260"/>
      <c r="C6" s="265"/>
      <c r="D6" s="260"/>
      <c r="E6" s="273"/>
      <c r="F6" s="260"/>
      <c r="G6" s="273"/>
      <c r="H6" s="15" t="s">
        <v>12</v>
      </c>
      <c r="I6" s="15" t="s">
        <v>12</v>
      </c>
      <c r="J6" s="260"/>
      <c r="K6" s="260"/>
      <c r="L6" s="260"/>
    </row>
    <row r="7" spans="1:12" ht="19.899999999999999" customHeight="1" x14ac:dyDescent="0.25">
      <c r="A7" s="5">
        <v>1</v>
      </c>
      <c r="B7" s="105" t="s">
        <v>18</v>
      </c>
      <c r="C7" s="115">
        <f>IFERROR(VLOOKUP(B7,'DATOS GRALES 1'!$B$2:$C$50,2,0)," ")</f>
        <v>75396402</v>
      </c>
      <c r="D7" s="101">
        <v>45909</v>
      </c>
      <c r="E7" s="103"/>
      <c r="F7" s="101">
        <v>45909</v>
      </c>
      <c r="G7" s="6"/>
      <c r="H7" s="6"/>
      <c r="I7" s="6"/>
      <c r="J7" s="7"/>
      <c r="K7" s="7"/>
      <c r="L7" s="7"/>
    </row>
    <row r="8" spans="1:12" ht="19.899999999999999" customHeight="1" x14ac:dyDescent="0.25">
      <c r="A8" s="2">
        <v>2</v>
      </c>
      <c r="B8" s="106" t="s">
        <v>16</v>
      </c>
      <c r="C8" s="115">
        <f>IFERROR(VLOOKUP(B8,'DATOS GRALES 1'!$B$2:$C$50,2,0)," ")</f>
        <v>44184914</v>
      </c>
      <c r="D8" s="102">
        <v>45909</v>
      </c>
      <c r="E8" s="104"/>
      <c r="F8" s="102">
        <v>45909</v>
      </c>
      <c r="G8" s="9"/>
      <c r="H8" s="8"/>
      <c r="I8" s="9"/>
      <c r="J8" s="9"/>
      <c r="K8" s="9"/>
      <c r="L8" s="10"/>
    </row>
    <row r="9" spans="1:12" ht="19.899999999999999" customHeight="1" x14ac:dyDescent="0.25">
      <c r="A9" s="2">
        <f t="shared" ref="A9:A39" si="0">+A8+1</f>
        <v>3</v>
      </c>
      <c r="B9" s="106" t="s">
        <v>17</v>
      </c>
      <c r="C9" s="115">
        <f>IFERROR(VLOOKUP(B9,'DATOS GRALES 1'!$B$2:$C$50,2,0)," ")</f>
        <v>40839932</v>
      </c>
      <c r="D9" s="102">
        <v>45909</v>
      </c>
      <c r="E9" s="104"/>
      <c r="F9" s="101">
        <v>45909</v>
      </c>
      <c r="G9" s="9"/>
      <c r="H9" s="8"/>
      <c r="I9" s="9"/>
      <c r="J9" s="9"/>
      <c r="K9" s="9"/>
      <c r="L9" s="10"/>
    </row>
    <row r="10" spans="1:12" ht="19.899999999999999" customHeight="1" x14ac:dyDescent="0.25">
      <c r="A10" s="2">
        <f t="shared" si="0"/>
        <v>4</v>
      </c>
      <c r="B10" s="106" t="s">
        <v>22</v>
      </c>
      <c r="C10" s="115">
        <f>IFERROR(VLOOKUP(B10,'DATOS GRALES 1'!$B$2:$C$50,2,0)," ")</f>
        <v>70833343</v>
      </c>
      <c r="D10" s="102">
        <v>45909</v>
      </c>
      <c r="E10" s="104"/>
      <c r="F10" s="102">
        <v>45909</v>
      </c>
      <c r="G10" s="9"/>
      <c r="H10" s="8"/>
      <c r="I10" s="9"/>
      <c r="J10" s="9"/>
      <c r="K10" s="9"/>
      <c r="L10" s="10"/>
    </row>
    <row r="11" spans="1:12" ht="19.899999999999999" customHeight="1" x14ac:dyDescent="0.25">
      <c r="A11" s="2">
        <f t="shared" si="0"/>
        <v>5</v>
      </c>
      <c r="B11" s="106" t="s">
        <v>21</v>
      </c>
      <c r="C11" s="115">
        <f>IFERROR(VLOOKUP(B11,'DATOS GRALES 1'!$B$2:$C$50,2,0)," ")</f>
        <v>48492558</v>
      </c>
      <c r="D11" s="102">
        <v>45909</v>
      </c>
      <c r="E11" s="104"/>
      <c r="F11" s="101">
        <v>45909</v>
      </c>
      <c r="G11" s="9"/>
      <c r="H11" s="8"/>
      <c r="I11" s="9"/>
      <c r="J11" s="9"/>
      <c r="K11" s="9"/>
      <c r="L11" s="10"/>
    </row>
    <row r="12" spans="1:12" ht="19.899999999999999" customHeight="1" x14ac:dyDescent="0.25">
      <c r="A12" s="2">
        <f t="shared" si="0"/>
        <v>6</v>
      </c>
      <c r="B12" s="106" t="s">
        <v>25</v>
      </c>
      <c r="C12" s="115">
        <f>IFERROR(VLOOKUP(B12,'DATOS GRALES 1'!$B$2:$C$50,2,0)," ")</f>
        <v>40889884</v>
      </c>
      <c r="D12" s="102">
        <v>45909</v>
      </c>
      <c r="E12" s="104"/>
      <c r="F12" s="102">
        <v>45909</v>
      </c>
      <c r="G12" s="9"/>
      <c r="H12" s="8"/>
      <c r="I12" s="9"/>
      <c r="J12" s="9"/>
      <c r="K12" s="9"/>
      <c r="L12" s="10"/>
    </row>
    <row r="13" spans="1:12" ht="19.899999999999999" customHeight="1" x14ac:dyDescent="0.25">
      <c r="A13" s="2">
        <f t="shared" si="0"/>
        <v>7</v>
      </c>
      <c r="B13" s="106" t="s">
        <v>19</v>
      </c>
      <c r="C13" s="115">
        <f>IFERROR(VLOOKUP(B13,'DATOS GRALES 1'!$B$2:$C$50,2,0)," ")</f>
        <v>40861767</v>
      </c>
      <c r="D13" s="102">
        <v>45909</v>
      </c>
      <c r="E13" s="104"/>
      <c r="F13" s="101">
        <v>45909</v>
      </c>
      <c r="G13" s="9"/>
      <c r="H13" s="8"/>
      <c r="I13" s="9"/>
      <c r="J13" s="9"/>
      <c r="K13" s="9"/>
      <c r="L13" s="10"/>
    </row>
    <row r="14" spans="1:12" ht="19.899999999999999" customHeight="1" x14ac:dyDescent="0.25">
      <c r="A14" s="2">
        <f t="shared" si="0"/>
        <v>8</v>
      </c>
      <c r="B14" s="106" t="s">
        <v>26</v>
      </c>
      <c r="C14" s="115" t="str">
        <f>IFERROR(VLOOKUP(B14,'DATOS GRALES 1'!$B$2:$C$50,2,0)," ")</f>
        <v>00487377</v>
      </c>
      <c r="D14" s="102">
        <v>45909</v>
      </c>
      <c r="E14" s="104"/>
      <c r="F14" s="102">
        <v>45909</v>
      </c>
      <c r="G14" s="9"/>
      <c r="H14" s="8"/>
      <c r="I14" s="9"/>
      <c r="J14" s="9"/>
      <c r="K14" s="9"/>
      <c r="L14" s="10"/>
    </row>
    <row r="15" spans="1:12" ht="19.899999999999999" customHeight="1" x14ac:dyDescent="0.25">
      <c r="A15" s="2">
        <f t="shared" si="0"/>
        <v>9</v>
      </c>
      <c r="B15" s="106" t="s">
        <v>18</v>
      </c>
      <c r="C15" s="115">
        <f>IFERROR(VLOOKUP(B15,'DATOS GRALES 1'!$B$2:$C$50,2,0)," ")</f>
        <v>75396402</v>
      </c>
      <c r="D15" s="102">
        <v>45910</v>
      </c>
      <c r="E15" s="104"/>
      <c r="F15" s="102">
        <v>45910</v>
      </c>
      <c r="G15" s="9"/>
      <c r="H15" s="8"/>
      <c r="I15" s="9"/>
      <c r="J15" s="9"/>
      <c r="K15" s="9"/>
      <c r="L15" s="10"/>
    </row>
    <row r="16" spans="1:12" ht="19.899999999999999" customHeight="1" x14ac:dyDescent="0.25">
      <c r="A16" s="2">
        <f t="shared" si="0"/>
        <v>10</v>
      </c>
      <c r="B16" s="106" t="s">
        <v>16</v>
      </c>
      <c r="C16" s="115">
        <f>IFERROR(VLOOKUP(B16,'DATOS GRALES 1'!$B$2:$C$50,2,0)," ")</f>
        <v>44184914</v>
      </c>
      <c r="D16" s="102">
        <v>45910</v>
      </c>
      <c r="E16" s="104"/>
      <c r="F16" s="102">
        <v>45910</v>
      </c>
      <c r="G16" s="9"/>
      <c r="H16" s="8"/>
      <c r="I16" s="9"/>
      <c r="J16" s="9"/>
      <c r="K16" s="9"/>
      <c r="L16" s="10"/>
    </row>
    <row r="17" spans="1:12" ht="19.899999999999999" customHeight="1" x14ac:dyDescent="0.25">
      <c r="A17" s="2">
        <f t="shared" si="0"/>
        <v>11</v>
      </c>
      <c r="B17" s="106" t="s">
        <v>17</v>
      </c>
      <c r="C17" s="115">
        <f>IFERROR(VLOOKUP(B17,'DATOS GRALES 1'!$B$2:$C$50,2,0)," ")</f>
        <v>40839932</v>
      </c>
      <c r="D17" s="102">
        <v>45910</v>
      </c>
      <c r="E17" s="104"/>
      <c r="F17" s="102">
        <v>45910</v>
      </c>
      <c r="G17" s="9"/>
      <c r="H17" s="8"/>
      <c r="I17" s="9"/>
      <c r="J17" s="9"/>
      <c r="K17" s="9"/>
      <c r="L17" s="10"/>
    </row>
    <row r="18" spans="1:12" ht="19.899999999999999" customHeight="1" x14ac:dyDescent="0.25">
      <c r="A18" s="2">
        <f t="shared" si="0"/>
        <v>12</v>
      </c>
      <c r="B18" s="106" t="s">
        <v>22</v>
      </c>
      <c r="C18" s="115">
        <f>IFERROR(VLOOKUP(B18,'DATOS GRALES 1'!$B$2:$C$50,2,0)," ")</f>
        <v>70833343</v>
      </c>
      <c r="D18" s="102">
        <v>45910</v>
      </c>
      <c r="E18" s="104"/>
      <c r="F18" s="102">
        <v>45910</v>
      </c>
      <c r="G18" s="9"/>
      <c r="H18" s="8"/>
      <c r="I18" s="9"/>
      <c r="J18" s="9"/>
      <c r="K18" s="9"/>
      <c r="L18" s="10"/>
    </row>
    <row r="19" spans="1:12" ht="19.899999999999999" customHeight="1" x14ac:dyDescent="0.25">
      <c r="A19" s="2">
        <f t="shared" si="0"/>
        <v>13</v>
      </c>
      <c r="B19" s="106" t="s">
        <v>21</v>
      </c>
      <c r="C19" s="115">
        <f>IFERROR(VLOOKUP(B19,'DATOS GRALES 1'!$B$2:$C$50,2,0)," ")</f>
        <v>48492558</v>
      </c>
      <c r="D19" s="102">
        <v>45910</v>
      </c>
      <c r="E19" s="104"/>
      <c r="F19" s="102">
        <v>45910</v>
      </c>
      <c r="G19" s="9"/>
      <c r="H19" s="8"/>
      <c r="I19" s="9"/>
      <c r="J19" s="9"/>
      <c r="K19" s="9"/>
      <c r="L19" s="10"/>
    </row>
    <row r="20" spans="1:12" ht="19.899999999999999" customHeight="1" x14ac:dyDescent="0.25">
      <c r="A20" s="2">
        <f t="shared" si="0"/>
        <v>14</v>
      </c>
      <c r="B20" s="106" t="s">
        <v>25</v>
      </c>
      <c r="C20" s="115">
        <f>IFERROR(VLOOKUP(B20,'DATOS GRALES 1'!$B$2:$C$50,2,0)," ")</f>
        <v>40889884</v>
      </c>
      <c r="D20" s="102">
        <v>45910</v>
      </c>
      <c r="E20" s="104"/>
      <c r="F20" s="102">
        <v>45910</v>
      </c>
      <c r="G20" s="9"/>
      <c r="H20" s="8"/>
      <c r="I20" s="9"/>
      <c r="J20" s="9"/>
      <c r="K20" s="9"/>
      <c r="L20" s="10"/>
    </row>
    <row r="21" spans="1:12" ht="19.899999999999999" customHeight="1" x14ac:dyDescent="0.25">
      <c r="A21" s="2">
        <v>15</v>
      </c>
      <c r="B21" s="106" t="s">
        <v>19</v>
      </c>
      <c r="C21" s="115">
        <f>IFERROR(VLOOKUP(B21,'DATOS GRALES 1'!$B$2:$C$50,2,0)," ")</f>
        <v>40861767</v>
      </c>
      <c r="D21" s="102">
        <v>45910</v>
      </c>
      <c r="E21" s="104"/>
      <c r="F21" s="102">
        <v>45910</v>
      </c>
      <c r="G21" s="9"/>
      <c r="H21" s="8"/>
      <c r="I21" s="9"/>
      <c r="J21" s="9"/>
      <c r="K21" s="9"/>
      <c r="L21" s="10"/>
    </row>
    <row r="22" spans="1:12" ht="19.899999999999999" customHeight="1" x14ac:dyDescent="0.25">
      <c r="A22" s="2">
        <f t="shared" si="0"/>
        <v>16</v>
      </c>
      <c r="B22" s="106" t="s">
        <v>26</v>
      </c>
      <c r="C22" s="115" t="str">
        <f>IFERROR(VLOOKUP(B22,'DATOS GRALES 1'!$B$2:$C$50,2,0)," ")</f>
        <v>00487377</v>
      </c>
      <c r="D22" s="102">
        <v>45910</v>
      </c>
      <c r="E22" s="104"/>
      <c r="F22" s="102">
        <v>45910</v>
      </c>
      <c r="G22" s="9"/>
      <c r="H22" s="8"/>
      <c r="I22" s="9"/>
      <c r="J22" s="9"/>
      <c r="K22" s="9"/>
      <c r="L22" s="10"/>
    </row>
    <row r="23" spans="1:12" ht="19.899999999999999" customHeight="1" x14ac:dyDescent="0.25">
      <c r="A23" s="2">
        <v>17</v>
      </c>
      <c r="B23" s="106" t="s">
        <v>18</v>
      </c>
      <c r="C23" s="115">
        <f>IFERROR(VLOOKUP(B23,'DATOS GRALES 1'!$B$2:$C$50,2,0)," ")</f>
        <v>75396402</v>
      </c>
      <c r="D23" s="102">
        <v>45911</v>
      </c>
      <c r="E23" s="104"/>
      <c r="F23" s="102">
        <v>45911</v>
      </c>
      <c r="G23" s="9"/>
      <c r="H23" s="8"/>
      <c r="I23" s="9"/>
      <c r="J23" s="9"/>
      <c r="K23" s="9"/>
      <c r="L23" s="10"/>
    </row>
    <row r="24" spans="1:12" ht="19.899999999999999" customHeight="1" x14ac:dyDescent="0.25">
      <c r="A24" s="2">
        <v>18</v>
      </c>
      <c r="B24" s="106" t="s">
        <v>16</v>
      </c>
      <c r="C24" s="115">
        <f>IFERROR(VLOOKUP(B24,'DATOS GRALES 1'!$B$2:$C$50,2,0)," ")</f>
        <v>44184914</v>
      </c>
      <c r="D24" s="102">
        <v>45911</v>
      </c>
      <c r="E24" s="104"/>
      <c r="F24" s="102">
        <v>45911</v>
      </c>
      <c r="G24" s="9"/>
      <c r="H24" s="8"/>
      <c r="I24" s="9"/>
      <c r="J24" s="9"/>
      <c r="K24" s="9"/>
      <c r="L24" s="10"/>
    </row>
    <row r="25" spans="1:12" ht="19.899999999999999" customHeight="1" x14ac:dyDescent="0.25">
      <c r="A25" s="2">
        <v>19</v>
      </c>
      <c r="B25" s="106" t="s">
        <v>17</v>
      </c>
      <c r="C25" s="115">
        <f>IFERROR(VLOOKUP(B25,'DATOS GRALES 1'!$B$2:$C$50,2,0)," ")</f>
        <v>40839932</v>
      </c>
      <c r="D25" s="102">
        <v>45911</v>
      </c>
      <c r="E25" s="104"/>
      <c r="F25" s="102">
        <v>45911</v>
      </c>
      <c r="G25" s="9"/>
      <c r="H25" s="8"/>
      <c r="I25" s="9"/>
      <c r="J25" s="9"/>
      <c r="K25" s="9"/>
      <c r="L25" s="10"/>
    </row>
    <row r="26" spans="1:12" ht="19.899999999999999" customHeight="1" x14ac:dyDescent="0.25">
      <c r="A26" s="2">
        <v>20</v>
      </c>
      <c r="B26" s="106" t="s">
        <v>22</v>
      </c>
      <c r="C26" s="115">
        <f>IFERROR(VLOOKUP(B26,'DATOS GRALES 1'!$B$2:$C$50,2,0)," ")</f>
        <v>70833343</v>
      </c>
      <c r="D26" s="102">
        <v>45911</v>
      </c>
      <c r="E26" s="104"/>
      <c r="F26" s="102">
        <v>45911</v>
      </c>
      <c r="G26" s="9"/>
      <c r="H26" s="8"/>
      <c r="I26" s="9"/>
      <c r="J26" s="9"/>
      <c r="K26" s="9"/>
      <c r="L26" s="10"/>
    </row>
    <row r="27" spans="1:12" ht="19.899999999999999" customHeight="1" x14ac:dyDescent="0.25">
      <c r="A27" s="2">
        <v>21</v>
      </c>
      <c r="B27" s="106" t="s">
        <v>21</v>
      </c>
      <c r="C27" s="115">
        <f>IFERROR(VLOOKUP(B27,'DATOS GRALES 1'!$B$2:$C$50,2,0)," ")</f>
        <v>48492558</v>
      </c>
      <c r="D27" s="102">
        <v>45911</v>
      </c>
      <c r="E27" s="104"/>
      <c r="F27" s="102">
        <v>45911</v>
      </c>
      <c r="G27" s="9"/>
      <c r="H27" s="8"/>
      <c r="I27" s="9"/>
      <c r="J27" s="9"/>
      <c r="K27" s="9"/>
      <c r="L27" s="10"/>
    </row>
    <row r="28" spans="1:12" ht="19.899999999999999" customHeight="1" x14ac:dyDescent="0.25">
      <c r="A28" s="2">
        <v>22</v>
      </c>
      <c r="B28" s="106" t="s">
        <v>25</v>
      </c>
      <c r="C28" s="115">
        <f>IFERROR(VLOOKUP(B28,'DATOS GRALES 1'!$B$2:$C$50,2,0)," ")</f>
        <v>40889884</v>
      </c>
      <c r="D28" s="102">
        <v>45911</v>
      </c>
      <c r="E28" s="104"/>
      <c r="F28" s="102">
        <v>45911</v>
      </c>
      <c r="G28" s="9"/>
      <c r="H28" s="8"/>
      <c r="I28" s="9"/>
      <c r="J28" s="9"/>
      <c r="K28" s="9"/>
      <c r="L28" s="10"/>
    </row>
    <row r="29" spans="1:12" ht="19.899999999999999" customHeight="1" x14ac:dyDescent="0.25">
      <c r="A29" s="2">
        <v>23</v>
      </c>
      <c r="B29" s="106" t="s">
        <v>19</v>
      </c>
      <c r="C29" s="115">
        <f>IFERROR(VLOOKUP(B29,'DATOS GRALES 1'!$B$2:$C$50,2,0)," ")</f>
        <v>40861767</v>
      </c>
      <c r="D29" s="102">
        <v>45911</v>
      </c>
      <c r="E29" s="104"/>
      <c r="F29" s="102">
        <v>45911</v>
      </c>
      <c r="G29" s="9"/>
      <c r="H29" s="8"/>
      <c r="I29" s="9"/>
      <c r="J29" s="9"/>
      <c r="K29" s="9"/>
      <c r="L29" s="10"/>
    </row>
    <row r="30" spans="1:12" ht="19.899999999999999" customHeight="1" x14ac:dyDescent="0.25">
      <c r="A30" s="2">
        <f t="shared" si="0"/>
        <v>24</v>
      </c>
      <c r="B30" s="106" t="s">
        <v>18</v>
      </c>
      <c r="C30" s="115">
        <f>IFERROR(VLOOKUP(B30,'DATOS GRALES 1'!$B$2:$C$50,2,0)," ")</f>
        <v>75396402</v>
      </c>
      <c r="D30" s="102">
        <v>45912</v>
      </c>
      <c r="E30" s="104"/>
      <c r="F30" s="102">
        <v>45912</v>
      </c>
      <c r="G30" s="9"/>
      <c r="H30" s="8"/>
      <c r="I30" s="9"/>
      <c r="J30" s="9"/>
      <c r="K30" s="9"/>
      <c r="L30" s="10"/>
    </row>
    <row r="31" spans="1:12" ht="19.899999999999999" customHeight="1" x14ac:dyDescent="0.25">
      <c r="A31" s="2">
        <f t="shared" si="0"/>
        <v>25</v>
      </c>
      <c r="B31" s="106" t="s">
        <v>16</v>
      </c>
      <c r="C31" s="115">
        <f>IFERROR(VLOOKUP(B31,'DATOS GRALES 1'!$B$2:$C$50,2,0)," ")</f>
        <v>44184914</v>
      </c>
      <c r="D31" s="102">
        <v>45912</v>
      </c>
      <c r="E31" s="104"/>
      <c r="F31" s="102">
        <v>45912</v>
      </c>
      <c r="G31" s="9"/>
      <c r="H31" s="8"/>
      <c r="I31" s="9"/>
      <c r="J31" s="9"/>
      <c r="K31" s="9"/>
      <c r="L31" s="10"/>
    </row>
    <row r="32" spans="1:12" ht="19.899999999999999" customHeight="1" x14ac:dyDescent="0.25">
      <c r="A32" s="2">
        <f t="shared" si="0"/>
        <v>26</v>
      </c>
      <c r="B32" s="106" t="s">
        <v>17</v>
      </c>
      <c r="C32" s="115">
        <f>IFERROR(VLOOKUP(B32,'DATOS GRALES 1'!$B$2:$C$50,2,0)," ")</f>
        <v>40839932</v>
      </c>
      <c r="D32" s="102">
        <v>45912</v>
      </c>
      <c r="E32" s="104"/>
      <c r="F32" s="102">
        <v>45912</v>
      </c>
      <c r="G32" s="9"/>
      <c r="H32" s="8"/>
      <c r="I32" s="9"/>
      <c r="J32" s="9"/>
      <c r="K32" s="9"/>
      <c r="L32" s="10"/>
    </row>
    <row r="33" spans="1:12" ht="19.899999999999999" customHeight="1" x14ac:dyDescent="0.25">
      <c r="A33" s="2">
        <v>27</v>
      </c>
      <c r="B33" s="106" t="s">
        <v>22</v>
      </c>
      <c r="C33" s="115">
        <f>IFERROR(VLOOKUP(B33,'DATOS GRALES 1'!$B$2:$C$50,2,0)," ")</f>
        <v>70833343</v>
      </c>
      <c r="D33" s="102">
        <v>45912</v>
      </c>
      <c r="E33" s="104"/>
      <c r="F33" s="102">
        <v>45912</v>
      </c>
      <c r="G33" s="9"/>
      <c r="H33" s="8"/>
      <c r="I33" s="9"/>
      <c r="J33" s="9"/>
      <c r="K33" s="9"/>
      <c r="L33" s="10"/>
    </row>
    <row r="34" spans="1:12" ht="19.899999999999999" customHeight="1" x14ac:dyDescent="0.25">
      <c r="A34" s="2">
        <v>28</v>
      </c>
      <c r="B34" s="106" t="s">
        <v>21</v>
      </c>
      <c r="C34" s="115">
        <f>IFERROR(VLOOKUP(B34,'DATOS GRALES 1'!$B$2:$C$50,2,0)," ")</f>
        <v>48492558</v>
      </c>
      <c r="D34" s="102">
        <v>45912</v>
      </c>
      <c r="E34" s="104"/>
      <c r="F34" s="102">
        <v>45912</v>
      </c>
      <c r="G34" s="9"/>
      <c r="H34" s="8"/>
      <c r="I34" s="9"/>
      <c r="J34" s="9"/>
      <c r="K34" s="9"/>
      <c r="L34" s="10"/>
    </row>
    <row r="35" spans="1:12" ht="19.899999999999999" customHeight="1" x14ac:dyDescent="0.25">
      <c r="A35" s="2">
        <v>29</v>
      </c>
      <c r="B35" s="106" t="s">
        <v>25</v>
      </c>
      <c r="C35" s="115">
        <f>IFERROR(VLOOKUP(B35,'DATOS GRALES 1'!$B$2:$C$50,2,0)," ")</f>
        <v>40889884</v>
      </c>
      <c r="D35" s="102">
        <v>45912</v>
      </c>
      <c r="E35" s="104"/>
      <c r="F35" s="102">
        <v>45912</v>
      </c>
      <c r="G35" s="9"/>
      <c r="H35" s="8"/>
      <c r="I35" s="9"/>
      <c r="J35" s="9"/>
      <c r="K35" s="9"/>
      <c r="L35" s="10"/>
    </row>
    <row r="36" spans="1:12" ht="19.899999999999999" customHeight="1" x14ac:dyDescent="0.25">
      <c r="A36" s="2">
        <v>30</v>
      </c>
      <c r="B36" s="106" t="s">
        <v>19</v>
      </c>
      <c r="C36" s="115">
        <f>IFERROR(VLOOKUP(B36,'DATOS GRALES 1'!$B$2:$C$50,2,0)," ")</f>
        <v>40861767</v>
      </c>
      <c r="D36" s="102">
        <v>45912</v>
      </c>
      <c r="E36" s="104"/>
      <c r="F36" s="102">
        <v>45912</v>
      </c>
      <c r="G36" s="9"/>
      <c r="H36" s="8"/>
      <c r="I36" s="9"/>
      <c r="J36" s="9"/>
      <c r="K36" s="9"/>
      <c r="L36" s="10"/>
    </row>
    <row r="37" spans="1:12" ht="19.899999999999999" customHeight="1" x14ac:dyDescent="0.25">
      <c r="A37" s="2">
        <f t="shared" si="0"/>
        <v>31</v>
      </c>
      <c r="B37" s="106" t="s">
        <v>18</v>
      </c>
      <c r="C37" s="115">
        <f>IFERROR(VLOOKUP(B37,'DATOS GRALES 1'!$B$2:$C$50,2,0)," ")</f>
        <v>75396402</v>
      </c>
      <c r="D37" s="102">
        <v>45913</v>
      </c>
      <c r="E37" s="104"/>
      <c r="F37" s="102">
        <v>45913</v>
      </c>
      <c r="G37" s="9"/>
      <c r="H37" s="8"/>
      <c r="I37" s="9"/>
      <c r="J37" s="9"/>
      <c r="K37" s="9"/>
      <c r="L37" s="10"/>
    </row>
    <row r="38" spans="1:12" ht="19.899999999999999" customHeight="1" x14ac:dyDescent="0.25">
      <c r="A38" s="2">
        <f t="shared" si="0"/>
        <v>32</v>
      </c>
      <c r="B38" s="106" t="s">
        <v>16</v>
      </c>
      <c r="C38" s="115">
        <f>IFERROR(VLOOKUP(B38,'DATOS GRALES 1'!$B$2:$C$50,2,0)," ")</f>
        <v>44184914</v>
      </c>
      <c r="D38" s="102">
        <v>45913</v>
      </c>
      <c r="E38" s="104"/>
      <c r="F38" s="102">
        <v>45913</v>
      </c>
      <c r="G38" s="9"/>
      <c r="H38" s="8"/>
      <c r="I38" s="9"/>
      <c r="J38" s="9"/>
      <c r="K38" s="9"/>
      <c r="L38" s="10"/>
    </row>
    <row r="39" spans="1:12" ht="19.899999999999999" customHeight="1" x14ac:dyDescent="0.25">
      <c r="A39" s="2">
        <f t="shared" si="0"/>
        <v>33</v>
      </c>
      <c r="B39" s="106" t="s">
        <v>17</v>
      </c>
      <c r="C39" s="115">
        <f>IFERROR(VLOOKUP(B39,'DATOS GRALES 1'!$B$2:$C$50,2,0)," ")</f>
        <v>40839932</v>
      </c>
      <c r="D39" s="102">
        <v>45913</v>
      </c>
      <c r="E39" s="104"/>
      <c r="F39" s="102">
        <v>45913</v>
      </c>
      <c r="G39" s="9"/>
      <c r="H39" s="8"/>
      <c r="I39" s="9"/>
      <c r="J39" s="9"/>
      <c r="K39" s="9"/>
      <c r="L39" s="10"/>
    </row>
    <row r="40" spans="1:12" ht="19.899999999999999" customHeight="1" x14ac:dyDescent="0.25">
      <c r="A40" s="2">
        <v>34</v>
      </c>
      <c r="B40" s="106" t="s">
        <v>22</v>
      </c>
      <c r="C40" s="115">
        <f>IFERROR(VLOOKUP(B40,'DATOS GRALES 1'!$B$2:$C$50,2,0)," ")</f>
        <v>70833343</v>
      </c>
      <c r="D40" s="102">
        <v>45913</v>
      </c>
      <c r="E40" s="104"/>
      <c r="F40" s="102">
        <v>45913</v>
      </c>
      <c r="G40" s="9"/>
      <c r="H40" s="8"/>
      <c r="I40" s="9"/>
      <c r="J40" s="9"/>
      <c r="K40" s="9"/>
      <c r="L40" s="10"/>
    </row>
    <row r="41" spans="1:12" ht="19.899999999999999" customHeight="1" x14ac:dyDescent="0.25">
      <c r="A41" s="2">
        <v>35</v>
      </c>
      <c r="B41" s="106" t="s">
        <v>21</v>
      </c>
      <c r="C41" s="115">
        <f>IFERROR(VLOOKUP(B41,'DATOS GRALES 1'!$B$2:$C$50,2,0)," ")</f>
        <v>48492558</v>
      </c>
      <c r="D41" s="102">
        <v>45913</v>
      </c>
      <c r="E41" s="104"/>
      <c r="F41" s="102">
        <v>45913</v>
      </c>
      <c r="G41" s="9"/>
      <c r="H41" s="8"/>
      <c r="I41" s="9"/>
      <c r="J41" s="9"/>
      <c r="K41" s="9"/>
      <c r="L41" s="10"/>
    </row>
    <row r="42" spans="1:12" ht="19.899999999999999" customHeight="1" x14ac:dyDescent="0.25">
      <c r="A42" s="2">
        <v>36</v>
      </c>
      <c r="B42" s="106" t="s">
        <v>25</v>
      </c>
      <c r="C42" s="115">
        <f>IFERROR(VLOOKUP(B42,'DATOS GRALES 1'!$B$2:$C$50,2,0)," ")</f>
        <v>40889884</v>
      </c>
      <c r="D42" s="102">
        <v>45913</v>
      </c>
      <c r="E42" s="104"/>
      <c r="F42" s="102">
        <v>45913</v>
      </c>
      <c r="G42" s="9"/>
      <c r="H42" s="8"/>
      <c r="I42" s="9"/>
      <c r="J42" s="9"/>
      <c r="K42" s="9"/>
      <c r="L42" s="10"/>
    </row>
    <row r="43" spans="1:12" ht="19.899999999999999" customHeight="1" x14ac:dyDescent="0.25">
      <c r="A43" s="2">
        <v>37</v>
      </c>
      <c r="B43" s="107" t="s">
        <v>19</v>
      </c>
      <c r="C43" s="115">
        <f>IFERROR(VLOOKUP(B43,'DATOS GRALES 1'!$B$2:$C$50,2,0)," ")</f>
        <v>40861767</v>
      </c>
      <c r="D43" s="102">
        <v>45913</v>
      </c>
      <c r="E43" s="104"/>
      <c r="F43" s="102">
        <v>45913</v>
      </c>
      <c r="G43" s="9"/>
      <c r="H43" s="8"/>
      <c r="I43" s="9"/>
      <c r="J43" s="9"/>
      <c r="K43" s="9"/>
      <c r="L43" s="10"/>
    </row>
    <row r="44" spans="1:12" ht="19.899999999999999" customHeight="1" x14ac:dyDescent="0.25">
      <c r="A44" s="2">
        <v>38</v>
      </c>
      <c r="B44" s="107" t="s">
        <v>18</v>
      </c>
      <c r="C44" s="115">
        <f>IFERROR(VLOOKUP(B44,'DATOS GRALES 1'!$B$2:$C$50,2,0)," ")</f>
        <v>75396402</v>
      </c>
      <c r="D44" s="102">
        <v>45915</v>
      </c>
      <c r="E44" s="104"/>
      <c r="F44" s="102">
        <v>45915</v>
      </c>
      <c r="G44" s="9"/>
      <c r="H44" s="8"/>
      <c r="I44" s="9"/>
      <c r="J44" s="9"/>
      <c r="K44" s="9"/>
      <c r="L44" s="10"/>
    </row>
    <row r="45" spans="1:12" ht="19.899999999999999" customHeight="1" x14ac:dyDescent="0.25">
      <c r="A45" s="2">
        <v>39</v>
      </c>
      <c r="B45" s="106" t="s">
        <v>16</v>
      </c>
      <c r="C45" s="115">
        <f>IFERROR(VLOOKUP(B45,'DATOS GRALES 1'!$B$2:$C$50,2,0)," ")</f>
        <v>44184914</v>
      </c>
      <c r="D45" s="102">
        <v>45915</v>
      </c>
      <c r="E45" s="104"/>
      <c r="F45" s="102">
        <v>45915</v>
      </c>
      <c r="G45" s="9"/>
      <c r="H45" s="8"/>
      <c r="I45" s="9"/>
      <c r="J45" s="9"/>
      <c r="K45" s="9"/>
      <c r="L45" s="10"/>
    </row>
    <row r="46" spans="1:12" ht="19.899999999999999" customHeight="1" x14ac:dyDescent="0.25">
      <c r="A46" s="1">
        <v>40</v>
      </c>
      <c r="B46" s="107" t="s">
        <v>17</v>
      </c>
      <c r="C46" s="115">
        <f>IFERROR(VLOOKUP(B46,'DATOS GRALES 1'!$B$2:$C$50,2,0)," ")</f>
        <v>40839932</v>
      </c>
      <c r="D46" s="102">
        <v>45915</v>
      </c>
      <c r="E46" s="104"/>
      <c r="F46" s="102">
        <v>45915</v>
      </c>
      <c r="G46" s="9"/>
      <c r="H46" s="8"/>
      <c r="I46" s="9"/>
      <c r="J46" s="9"/>
      <c r="K46" s="9"/>
      <c r="L46" s="10"/>
    </row>
    <row r="47" spans="1:12" ht="19.899999999999999" customHeight="1" x14ac:dyDescent="0.25">
      <c r="A47" s="1">
        <v>41</v>
      </c>
      <c r="B47" s="106" t="s">
        <v>22</v>
      </c>
      <c r="C47" s="115">
        <f>IFERROR(VLOOKUP(B47,'DATOS GRALES 1'!$B$2:$C$50,2,0)," ")</f>
        <v>70833343</v>
      </c>
      <c r="D47" s="102">
        <v>45915</v>
      </c>
      <c r="E47" s="108"/>
      <c r="F47" s="102">
        <v>45915</v>
      </c>
      <c r="G47" s="4"/>
      <c r="H47" s="4"/>
      <c r="I47" s="4"/>
      <c r="J47" s="1"/>
      <c r="K47" s="1"/>
      <c r="L47" s="1"/>
    </row>
    <row r="48" spans="1:12" ht="19.899999999999999" customHeight="1" x14ac:dyDescent="0.25">
      <c r="A48" s="1">
        <v>42</v>
      </c>
      <c r="B48" s="106" t="s">
        <v>21</v>
      </c>
      <c r="C48" s="115">
        <f>IFERROR(VLOOKUP(B48,'DATOS GRALES 1'!$B$2:$C$50,2,0)," ")</f>
        <v>48492558</v>
      </c>
      <c r="D48" s="102">
        <v>45915</v>
      </c>
      <c r="E48" s="108"/>
      <c r="F48" s="102">
        <v>45915</v>
      </c>
      <c r="G48" s="4"/>
      <c r="H48" s="4"/>
      <c r="I48" s="4"/>
      <c r="J48" s="1"/>
      <c r="K48" s="1"/>
      <c r="L48" s="1"/>
    </row>
    <row r="49" spans="1:12" ht="19.899999999999999" customHeight="1" x14ac:dyDescent="0.25">
      <c r="A49" s="1">
        <v>43</v>
      </c>
      <c r="B49" s="106" t="s">
        <v>25</v>
      </c>
      <c r="C49" s="115">
        <f>IFERROR(VLOOKUP(B49,'DATOS GRALES 1'!$B$2:$C$50,2,0)," ")</f>
        <v>40889884</v>
      </c>
      <c r="D49" s="102">
        <v>45915</v>
      </c>
      <c r="E49" s="108"/>
      <c r="F49" s="102">
        <v>45915</v>
      </c>
      <c r="G49" s="4"/>
      <c r="H49" s="4"/>
      <c r="I49" s="4"/>
      <c r="J49" s="1"/>
      <c r="K49" s="1"/>
      <c r="L49" s="1"/>
    </row>
    <row r="50" spans="1:12" ht="19.899999999999999" customHeight="1" x14ac:dyDescent="0.25">
      <c r="A50" s="1">
        <v>44</v>
      </c>
      <c r="B50" s="106" t="s">
        <v>19</v>
      </c>
      <c r="C50" s="115">
        <f>IFERROR(VLOOKUP(B50,'DATOS GRALES 1'!$B$2:$C$50,2,0)," ")</f>
        <v>40861767</v>
      </c>
      <c r="D50" s="102">
        <v>45915</v>
      </c>
      <c r="E50" s="108"/>
      <c r="F50" s="102">
        <v>45915</v>
      </c>
      <c r="G50" s="4"/>
      <c r="H50" s="4"/>
      <c r="I50" s="4"/>
      <c r="J50" s="1"/>
      <c r="K50" s="1"/>
      <c r="L50" s="1"/>
    </row>
    <row r="51" spans="1:12" ht="19.899999999999999" customHeight="1" x14ac:dyDescent="0.25">
      <c r="A51" s="1">
        <v>45</v>
      </c>
      <c r="B51" s="105" t="s">
        <v>104</v>
      </c>
      <c r="C51" s="115" t="str">
        <f>IFERROR(VLOOKUP(B51,'DATOS GRALES 1'!$B$2:$C$50,2,0)," ")</f>
        <v>00515241</v>
      </c>
      <c r="D51" s="109">
        <v>45915</v>
      </c>
      <c r="E51" s="108"/>
      <c r="F51" s="109">
        <v>45915</v>
      </c>
      <c r="G51" s="4"/>
      <c r="H51" s="4"/>
      <c r="I51" s="4"/>
      <c r="J51" s="1"/>
      <c r="K51" s="1"/>
      <c r="L51" s="1"/>
    </row>
    <row r="52" spans="1:12" ht="19.899999999999999" customHeight="1" x14ac:dyDescent="0.25">
      <c r="A52" s="1">
        <v>46</v>
      </c>
      <c r="B52" s="105" t="s">
        <v>106</v>
      </c>
      <c r="C52" s="115">
        <f>IFERROR(VLOOKUP(B52,'DATOS GRALES 1'!$B$2:$C$50,2,0)," ")</f>
        <v>44723682</v>
      </c>
      <c r="D52" s="109">
        <v>45915</v>
      </c>
      <c r="E52" s="108"/>
      <c r="F52" s="109">
        <v>45915</v>
      </c>
      <c r="G52" s="4"/>
      <c r="H52" s="4"/>
      <c r="I52" s="4"/>
      <c r="J52" s="1"/>
      <c r="K52" s="1"/>
      <c r="L52" s="1"/>
    </row>
    <row r="53" spans="1:12" ht="19.899999999999999" customHeight="1" x14ac:dyDescent="0.25">
      <c r="A53" s="1">
        <v>47</v>
      </c>
      <c r="B53" s="105" t="s">
        <v>18</v>
      </c>
      <c r="C53" s="115">
        <f>IFERROR(VLOOKUP(B53,'DATOS GRALES 1'!$B$2:$C$50,2,0)," ")</f>
        <v>75396402</v>
      </c>
      <c r="D53" s="109">
        <v>45916</v>
      </c>
      <c r="E53" s="108"/>
      <c r="F53" s="109">
        <v>45916</v>
      </c>
      <c r="G53" s="4"/>
      <c r="H53" s="4"/>
      <c r="I53" s="4"/>
      <c r="J53" s="1"/>
      <c r="K53" s="1"/>
      <c r="L53" s="1"/>
    </row>
    <row r="54" spans="1:12" ht="19.899999999999999" customHeight="1" x14ac:dyDescent="0.25">
      <c r="A54" s="1">
        <v>48</v>
      </c>
      <c r="B54" s="105" t="s">
        <v>16</v>
      </c>
      <c r="C54" s="115">
        <f>IFERROR(VLOOKUP(B54,'DATOS GRALES 1'!$B$2:$C$50,2,0)," ")</f>
        <v>44184914</v>
      </c>
      <c r="D54" s="109">
        <v>45916</v>
      </c>
      <c r="E54" s="108"/>
      <c r="F54" s="109">
        <v>45916</v>
      </c>
      <c r="G54" s="4"/>
      <c r="H54" s="4"/>
      <c r="I54" s="4"/>
      <c r="J54" s="1"/>
      <c r="K54" s="1"/>
      <c r="L54" s="1"/>
    </row>
    <row r="55" spans="1:12" ht="19.899999999999999" customHeight="1" x14ac:dyDescent="0.25">
      <c r="A55" s="1">
        <v>49</v>
      </c>
      <c r="B55" s="105" t="s">
        <v>17</v>
      </c>
      <c r="C55" s="115">
        <f>IFERROR(VLOOKUP(B55,'DATOS GRALES 1'!$B$2:$C$50,2,0)," ")</f>
        <v>40839932</v>
      </c>
      <c r="D55" s="109">
        <v>45916</v>
      </c>
      <c r="E55" s="108"/>
      <c r="F55" s="109">
        <v>45916</v>
      </c>
      <c r="G55" s="4"/>
      <c r="H55" s="4"/>
      <c r="I55" s="4"/>
      <c r="J55" s="1"/>
      <c r="K55" s="1"/>
      <c r="L55" s="1"/>
    </row>
    <row r="56" spans="1:12" ht="19.899999999999999" customHeight="1" x14ac:dyDescent="0.25">
      <c r="A56" s="1">
        <v>50</v>
      </c>
      <c r="B56" s="105" t="s">
        <v>22</v>
      </c>
      <c r="C56" s="115">
        <f>IFERROR(VLOOKUP(B56,'DATOS GRALES 1'!$B$2:$C$50,2,0)," ")</f>
        <v>70833343</v>
      </c>
      <c r="D56" s="109">
        <v>45916</v>
      </c>
      <c r="E56" s="108"/>
      <c r="F56" s="109">
        <v>45916</v>
      </c>
      <c r="G56" s="4"/>
      <c r="H56" s="4"/>
      <c r="I56" s="4"/>
      <c r="J56" s="1"/>
      <c r="K56" s="1"/>
      <c r="L56" s="1"/>
    </row>
    <row r="57" spans="1:12" ht="19.899999999999999" customHeight="1" x14ac:dyDescent="0.25">
      <c r="A57" s="1">
        <v>51</v>
      </c>
      <c r="B57" s="105" t="s">
        <v>21</v>
      </c>
      <c r="C57" s="115">
        <f>IFERROR(VLOOKUP(B57,'DATOS GRALES 1'!$B$2:$C$50,2,0)," ")</f>
        <v>48492558</v>
      </c>
      <c r="D57" s="109">
        <v>45916</v>
      </c>
      <c r="E57" s="108"/>
      <c r="F57" s="109">
        <v>45916</v>
      </c>
      <c r="G57" s="4"/>
      <c r="H57" s="4"/>
      <c r="I57" s="4"/>
      <c r="J57" s="1"/>
      <c r="K57" s="1"/>
      <c r="L57" s="1"/>
    </row>
    <row r="58" spans="1:12" ht="19.899999999999999" customHeight="1" x14ac:dyDescent="0.25">
      <c r="A58" s="1">
        <v>52</v>
      </c>
      <c r="B58" s="105" t="s">
        <v>25</v>
      </c>
      <c r="C58" s="115">
        <f>IFERROR(VLOOKUP(B58,'DATOS GRALES 1'!$B$2:$C$50,2,0)," ")</f>
        <v>40889884</v>
      </c>
      <c r="D58" s="109">
        <v>45916</v>
      </c>
      <c r="E58" s="108"/>
      <c r="F58" s="109">
        <v>45916</v>
      </c>
      <c r="G58" s="4"/>
      <c r="H58" s="4"/>
      <c r="I58" s="4"/>
      <c r="J58" s="1"/>
      <c r="K58" s="1"/>
      <c r="L58" s="1"/>
    </row>
    <row r="59" spans="1:12" ht="19.899999999999999" customHeight="1" x14ac:dyDescent="0.25">
      <c r="A59" s="1">
        <v>53</v>
      </c>
      <c r="B59" s="105" t="s">
        <v>19</v>
      </c>
      <c r="C59" s="115">
        <f>IFERROR(VLOOKUP(B59,'DATOS GRALES 1'!$B$2:$C$50,2,0)," ")</f>
        <v>40861767</v>
      </c>
      <c r="D59" s="109">
        <v>45916</v>
      </c>
      <c r="E59" s="108"/>
      <c r="F59" s="109">
        <v>45916</v>
      </c>
      <c r="G59" s="4"/>
      <c r="H59" s="4"/>
      <c r="I59" s="4"/>
      <c r="J59" s="1"/>
      <c r="K59" s="1"/>
      <c r="L59" s="1"/>
    </row>
    <row r="60" spans="1:12" ht="19.899999999999999" customHeight="1" x14ac:dyDescent="0.25">
      <c r="A60" s="1">
        <v>54</v>
      </c>
      <c r="B60" s="105" t="s">
        <v>104</v>
      </c>
      <c r="C60" s="115" t="str">
        <f>IFERROR(VLOOKUP(B60,'DATOS GRALES 1'!$B$2:$C$50,2,0)," ")</f>
        <v>00515241</v>
      </c>
      <c r="D60" s="109">
        <v>45916</v>
      </c>
      <c r="E60" s="108"/>
      <c r="F60" s="109">
        <v>45916</v>
      </c>
      <c r="G60" s="4"/>
      <c r="H60" s="4"/>
      <c r="I60" s="4"/>
      <c r="J60" s="1"/>
      <c r="K60" s="1"/>
      <c r="L60" s="1"/>
    </row>
    <row r="61" spans="1:12" ht="19.899999999999999" customHeight="1" x14ac:dyDescent="0.25">
      <c r="A61" s="1">
        <v>55</v>
      </c>
      <c r="B61" s="105" t="s">
        <v>106</v>
      </c>
      <c r="C61" s="115">
        <f>IFERROR(VLOOKUP(B61,'DATOS GRALES 1'!$B$2:$C$50,2,0)," ")</f>
        <v>44723682</v>
      </c>
      <c r="D61" s="109">
        <v>45916</v>
      </c>
      <c r="E61" s="108"/>
      <c r="F61" s="109">
        <v>45916</v>
      </c>
      <c r="G61" s="4"/>
      <c r="H61" s="4"/>
      <c r="I61" s="4"/>
      <c r="J61" s="1"/>
      <c r="K61" s="1"/>
      <c r="L61" s="1"/>
    </row>
    <row r="62" spans="1:12" ht="19.899999999999999" customHeight="1" x14ac:dyDescent="0.25">
      <c r="A62" s="1">
        <v>56</v>
      </c>
      <c r="B62" s="105" t="s">
        <v>18</v>
      </c>
      <c r="C62" s="115">
        <f>IFERROR(VLOOKUP(B62,'DATOS GRALES 1'!$B$2:$C$50,2,0)," ")</f>
        <v>75396402</v>
      </c>
      <c r="D62" s="109">
        <v>45917</v>
      </c>
      <c r="E62" s="108"/>
      <c r="F62" s="109">
        <v>45917</v>
      </c>
      <c r="G62" s="4"/>
      <c r="H62" s="4"/>
      <c r="I62" s="4"/>
      <c r="J62" s="1"/>
      <c r="K62" s="1"/>
      <c r="L62" s="1"/>
    </row>
    <row r="63" spans="1:12" ht="19.899999999999999" customHeight="1" x14ac:dyDescent="0.25">
      <c r="A63" s="1">
        <v>57</v>
      </c>
      <c r="B63" s="105" t="s">
        <v>16</v>
      </c>
      <c r="C63" s="115">
        <f>IFERROR(VLOOKUP(B63,'DATOS GRALES 1'!$B$2:$C$50,2,0)," ")</f>
        <v>44184914</v>
      </c>
      <c r="D63" s="109">
        <v>45917</v>
      </c>
      <c r="E63" s="108"/>
      <c r="F63" s="109">
        <v>45917</v>
      </c>
      <c r="G63" s="4"/>
      <c r="H63" s="4"/>
      <c r="I63" s="4"/>
      <c r="J63" s="1"/>
      <c r="K63" s="1"/>
      <c r="L63" s="1"/>
    </row>
    <row r="64" spans="1:12" ht="19.899999999999999" customHeight="1" x14ac:dyDescent="0.25">
      <c r="A64" s="1">
        <v>58</v>
      </c>
      <c r="B64" s="105" t="s">
        <v>17</v>
      </c>
      <c r="C64" s="115">
        <f>IFERROR(VLOOKUP(B64,'DATOS GRALES 1'!$B$2:$C$50,2,0)," ")</f>
        <v>40839932</v>
      </c>
      <c r="D64" s="109">
        <v>45917</v>
      </c>
      <c r="E64" s="108"/>
      <c r="F64" s="109">
        <v>45917</v>
      </c>
      <c r="G64" s="4"/>
      <c r="H64" s="4"/>
      <c r="I64" s="4"/>
      <c r="J64" s="1"/>
      <c r="K64" s="1"/>
      <c r="L64" s="1"/>
    </row>
    <row r="65" spans="1:12" ht="19.899999999999999" customHeight="1" x14ac:dyDescent="0.25">
      <c r="A65" s="1">
        <v>59</v>
      </c>
      <c r="B65" s="105" t="s">
        <v>22</v>
      </c>
      <c r="C65" s="115">
        <f>IFERROR(VLOOKUP(B65,'DATOS GRALES 1'!$B$2:$C$50,2,0)," ")</f>
        <v>70833343</v>
      </c>
      <c r="D65" s="109">
        <v>45917</v>
      </c>
      <c r="E65" s="108"/>
      <c r="F65" s="109">
        <v>45917</v>
      </c>
      <c r="G65" s="4"/>
      <c r="H65" s="4"/>
      <c r="I65" s="4"/>
      <c r="J65" s="1"/>
      <c r="K65" s="1"/>
      <c r="L65" s="1"/>
    </row>
    <row r="66" spans="1:12" ht="19.899999999999999" customHeight="1" x14ac:dyDescent="0.25">
      <c r="A66" s="1">
        <v>60</v>
      </c>
      <c r="B66" s="105" t="s">
        <v>21</v>
      </c>
      <c r="C66" s="115">
        <f>IFERROR(VLOOKUP(B66,'DATOS GRALES 1'!$B$2:$C$50,2,0)," ")</f>
        <v>48492558</v>
      </c>
      <c r="D66" s="109">
        <v>45917</v>
      </c>
      <c r="E66" s="108"/>
      <c r="F66" s="109">
        <v>45917</v>
      </c>
      <c r="G66" s="4"/>
      <c r="H66" s="4"/>
      <c r="I66" s="4"/>
      <c r="J66" s="1"/>
      <c r="K66" s="1"/>
      <c r="L66" s="1"/>
    </row>
    <row r="67" spans="1:12" ht="19.899999999999999" customHeight="1" x14ac:dyDescent="0.25">
      <c r="A67" s="1">
        <v>61</v>
      </c>
      <c r="B67" s="105" t="s">
        <v>25</v>
      </c>
      <c r="C67" s="115">
        <f>IFERROR(VLOOKUP(B67,'DATOS GRALES 1'!$B$2:$C$50,2,0)," ")</f>
        <v>40889884</v>
      </c>
      <c r="D67" s="109">
        <v>45917</v>
      </c>
      <c r="E67" s="108"/>
      <c r="F67" s="109">
        <v>45917</v>
      </c>
      <c r="G67" s="4"/>
      <c r="H67" s="4"/>
      <c r="I67" s="4"/>
      <c r="J67" s="1"/>
      <c r="K67" s="1"/>
      <c r="L67" s="1"/>
    </row>
    <row r="68" spans="1:12" ht="19.899999999999999" customHeight="1" x14ac:dyDescent="0.25">
      <c r="A68" s="1">
        <v>62</v>
      </c>
      <c r="B68" s="105" t="s">
        <v>19</v>
      </c>
      <c r="C68" s="115">
        <f>IFERROR(VLOOKUP(B68,'DATOS GRALES 1'!$B$2:$C$50,2,0)," ")</f>
        <v>40861767</v>
      </c>
      <c r="D68" s="109">
        <v>45917</v>
      </c>
      <c r="E68" s="108"/>
      <c r="F68" s="109">
        <v>45917</v>
      </c>
      <c r="G68" s="4"/>
      <c r="H68" s="4"/>
      <c r="I68" s="4"/>
      <c r="J68" s="1"/>
      <c r="K68" s="1"/>
      <c r="L68" s="1"/>
    </row>
    <row r="69" spans="1:12" ht="19.899999999999999" customHeight="1" x14ac:dyDescent="0.25">
      <c r="A69" s="1">
        <v>63</v>
      </c>
      <c r="B69" s="105" t="s">
        <v>104</v>
      </c>
      <c r="C69" s="115" t="str">
        <f>IFERROR(VLOOKUP(B69,'DATOS GRALES 1'!$B$2:$C$50,2,0)," ")</f>
        <v>00515241</v>
      </c>
      <c r="D69" s="109">
        <v>45917</v>
      </c>
      <c r="E69" s="108"/>
      <c r="F69" s="109">
        <v>45917</v>
      </c>
      <c r="G69" s="4"/>
      <c r="H69" s="4"/>
      <c r="I69" s="4"/>
      <c r="J69" s="1"/>
      <c r="K69" s="1"/>
      <c r="L69" s="1"/>
    </row>
    <row r="70" spans="1:12" ht="19.899999999999999" customHeight="1" x14ac:dyDescent="0.25">
      <c r="A70" s="1">
        <v>64</v>
      </c>
      <c r="B70" s="105" t="s">
        <v>106</v>
      </c>
      <c r="C70" s="115">
        <f>IFERROR(VLOOKUP(B70,'DATOS GRALES 1'!$B$2:$C$50,2,0)," ")</f>
        <v>44723682</v>
      </c>
      <c r="D70" s="109">
        <v>45917</v>
      </c>
      <c r="E70" s="108"/>
      <c r="F70" s="109">
        <v>45917</v>
      </c>
      <c r="G70" s="4"/>
      <c r="H70" s="4"/>
      <c r="I70" s="4"/>
      <c r="J70" s="1"/>
      <c r="K70" s="1"/>
      <c r="L70" s="1"/>
    </row>
    <row r="71" spans="1:12" ht="19.899999999999999" customHeight="1" x14ac:dyDescent="0.25">
      <c r="A71" s="1">
        <v>65</v>
      </c>
      <c r="B71" s="100"/>
      <c r="C71" s="115" t="str">
        <f>IFERROR(VLOOKUP(B71,'DATOS GRALES 1'!$B$2:$C$50,2,0)," ")</f>
        <v xml:space="preserve"> </v>
      </c>
      <c r="D71" s="16"/>
      <c r="E71" s="4"/>
      <c r="F71" s="16"/>
      <c r="G71" s="4"/>
      <c r="H71" s="4"/>
      <c r="I71" s="4"/>
      <c r="J71" s="1"/>
      <c r="K71" s="1"/>
      <c r="L71" s="1"/>
    </row>
    <row r="72" spans="1:12" ht="19.899999999999999" customHeight="1" x14ac:dyDescent="0.25">
      <c r="A72" s="1">
        <v>66</v>
      </c>
      <c r="B72" s="100"/>
      <c r="C72" s="115" t="str">
        <f>IFERROR(VLOOKUP(B72,'DATOS GRALES 1'!$B$2:$C$50,2,0)," ")</f>
        <v xml:space="preserve"> </v>
      </c>
      <c r="D72" s="16"/>
      <c r="E72" s="4"/>
      <c r="F72" s="16"/>
      <c r="G72" s="4"/>
      <c r="H72" s="4"/>
      <c r="I72" s="4"/>
      <c r="J72" s="1"/>
      <c r="K72" s="1"/>
      <c r="L72" s="1"/>
    </row>
    <row r="73" spans="1:12" ht="19.899999999999999" customHeight="1" x14ac:dyDescent="0.25">
      <c r="A73" s="1">
        <v>67</v>
      </c>
      <c r="B73" s="100"/>
      <c r="C73" s="115" t="str">
        <f>IFERROR(VLOOKUP(B73,'DATOS GRALES 1'!$B$2:$C$50,2,0)," ")</f>
        <v xml:space="preserve"> </v>
      </c>
      <c r="D73" s="16"/>
      <c r="E73" s="4"/>
      <c r="F73" s="16"/>
      <c r="G73" s="4"/>
      <c r="H73" s="4"/>
      <c r="I73" s="4"/>
      <c r="J73" s="1"/>
      <c r="K73" s="1"/>
      <c r="L73" s="1"/>
    </row>
    <row r="74" spans="1:12" ht="19.899999999999999" customHeight="1" x14ac:dyDescent="0.25">
      <c r="A74" s="1">
        <v>68</v>
      </c>
      <c r="B74" s="100"/>
      <c r="C74" s="115" t="str">
        <f>IFERROR(VLOOKUP(B74,'DATOS GRALES 1'!$B$2:$C$50,2,0)," ")</f>
        <v xml:space="preserve"> </v>
      </c>
      <c r="D74" s="16"/>
      <c r="E74" s="4"/>
      <c r="F74" s="16"/>
      <c r="G74" s="4"/>
      <c r="H74" s="4"/>
      <c r="I74" s="4"/>
      <c r="J74" s="1"/>
      <c r="K74" s="1"/>
      <c r="L74" s="1"/>
    </row>
    <row r="75" spans="1:12" ht="19.899999999999999" customHeight="1" x14ac:dyDescent="0.25">
      <c r="A75" s="1">
        <v>69</v>
      </c>
      <c r="B75" s="100"/>
      <c r="C75" s="115" t="str">
        <f>IFERROR(VLOOKUP(B75,'DATOS GRALES 1'!$B$2:$C$50,2,0)," ")</f>
        <v xml:space="preserve"> </v>
      </c>
      <c r="D75" s="16"/>
      <c r="E75" s="4"/>
      <c r="F75" s="16"/>
      <c r="G75" s="4"/>
      <c r="H75" s="4"/>
      <c r="I75" s="4"/>
      <c r="J75" s="1"/>
      <c r="K75" s="1"/>
      <c r="L75" s="1"/>
    </row>
    <row r="76" spans="1:12" ht="19.899999999999999" customHeight="1" x14ac:dyDescent="0.25">
      <c r="A76" s="1">
        <v>70</v>
      </c>
      <c r="B76" s="100"/>
      <c r="C76" s="115" t="str">
        <f>IFERROR(VLOOKUP(B76,'DATOS GRALES 1'!$B$2:$C$50,2,0)," ")</f>
        <v xml:space="preserve"> </v>
      </c>
      <c r="D76" s="16"/>
      <c r="E76" s="4"/>
      <c r="F76" s="16"/>
      <c r="G76" s="4"/>
      <c r="H76" s="4"/>
      <c r="I76" s="4"/>
      <c r="J76" s="1"/>
      <c r="K76" s="1"/>
      <c r="L76" s="1"/>
    </row>
    <row r="77" spans="1:12" ht="19.899999999999999" customHeight="1" x14ac:dyDescent="0.25">
      <c r="A77" s="1">
        <v>71</v>
      </c>
      <c r="B77" s="100"/>
      <c r="C77" s="115" t="str">
        <f>IFERROR(VLOOKUP(B77,'DATOS GRALES 1'!$B$2:$C$50,2,0)," ")</f>
        <v xml:space="preserve"> </v>
      </c>
      <c r="D77" s="16"/>
      <c r="E77" s="4"/>
      <c r="F77" s="16"/>
      <c r="G77" s="4"/>
      <c r="H77" s="4"/>
      <c r="I77" s="4"/>
      <c r="J77" s="1"/>
      <c r="K77" s="1"/>
      <c r="L77" s="1"/>
    </row>
    <row r="78" spans="1:12" ht="19.899999999999999" customHeight="1" x14ac:dyDescent="0.25">
      <c r="A78" s="1">
        <v>72</v>
      </c>
      <c r="B78" s="100"/>
      <c r="C78" s="115" t="str">
        <f>IFERROR(VLOOKUP(B78,'DATOS GRALES 1'!$B$2:$C$50,2,0)," ")</f>
        <v xml:space="preserve"> </v>
      </c>
      <c r="D78" s="16"/>
      <c r="E78" s="4"/>
      <c r="F78" s="16"/>
      <c r="G78" s="4"/>
      <c r="H78" s="4"/>
      <c r="I78" s="4"/>
      <c r="J78" s="1"/>
      <c r="K78" s="1"/>
      <c r="L78" s="1"/>
    </row>
    <row r="79" spans="1:12" ht="19.899999999999999" customHeight="1" x14ac:dyDescent="0.25">
      <c r="A79" s="1">
        <v>73</v>
      </c>
      <c r="B79" s="100"/>
      <c r="C79" s="115" t="str">
        <f>IFERROR(VLOOKUP(B79,'DATOS GRALES 1'!$B$2:$C$50,2,0)," ")</f>
        <v xml:space="preserve"> </v>
      </c>
      <c r="D79" s="16"/>
      <c r="E79" s="4"/>
      <c r="F79" s="16"/>
      <c r="G79" s="4"/>
      <c r="H79" s="4"/>
      <c r="I79" s="4"/>
      <c r="J79" s="1"/>
      <c r="K79" s="1"/>
      <c r="L79" s="1"/>
    </row>
    <row r="80" spans="1:12" ht="19.899999999999999" customHeight="1" x14ac:dyDescent="0.25">
      <c r="A80" s="1">
        <v>74</v>
      </c>
      <c r="B80" s="100"/>
      <c r="C80" s="115" t="str">
        <f>IFERROR(VLOOKUP(B80,'DATOS GRALES 1'!$B$2:$C$50,2,0)," ")</f>
        <v xml:space="preserve"> </v>
      </c>
      <c r="D80" s="16"/>
      <c r="E80" s="4"/>
      <c r="F80" s="16"/>
      <c r="G80" s="4"/>
      <c r="H80" s="4"/>
      <c r="I80" s="4"/>
      <c r="J80" s="1"/>
      <c r="K80" s="1"/>
      <c r="L80" s="1"/>
    </row>
    <row r="81" spans="1:12" ht="19.899999999999999" customHeight="1" x14ac:dyDescent="0.25">
      <c r="A81" s="1">
        <v>75</v>
      </c>
      <c r="B81" s="100"/>
      <c r="C81" s="115" t="str">
        <f>IFERROR(VLOOKUP(B81,'DATOS GRALES 1'!$B$2:$C$50,2,0)," ")</f>
        <v xml:space="preserve"> </v>
      </c>
      <c r="D81" s="16"/>
      <c r="E81" s="4"/>
      <c r="F81" s="16"/>
      <c r="G81" s="4"/>
      <c r="H81" s="4"/>
      <c r="I81" s="4"/>
      <c r="J81" s="1"/>
      <c r="K81" s="1"/>
      <c r="L81" s="1"/>
    </row>
    <row r="82" spans="1:12" ht="19.899999999999999" customHeight="1" x14ac:dyDescent="0.25">
      <c r="A82" s="1">
        <v>76</v>
      </c>
      <c r="B82" s="100"/>
      <c r="C82" s="115" t="str">
        <f>IFERROR(VLOOKUP(B82,'DATOS GRALES 1'!$B$2:$C$50,2,0)," ")</f>
        <v xml:space="preserve"> </v>
      </c>
      <c r="D82" s="16"/>
      <c r="E82" s="4"/>
      <c r="F82" s="16"/>
      <c r="G82" s="4"/>
      <c r="H82" s="4"/>
      <c r="I82" s="4"/>
      <c r="J82" s="1"/>
      <c r="K82" s="1"/>
      <c r="L82" s="1"/>
    </row>
    <row r="83" spans="1:12" ht="19.899999999999999" customHeight="1" x14ac:dyDescent="0.25">
      <c r="A83" s="1">
        <v>77</v>
      </c>
      <c r="B83" s="100"/>
      <c r="C83" s="115" t="str">
        <f>IFERROR(VLOOKUP(B83,'DATOS GRALES 1'!$B$2:$C$50,2,0)," ")</f>
        <v xml:space="preserve"> </v>
      </c>
      <c r="D83" s="16"/>
      <c r="E83" s="4"/>
      <c r="F83" s="16"/>
      <c r="G83" s="4"/>
      <c r="H83" s="4"/>
      <c r="I83" s="4"/>
      <c r="J83" s="1"/>
      <c r="K83" s="1"/>
      <c r="L83" s="1"/>
    </row>
  </sheetData>
  <mergeCells count="18">
    <mergeCell ref="K4:K6"/>
    <mergeCell ref="L4:L6"/>
    <mergeCell ref="D5:D6"/>
    <mergeCell ref="E5:E6"/>
    <mergeCell ref="F5:F6"/>
    <mergeCell ref="G5:G6"/>
    <mergeCell ref="J5:J6"/>
    <mergeCell ref="B1:B3"/>
    <mergeCell ref="A1:A3"/>
    <mergeCell ref="C1:L1"/>
    <mergeCell ref="C2:L2"/>
    <mergeCell ref="C3:L3"/>
    <mergeCell ref="A4:A6"/>
    <mergeCell ref="D4:E4"/>
    <mergeCell ref="F4:G4"/>
    <mergeCell ref="H4:I4"/>
    <mergeCell ref="B5:B6"/>
    <mergeCell ref="C4:C6"/>
  </mergeCells>
  <pageMargins left="0.11811023622047245" right="0.23622047244094491" top="0.55000000000000004" bottom="0.21" header="0.31496062992125984" footer="0.16"/>
  <pageSetup paperSize="9" scale="31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CB1BBF3-DAF8-40FB-B8CD-96DF82696678}">
          <x14:formula1>
            <xm:f>'DATOS GRALES 1'!$B$2:$B$36</xm:f>
          </x14:formula1>
          <xm:sqref>B7:B668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D7B1F-1C23-495F-9B8B-EDBD49D7AB96}">
  <sheetPr codeName="Hoja4">
    <pageSetUpPr fitToPage="1"/>
  </sheetPr>
  <dimension ref="A1:L41"/>
  <sheetViews>
    <sheetView zoomScaleNormal="100" workbookViewId="0">
      <selection activeCell="B7" sqref="B7"/>
    </sheetView>
  </sheetViews>
  <sheetFormatPr baseColWidth="10" defaultColWidth="10.7109375" defaultRowHeight="15" x14ac:dyDescent="0.25"/>
  <cols>
    <col min="1" max="1" width="3.7109375" customWidth="1"/>
    <col min="2" max="2" width="37.7109375" customWidth="1"/>
    <col min="3" max="3" width="9.28515625" customWidth="1"/>
    <col min="4" max="4" width="9.7109375" customWidth="1"/>
    <col min="6" max="6" width="10.140625" customWidth="1"/>
    <col min="11" max="11" width="12.28515625" customWidth="1"/>
    <col min="12" max="12" width="18.7109375" customWidth="1"/>
  </cols>
  <sheetData>
    <row r="1" spans="1:12" ht="30" x14ac:dyDescent="0.4">
      <c r="A1" s="268"/>
      <c r="B1" s="266"/>
      <c r="C1" s="270" t="s">
        <v>0</v>
      </c>
      <c r="D1" s="270"/>
      <c r="E1" s="270"/>
      <c r="F1" s="270"/>
      <c r="G1" s="270"/>
      <c r="H1" s="270"/>
      <c r="I1" s="270"/>
      <c r="J1" s="270"/>
      <c r="K1" s="270"/>
      <c r="L1" s="270"/>
    </row>
    <row r="2" spans="1:12" ht="20.25" x14ac:dyDescent="0.3">
      <c r="A2" s="268"/>
      <c r="B2" s="266"/>
      <c r="C2" s="271" t="s">
        <v>23</v>
      </c>
      <c r="D2" s="271"/>
      <c r="E2" s="271"/>
      <c r="F2" s="271"/>
      <c r="G2" s="271"/>
      <c r="H2" s="271"/>
      <c r="I2" s="271"/>
      <c r="J2" s="271"/>
      <c r="K2" s="271"/>
      <c r="L2" s="271"/>
    </row>
    <row r="3" spans="1:12" ht="20.25" x14ac:dyDescent="0.3">
      <c r="A3" s="269"/>
      <c r="B3" s="267"/>
      <c r="C3" s="272" t="s">
        <v>24</v>
      </c>
      <c r="D3" s="272"/>
      <c r="E3" s="272"/>
      <c r="F3" s="272"/>
      <c r="G3" s="272"/>
      <c r="H3" s="272"/>
      <c r="I3" s="272"/>
      <c r="J3" s="272"/>
      <c r="K3" s="272"/>
      <c r="L3" s="272"/>
    </row>
    <row r="4" spans="1:12" x14ac:dyDescent="0.25">
      <c r="A4" s="260" t="s">
        <v>1</v>
      </c>
      <c r="B4" s="14" t="s">
        <v>2</v>
      </c>
      <c r="C4" s="263" t="s">
        <v>3</v>
      </c>
      <c r="D4" s="261" t="s">
        <v>4</v>
      </c>
      <c r="E4" s="261"/>
      <c r="F4" s="261" t="s">
        <v>5</v>
      </c>
      <c r="G4" s="261"/>
      <c r="H4" s="262" t="s">
        <v>6</v>
      </c>
      <c r="I4" s="262"/>
      <c r="J4" s="14" t="s">
        <v>7</v>
      </c>
      <c r="K4" s="260" t="s">
        <v>8</v>
      </c>
      <c r="L4" s="260" t="s">
        <v>9</v>
      </c>
    </row>
    <row r="5" spans="1:12" x14ac:dyDescent="0.25">
      <c r="A5" s="260"/>
      <c r="B5" s="260" t="s">
        <v>10</v>
      </c>
      <c r="C5" s="264"/>
      <c r="D5" s="260" t="s">
        <v>11</v>
      </c>
      <c r="E5" s="273" t="s">
        <v>12</v>
      </c>
      <c r="F5" s="260" t="s">
        <v>11</v>
      </c>
      <c r="G5" s="273" t="s">
        <v>12</v>
      </c>
      <c r="H5" s="14" t="s">
        <v>13</v>
      </c>
      <c r="I5" s="14" t="s">
        <v>14</v>
      </c>
      <c r="J5" s="260" t="s">
        <v>15</v>
      </c>
      <c r="K5" s="260"/>
      <c r="L5" s="260"/>
    </row>
    <row r="6" spans="1:12" ht="26.25" thickBot="1" x14ac:dyDescent="0.3">
      <c r="A6" s="263"/>
      <c r="B6" s="263"/>
      <c r="C6" s="264"/>
      <c r="D6" s="263"/>
      <c r="E6" s="274"/>
      <c r="F6" s="263"/>
      <c r="G6" s="274"/>
      <c r="H6" s="18" t="s">
        <v>12</v>
      </c>
      <c r="I6" s="18" t="s">
        <v>12</v>
      </c>
      <c r="J6" s="263"/>
      <c r="K6" s="263"/>
      <c r="L6" s="263"/>
    </row>
    <row r="7" spans="1:12" ht="21.6" customHeight="1" x14ac:dyDescent="0.25">
      <c r="A7" s="19">
        <v>1</v>
      </c>
      <c r="B7" s="96" t="s">
        <v>18</v>
      </c>
      <c r="C7" s="20">
        <f>IF(_xlfn.XLOOKUP(B7,DATOS[NOMBRES],DATOS[DNI])=0,"",_xlfn.XLOOKUP(B7,DATOS[NOMBRES],DATOS[DNI]))</f>
        <v>75396402</v>
      </c>
      <c r="D7" s="98">
        <v>45920</v>
      </c>
      <c r="E7" s="20"/>
      <c r="F7" s="98">
        <v>45920</v>
      </c>
      <c r="G7" s="20"/>
      <c r="H7" s="20"/>
      <c r="I7" s="20"/>
      <c r="J7" s="20"/>
      <c r="K7" s="20"/>
      <c r="L7" s="21"/>
    </row>
    <row r="8" spans="1:12" ht="21.6" customHeight="1" x14ac:dyDescent="0.25">
      <c r="A8" s="22">
        <v>2</v>
      </c>
      <c r="B8" s="97" t="s">
        <v>16</v>
      </c>
      <c r="C8" s="9">
        <f>IF(_xlfn.XLOOKUP(B8,DATOS[NOMBRES],DATOS[DNI])=0,"",_xlfn.XLOOKUP(B8,DATOS[NOMBRES],DATOS[DNI]))</f>
        <v>44184914</v>
      </c>
      <c r="D8" s="99">
        <v>45920</v>
      </c>
      <c r="E8" s="9"/>
      <c r="F8" s="99">
        <v>45920</v>
      </c>
      <c r="G8" s="9"/>
      <c r="H8" s="9"/>
      <c r="I8" s="9"/>
      <c r="J8" s="9"/>
      <c r="K8" s="9"/>
      <c r="L8" s="23"/>
    </row>
    <row r="9" spans="1:12" ht="21.6" customHeight="1" x14ac:dyDescent="0.25">
      <c r="A9" s="22">
        <v>3</v>
      </c>
      <c r="B9" s="97" t="s">
        <v>17</v>
      </c>
      <c r="C9" s="9">
        <f>IF(_xlfn.XLOOKUP(B9,DATOS[NOMBRES],DATOS[DNI])=0,"",_xlfn.XLOOKUP(B9,DATOS[NOMBRES],DATOS[DNI]))</f>
        <v>40839932</v>
      </c>
      <c r="D9" s="99">
        <v>45920</v>
      </c>
      <c r="E9" s="9"/>
      <c r="F9" s="99">
        <v>45920</v>
      </c>
      <c r="G9" s="9"/>
      <c r="H9" s="9"/>
      <c r="I9" s="9"/>
      <c r="J9" s="9"/>
      <c r="K9" s="9"/>
      <c r="L9" s="23"/>
    </row>
    <row r="10" spans="1:12" ht="21.6" customHeight="1" x14ac:dyDescent="0.25">
      <c r="A10" s="22">
        <v>4</v>
      </c>
      <c r="B10" s="97" t="s">
        <v>22</v>
      </c>
      <c r="C10" s="9">
        <f>IF(_xlfn.XLOOKUP(B10,DATOS[NOMBRES],DATOS[DNI])=0,"",_xlfn.XLOOKUP(B10,DATOS[NOMBRES],DATOS[DNI]))</f>
        <v>70833343</v>
      </c>
      <c r="D10" s="99">
        <v>45920</v>
      </c>
      <c r="E10" s="9"/>
      <c r="F10" s="99">
        <v>45920</v>
      </c>
      <c r="G10" s="9"/>
      <c r="H10" s="9"/>
      <c r="I10" s="9"/>
      <c r="J10" s="9"/>
      <c r="K10" s="9"/>
      <c r="L10" s="23"/>
    </row>
    <row r="11" spans="1:12" ht="21.6" customHeight="1" x14ac:dyDescent="0.25">
      <c r="A11" s="22">
        <v>5</v>
      </c>
      <c r="B11" s="97" t="s">
        <v>21</v>
      </c>
      <c r="C11" s="9">
        <f>IF(_xlfn.XLOOKUP(B11,DATOS[NOMBRES],DATOS[DNI])=0,"",_xlfn.XLOOKUP(B11,DATOS[NOMBRES],DATOS[DNI]))</f>
        <v>48492558</v>
      </c>
      <c r="D11" s="99">
        <v>45920</v>
      </c>
      <c r="E11" s="9"/>
      <c r="F11" s="99">
        <v>45920</v>
      </c>
      <c r="G11" s="9"/>
      <c r="H11" s="9"/>
      <c r="I11" s="9"/>
      <c r="J11" s="9"/>
      <c r="K11" s="9"/>
      <c r="L11" s="23"/>
    </row>
    <row r="12" spans="1:12" ht="21.6" customHeight="1" x14ac:dyDescent="0.25">
      <c r="A12" s="22">
        <v>6</v>
      </c>
      <c r="B12" s="97" t="s">
        <v>25</v>
      </c>
      <c r="C12" s="9">
        <f>IF(_xlfn.XLOOKUP(B12,DATOS[NOMBRES],DATOS[DNI])=0,"",_xlfn.XLOOKUP(B12,DATOS[NOMBRES],DATOS[DNI]))</f>
        <v>40889884</v>
      </c>
      <c r="D12" s="99">
        <v>45920</v>
      </c>
      <c r="E12" s="99"/>
      <c r="F12" s="99">
        <v>45920</v>
      </c>
      <c r="G12" s="9"/>
      <c r="H12" s="9"/>
      <c r="I12" s="9"/>
      <c r="J12" s="9"/>
      <c r="K12" s="9"/>
      <c r="L12" s="23"/>
    </row>
    <row r="13" spans="1:12" ht="21.6" customHeight="1" x14ac:dyDescent="0.25">
      <c r="A13" s="22">
        <v>7</v>
      </c>
      <c r="B13" s="97" t="s">
        <v>19</v>
      </c>
      <c r="C13" s="9">
        <f>IF(_xlfn.XLOOKUP(B13,DATOS[NOMBRES],DATOS[DNI])=0,"",_xlfn.XLOOKUP(B13,DATOS[NOMBRES],DATOS[DNI]))</f>
        <v>40861767</v>
      </c>
      <c r="D13" s="99">
        <v>45920</v>
      </c>
      <c r="E13" s="9"/>
      <c r="F13" s="99">
        <v>45920</v>
      </c>
      <c r="G13" s="9"/>
      <c r="H13" s="9"/>
      <c r="I13" s="9"/>
      <c r="J13" s="9"/>
      <c r="K13" s="9"/>
      <c r="L13" s="23"/>
    </row>
    <row r="14" spans="1:12" ht="21.6" customHeight="1" x14ac:dyDescent="0.25">
      <c r="A14" s="22">
        <v>8</v>
      </c>
      <c r="B14" s="97" t="s">
        <v>104</v>
      </c>
      <c r="C14" s="9" t="str">
        <f>IF(_xlfn.XLOOKUP(B14,DATOS[NOMBRES],DATOS[DNI])=0,"",_xlfn.XLOOKUP(B14,DATOS[NOMBRES],DATOS[DNI]))</f>
        <v>00515241</v>
      </c>
      <c r="D14" s="99">
        <v>45920</v>
      </c>
      <c r="E14" s="9"/>
      <c r="F14" s="99">
        <v>45920</v>
      </c>
      <c r="G14" s="9"/>
      <c r="H14" s="9"/>
      <c r="I14" s="9"/>
      <c r="J14" s="9"/>
      <c r="K14" s="9"/>
      <c r="L14" s="23"/>
    </row>
    <row r="15" spans="1:12" ht="21.6" customHeight="1" x14ac:dyDescent="0.25">
      <c r="A15" s="22">
        <v>9</v>
      </c>
      <c r="B15" s="9" t="s">
        <v>106</v>
      </c>
      <c r="C15" s="9">
        <f>IF(_xlfn.XLOOKUP(B15,DATOS[NOMBRES],DATOS[DNI])=0,"",_xlfn.XLOOKUP(B15,DATOS[NOMBRES],DATOS[DNI]))</f>
        <v>44723682</v>
      </c>
      <c r="D15" s="99">
        <v>45920</v>
      </c>
      <c r="E15" s="9"/>
      <c r="F15" s="99">
        <v>45920</v>
      </c>
      <c r="G15" s="9"/>
      <c r="H15" s="9"/>
      <c r="I15" s="9"/>
      <c r="J15" s="9"/>
      <c r="K15" s="9"/>
      <c r="L15" s="23"/>
    </row>
    <row r="16" spans="1:12" ht="21.6" customHeight="1" x14ac:dyDescent="0.25">
      <c r="A16" s="22">
        <v>10</v>
      </c>
      <c r="B16" s="9"/>
      <c r="C16" s="9" t="str">
        <f>IF(_xlfn.XLOOKUP(B16,DATOS[NOMBRES],DATOS[DNI])=0,"",_xlfn.XLOOKUP(B16,DATOS[NOMBRES],DATOS[DNI]))</f>
        <v/>
      </c>
      <c r="D16" s="9"/>
      <c r="E16" s="9"/>
      <c r="F16" s="9"/>
      <c r="G16" s="9"/>
      <c r="H16" s="9"/>
      <c r="I16" s="9"/>
      <c r="J16" s="9"/>
      <c r="K16" s="9"/>
      <c r="L16" s="23"/>
    </row>
    <row r="17" spans="1:12" ht="21.6" customHeight="1" x14ac:dyDescent="0.25">
      <c r="A17" s="22">
        <v>11</v>
      </c>
      <c r="B17" s="9"/>
      <c r="C17" s="9" t="str">
        <f>IF(_xlfn.XLOOKUP(B17,DATOS[NOMBRES],DATOS[DNI])=0,"",_xlfn.XLOOKUP(B17,DATOS[NOMBRES],DATOS[DNI]))</f>
        <v/>
      </c>
      <c r="D17" s="9"/>
      <c r="E17" s="9"/>
      <c r="F17" s="9"/>
      <c r="G17" s="9"/>
      <c r="H17" s="9"/>
      <c r="I17" s="9"/>
      <c r="J17" s="9"/>
      <c r="K17" s="9"/>
      <c r="L17" s="23"/>
    </row>
    <row r="18" spans="1:12" ht="21.6" customHeight="1" x14ac:dyDescent="0.25">
      <c r="A18" s="22">
        <v>12</v>
      </c>
      <c r="B18" s="9"/>
      <c r="C18" s="9" t="str">
        <f>IF(_xlfn.XLOOKUP(B18,DATOS[NOMBRES],DATOS[DNI])=0,"",_xlfn.XLOOKUP(B18,DATOS[NOMBRES],DATOS[DNI]))</f>
        <v/>
      </c>
      <c r="D18" s="9"/>
      <c r="E18" s="9"/>
      <c r="F18" s="9"/>
      <c r="G18" s="9"/>
      <c r="H18" s="9"/>
      <c r="I18" s="9"/>
      <c r="J18" s="9"/>
      <c r="K18" s="9"/>
      <c r="L18" s="23"/>
    </row>
    <row r="19" spans="1:12" ht="21.6" customHeight="1" x14ac:dyDescent="0.25">
      <c r="A19" s="22">
        <v>13</v>
      </c>
      <c r="B19" s="9"/>
      <c r="C19" s="9" t="str">
        <f>IF(_xlfn.XLOOKUP(B19,DATOS[NOMBRES],DATOS[DNI])=0,"",_xlfn.XLOOKUP(B19,DATOS[NOMBRES],DATOS[DNI]))</f>
        <v/>
      </c>
      <c r="D19" s="9"/>
      <c r="E19" s="9"/>
      <c r="F19" s="9"/>
      <c r="G19" s="9"/>
      <c r="H19" s="9"/>
      <c r="I19" s="9"/>
      <c r="J19" s="9"/>
      <c r="K19" s="9"/>
      <c r="L19" s="23"/>
    </row>
    <row r="20" spans="1:12" ht="21.6" customHeight="1" x14ac:dyDescent="0.25">
      <c r="A20" s="22">
        <v>14</v>
      </c>
      <c r="B20" s="9"/>
      <c r="C20" s="9" t="str">
        <f>IF(_xlfn.XLOOKUP(B20,DATOS[NOMBRES],DATOS[DNI])=0,"",_xlfn.XLOOKUP(B20,DATOS[NOMBRES],DATOS[DNI]))</f>
        <v/>
      </c>
      <c r="D20" s="9"/>
      <c r="E20" s="9"/>
      <c r="F20" s="9"/>
      <c r="G20" s="9"/>
      <c r="H20" s="9"/>
      <c r="I20" s="9"/>
      <c r="J20" s="9"/>
      <c r="K20" s="9"/>
      <c r="L20" s="23"/>
    </row>
    <row r="21" spans="1:12" ht="21.6" customHeight="1" x14ac:dyDescent="0.25">
      <c r="A21" s="22">
        <v>15</v>
      </c>
      <c r="B21" s="9"/>
      <c r="C21" s="9" t="str">
        <f>IF(_xlfn.XLOOKUP(B21,DATOS[NOMBRES],DATOS[DNI])=0,"",_xlfn.XLOOKUP(B21,DATOS[NOMBRES],DATOS[DNI]))</f>
        <v/>
      </c>
      <c r="D21" s="9"/>
      <c r="E21" s="9"/>
      <c r="F21" s="9"/>
      <c r="G21" s="9"/>
      <c r="H21" s="9"/>
      <c r="I21" s="9"/>
      <c r="J21" s="9"/>
      <c r="K21" s="9"/>
      <c r="L21" s="23"/>
    </row>
    <row r="22" spans="1:12" ht="21.6" customHeight="1" x14ac:dyDescent="0.25">
      <c r="A22" s="22">
        <v>16</v>
      </c>
      <c r="B22" s="9"/>
      <c r="C22" s="9" t="str">
        <f>IF(_xlfn.XLOOKUP(B22,DATOS[NOMBRES],DATOS[DNI])=0,"",_xlfn.XLOOKUP(B22,DATOS[NOMBRES],DATOS[DNI]))</f>
        <v/>
      </c>
      <c r="D22" s="9"/>
      <c r="E22" s="9"/>
      <c r="F22" s="9"/>
      <c r="G22" s="9"/>
      <c r="H22" s="9"/>
      <c r="I22" s="9"/>
      <c r="J22" s="9"/>
      <c r="K22" s="9"/>
      <c r="L22" s="23"/>
    </row>
    <row r="23" spans="1:12" ht="21.6" customHeight="1" x14ac:dyDescent="0.25">
      <c r="A23" s="22">
        <v>17</v>
      </c>
      <c r="B23" s="9"/>
      <c r="C23" s="9" t="str">
        <f>IF(_xlfn.XLOOKUP(B23,DATOS[NOMBRES],DATOS[DNI])=0,"",_xlfn.XLOOKUP(B23,DATOS[NOMBRES],DATOS[DNI]))</f>
        <v/>
      </c>
      <c r="D23" s="9"/>
      <c r="E23" s="9"/>
      <c r="F23" s="9"/>
      <c r="G23" s="9"/>
      <c r="H23" s="9"/>
      <c r="I23" s="9"/>
      <c r="J23" s="9"/>
      <c r="K23" s="9"/>
      <c r="L23" s="23"/>
    </row>
    <row r="24" spans="1:12" ht="21.6" customHeight="1" x14ac:dyDescent="0.25">
      <c r="A24" s="22">
        <v>18</v>
      </c>
      <c r="B24" s="9"/>
      <c r="C24" s="9" t="str">
        <f>IF(_xlfn.XLOOKUP(B24,DATOS[NOMBRES],DATOS[DNI])=0,"",_xlfn.XLOOKUP(B24,DATOS[NOMBRES],DATOS[DNI]))</f>
        <v/>
      </c>
      <c r="D24" s="9"/>
      <c r="E24" s="9"/>
      <c r="F24" s="9"/>
      <c r="G24" s="9"/>
      <c r="H24" s="9"/>
      <c r="I24" s="9"/>
      <c r="J24" s="9"/>
      <c r="K24" s="9"/>
      <c r="L24" s="23"/>
    </row>
    <row r="25" spans="1:12" ht="21.6" customHeight="1" x14ac:dyDescent="0.25">
      <c r="A25" s="22">
        <v>19</v>
      </c>
      <c r="B25" s="9"/>
      <c r="C25" s="9" t="str">
        <f>IF(_xlfn.XLOOKUP(B25,DATOS[NOMBRES],DATOS[DNI])=0,"",_xlfn.XLOOKUP(B25,DATOS[NOMBRES],DATOS[DNI]))</f>
        <v/>
      </c>
      <c r="D25" s="9"/>
      <c r="E25" s="9"/>
      <c r="F25" s="9"/>
      <c r="G25" s="9"/>
      <c r="H25" s="9"/>
      <c r="I25" s="9"/>
      <c r="J25" s="9"/>
      <c r="K25" s="9"/>
      <c r="L25" s="23"/>
    </row>
    <row r="26" spans="1:12" ht="21.6" customHeight="1" x14ac:dyDescent="0.25">
      <c r="A26" s="22">
        <v>20</v>
      </c>
      <c r="B26" s="9"/>
      <c r="C26" s="9" t="str">
        <f>IF(_xlfn.XLOOKUP(B26,DATOS[NOMBRES],DATOS[DNI])=0,"",_xlfn.XLOOKUP(B26,DATOS[NOMBRES],DATOS[DNI]))</f>
        <v/>
      </c>
      <c r="D26" s="9"/>
      <c r="E26" s="9"/>
      <c r="F26" s="9"/>
      <c r="G26" s="9"/>
      <c r="H26" s="9"/>
      <c r="I26" s="9"/>
      <c r="J26" s="9"/>
      <c r="K26" s="9"/>
      <c r="L26" s="23"/>
    </row>
    <row r="27" spans="1:12" ht="21.6" customHeight="1" x14ac:dyDescent="0.25">
      <c r="A27" s="22">
        <v>21</v>
      </c>
      <c r="B27" s="9"/>
      <c r="C27" s="9" t="str">
        <f>IF(_xlfn.XLOOKUP(B27,DATOS[NOMBRES],DATOS[DNI])=0,"",_xlfn.XLOOKUP(B27,DATOS[NOMBRES],DATOS[DNI]))</f>
        <v/>
      </c>
      <c r="D27" s="9"/>
      <c r="E27" s="9"/>
      <c r="F27" s="9"/>
      <c r="G27" s="9"/>
      <c r="H27" s="9"/>
      <c r="I27" s="9"/>
      <c r="J27" s="9"/>
      <c r="K27" s="9"/>
      <c r="L27" s="23"/>
    </row>
    <row r="28" spans="1:12" ht="21.6" customHeight="1" x14ac:dyDescent="0.25">
      <c r="A28" s="22">
        <v>22</v>
      </c>
      <c r="B28" s="9"/>
      <c r="C28" s="9" t="str">
        <f>IF(_xlfn.XLOOKUP(B28,DATOS[NOMBRES],DATOS[DNI])=0,"",_xlfn.XLOOKUP(B28,DATOS[NOMBRES],DATOS[DNI]))</f>
        <v/>
      </c>
      <c r="D28" s="9"/>
      <c r="E28" s="9"/>
      <c r="F28" s="9"/>
      <c r="G28" s="9"/>
      <c r="H28" s="9"/>
      <c r="I28" s="9"/>
      <c r="J28" s="9"/>
      <c r="K28" s="9"/>
      <c r="L28" s="23"/>
    </row>
    <row r="29" spans="1:12" ht="21.6" customHeight="1" x14ac:dyDescent="0.25">
      <c r="A29" s="22">
        <v>23</v>
      </c>
      <c r="B29" s="9"/>
      <c r="C29" s="9" t="str">
        <f>IF(_xlfn.XLOOKUP(B29,DATOS[NOMBRES],DATOS[DNI])=0,"",_xlfn.XLOOKUP(B29,DATOS[NOMBRES],DATOS[DNI]))</f>
        <v/>
      </c>
      <c r="D29" s="9"/>
      <c r="E29" s="9"/>
      <c r="F29" s="9"/>
      <c r="G29" s="9"/>
      <c r="H29" s="9"/>
      <c r="I29" s="9"/>
      <c r="J29" s="9"/>
      <c r="K29" s="9"/>
      <c r="L29" s="23"/>
    </row>
    <row r="30" spans="1:12" ht="21.6" customHeight="1" x14ac:dyDescent="0.25">
      <c r="A30" s="22">
        <v>24</v>
      </c>
      <c r="B30" s="9"/>
      <c r="C30" s="9" t="str">
        <f>IF(_xlfn.XLOOKUP(B30,DATOS[NOMBRES],DATOS[DNI])=0,"",_xlfn.XLOOKUP(B30,DATOS[NOMBRES],DATOS[DNI]))</f>
        <v/>
      </c>
      <c r="D30" s="9"/>
      <c r="E30" s="9"/>
      <c r="F30" s="9"/>
      <c r="G30" s="9"/>
      <c r="H30" s="9"/>
      <c r="I30" s="9"/>
      <c r="J30" s="9"/>
      <c r="K30" s="9"/>
      <c r="L30" s="23"/>
    </row>
    <row r="31" spans="1:12" ht="21.6" customHeight="1" x14ac:dyDescent="0.25">
      <c r="A31" s="22">
        <v>25</v>
      </c>
      <c r="B31" s="9"/>
      <c r="C31" s="9" t="str">
        <f>IF(_xlfn.XLOOKUP(B31,DATOS[NOMBRES],DATOS[DNI])=0,"",_xlfn.XLOOKUP(B31,DATOS[NOMBRES],DATOS[DNI]))</f>
        <v/>
      </c>
      <c r="D31" s="9"/>
      <c r="E31" s="9"/>
      <c r="F31" s="9"/>
      <c r="G31" s="9"/>
      <c r="H31" s="9"/>
      <c r="I31" s="9"/>
      <c r="J31" s="9"/>
      <c r="K31" s="9"/>
      <c r="L31" s="23"/>
    </row>
    <row r="32" spans="1:12" ht="21.6" customHeight="1" x14ac:dyDescent="0.25">
      <c r="A32" s="22">
        <v>26</v>
      </c>
      <c r="B32" s="9"/>
      <c r="C32" s="9" t="str">
        <f>IF(_xlfn.XLOOKUP(B32,DATOS[NOMBRES],DATOS[DNI])=0,"",_xlfn.XLOOKUP(B32,DATOS[NOMBRES],DATOS[DNI]))</f>
        <v/>
      </c>
      <c r="D32" s="9"/>
      <c r="E32" s="9"/>
      <c r="F32" s="9"/>
      <c r="G32" s="9"/>
      <c r="H32" s="9"/>
      <c r="I32" s="9"/>
      <c r="J32" s="9"/>
      <c r="K32" s="9"/>
      <c r="L32" s="23"/>
    </row>
    <row r="33" spans="1:12" ht="21.6" customHeight="1" x14ac:dyDescent="0.25">
      <c r="A33" s="22">
        <v>27</v>
      </c>
      <c r="B33" s="9"/>
      <c r="C33" s="9" t="str">
        <f>IF(_xlfn.XLOOKUP(B33,DATOS[NOMBRES],DATOS[DNI])=0,"",_xlfn.XLOOKUP(B33,DATOS[NOMBRES],DATOS[DNI]))</f>
        <v/>
      </c>
      <c r="D33" s="9"/>
      <c r="E33" s="9"/>
      <c r="F33" s="9"/>
      <c r="G33" s="9"/>
      <c r="H33" s="9"/>
      <c r="I33" s="9"/>
      <c r="J33" s="9"/>
      <c r="K33" s="9"/>
      <c r="L33" s="23"/>
    </row>
    <row r="34" spans="1:12" ht="21.6" customHeight="1" x14ac:dyDescent="0.25">
      <c r="A34" s="22">
        <v>28</v>
      </c>
      <c r="B34" s="9"/>
      <c r="C34" s="9" t="str">
        <f>IF(_xlfn.XLOOKUP(B34,DATOS[NOMBRES],DATOS[DNI])=0,"",_xlfn.XLOOKUP(B34,DATOS[NOMBRES],DATOS[DNI]))</f>
        <v/>
      </c>
      <c r="D34" s="9"/>
      <c r="E34" s="9"/>
      <c r="F34" s="9"/>
      <c r="G34" s="9"/>
      <c r="H34" s="9"/>
      <c r="I34" s="9"/>
      <c r="J34" s="9"/>
      <c r="K34" s="9"/>
      <c r="L34" s="23"/>
    </row>
    <row r="35" spans="1:12" ht="21.6" customHeight="1" x14ac:dyDescent="0.25">
      <c r="A35" s="22">
        <v>29</v>
      </c>
      <c r="B35" s="9"/>
      <c r="C35" s="9" t="str">
        <f>IF(_xlfn.XLOOKUP(B35,DATOS[NOMBRES],DATOS[DNI])=0,"",_xlfn.XLOOKUP(B35,DATOS[NOMBRES],DATOS[DNI]))</f>
        <v/>
      </c>
      <c r="D35" s="9"/>
      <c r="E35" s="9"/>
      <c r="F35" s="9"/>
      <c r="G35" s="9"/>
      <c r="H35" s="9"/>
      <c r="I35" s="9"/>
      <c r="J35" s="9"/>
      <c r="K35" s="9"/>
      <c r="L35" s="23"/>
    </row>
    <row r="36" spans="1:12" ht="21.6" customHeight="1" x14ac:dyDescent="0.25">
      <c r="A36" s="22">
        <v>30</v>
      </c>
      <c r="B36" s="9"/>
      <c r="C36" s="9" t="str">
        <f>IF(_xlfn.XLOOKUP(B36,DATOS[NOMBRES],DATOS[DNI])=0,"",_xlfn.XLOOKUP(B36,DATOS[NOMBRES],DATOS[DNI]))</f>
        <v/>
      </c>
      <c r="D36" s="9"/>
      <c r="E36" s="9"/>
      <c r="F36" s="9"/>
      <c r="G36" s="9"/>
      <c r="H36" s="9"/>
      <c r="I36" s="9"/>
      <c r="J36" s="9"/>
      <c r="K36" s="9"/>
      <c r="L36" s="23"/>
    </row>
    <row r="37" spans="1:12" ht="21.6" customHeight="1" x14ac:dyDescent="0.25">
      <c r="A37" s="22">
        <v>31</v>
      </c>
      <c r="B37" s="9"/>
      <c r="C37" s="9" t="str">
        <f>IF(_xlfn.XLOOKUP(B37,DATOS[NOMBRES],DATOS[DNI])=0,"",_xlfn.XLOOKUP(B37,DATOS[NOMBRES],DATOS[DNI]))</f>
        <v/>
      </c>
      <c r="D37" s="9"/>
      <c r="E37" s="9"/>
      <c r="F37" s="9"/>
      <c r="G37" s="9"/>
      <c r="H37" s="9"/>
      <c r="I37" s="9"/>
      <c r="J37" s="9"/>
      <c r="K37" s="9"/>
      <c r="L37" s="23"/>
    </row>
    <row r="38" spans="1:12" ht="21.6" customHeight="1" x14ac:dyDescent="0.25">
      <c r="A38" s="22">
        <v>32</v>
      </c>
      <c r="B38" s="9"/>
      <c r="C38" s="9" t="str">
        <f>IF(_xlfn.XLOOKUP(B38,DATOS[NOMBRES],DATOS[DNI])=0,"",_xlfn.XLOOKUP(B38,DATOS[NOMBRES],DATOS[DNI]))</f>
        <v/>
      </c>
      <c r="D38" s="9"/>
      <c r="E38" s="9"/>
      <c r="F38" s="9"/>
      <c r="G38" s="9"/>
      <c r="H38" s="9"/>
      <c r="I38" s="9"/>
      <c r="J38" s="9"/>
      <c r="K38" s="9"/>
      <c r="L38" s="23"/>
    </row>
    <row r="39" spans="1:12" ht="21.6" customHeight="1" x14ac:dyDescent="0.25">
      <c r="A39" s="22">
        <v>33</v>
      </c>
      <c r="B39" s="9"/>
      <c r="C39" s="9" t="str">
        <f>IF(_xlfn.XLOOKUP(B39,DATOS[NOMBRES],DATOS[DNI])=0,"",_xlfn.XLOOKUP(B39,DATOS[NOMBRES],DATOS[DNI]))</f>
        <v/>
      </c>
      <c r="D39" s="9"/>
      <c r="E39" s="9"/>
      <c r="F39" s="9"/>
      <c r="G39" s="9"/>
      <c r="H39" s="9"/>
      <c r="I39" s="9"/>
      <c r="J39" s="9"/>
      <c r="K39" s="9"/>
      <c r="L39" s="23"/>
    </row>
    <row r="40" spans="1:12" ht="21.6" customHeight="1" x14ac:dyDescent="0.25">
      <c r="A40" s="22">
        <v>34</v>
      </c>
      <c r="B40" s="9"/>
      <c r="C40" s="9" t="str">
        <f>IF(_xlfn.XLOOKUP(B40,DATOS[NOMBRES],DATOS[DNI])=0,"",_xlfn.XLOOKUP(B40,DATOS[NOMBRES],DATOS[DNI]))</f>
        <v/>
      </c>
      <c r="D40" s="9"/>
      <c r="E40" s="9"/>
      <c r="F40" s="9"/>
      <c r="G40" s="9"/>
      <c r="H40" s="9"/>
      <c r="I40" s="9"/>
      <c r="J40" s="9"/>
      <c r="K40" s="9"/>
      <c r="L40" s="23"/>
    </row>
    <row r="41" spans="1:12" ht="21.6" customHeight="1" thickBot="1" x14ac:dyDescent="0.3">
      <c r="A41" s="24">
        <v>35</v>
      </c>
      <c r="B41" s="25"/>
      <c r="C41" s="25" t="str">
        <f>IF(_xlfn.XLOOKUP(B41,DATOS[NOMBRES],DATOS[DNI])=0,"",_xlfn.XLOOKUP(B41,DATOS[NOMBRES],DATOS[DNI]))</f>
        <v/>
      </c>
      <c r="D41" s="25"/>
      <c r="E41" s="25"/>
      <c r="F41" s="25"/>
      <c r="G41" s="25"/>
      <c r="H41" s="25"/>
      <c r="I41" s="25"/>
      <c r="J41" s="25"/>
      <c r="K41" s="25"/>
      <c r="L41" s="26"/>
    </row>
  </sheetData>
  <mergeCells count="18">
    <mergeCell ref="A4:A6"/>
    <mergeCell ref="C4:C6"/>
    <mergeCell ref="D4:E4"/>
    <mergeCell ref="F4:G4"/>
    <mergeCell ref="H4:I4"/>
    <mergeCell ref="A1:A3"/>
    <mergeCell ref="B1:B3"/>
    <mergeCell ref="C1:L1"/>
    <mergeCell ref="C2:L2"/>
    <mergeCell ref="C3:L3"/>
    <mergeCell ref="K4:K6"/>
    <mergeCell ref="L4:L6"/>
    <mergeCell ref="B5:B6"/>
    <mergeCell ref="D5:D6"/>
    <mergeCell ref="E5:E6"/>
    <mergeCell ref="F5:F6"/>
    <mergeCell ref="G5:G6"/>
    <mergeCell ref="J5:J6"/>
  </mergeCells>
  <pageMargins left="0.19" right="0.13" top="0.33" bottom="0.42" header="0.3" footer="0.3"/>
  <pageSetup paperSize="9" scale="90" fitToHeight="0" orientation="landscape" horizont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1D5A3D5-FA3B-4B36-B57E-7663ABF8048C}">
          <x14:formula1>
            <xm:f>'DATOS GRALES 1'!$B$2:$B$36</xm:f>
          </x14:formula1>
          <xm:sqref>B7:B41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BC3B9-20F8-4BE9-928A-F840FF05CA00}">
  <sheetPr codeName="Hoja5"/>
  <dimension ref="A1:AQ51"/>
  <sheetViews>
    <sheetView workbookViewId="0">
      <selection activeCell="I17" sqref="I17"/>
    </sheetView>
  </sheetViews>
  <sheetFormatPr baseColWidth="10" defaultColWidth="10.7109375" defaultRowHeight="15" x14ac:dyDescent="0.25"/>
  <cols>
    <col min="1" max="2" width="1.7109375" customWidth="1"/>
    <col min="3" max="3" width="32.42578125" customWidth="1"/>
    <col min="4" max="4" width="0.85546875" customWidth="1"/>
    <col min="5" max="37" width="4.85546875" customWidth="1"/>
    <col min="38" max="38" width="0.85546875" customWidth="1"/>
    <col min="39" max="39" width="14.5703125" customWidth="1"/>
    <col min="40" max="40" width="0.85546875" customWidth="1"/>
    <col min="43" max="43" width="11.5703125" hidden="1" customWidth="1"/>
  </cols>
  <sheetData>
    <row r="1" spans="1:43" ht="30" customHeight="1" x14ac:dyDescent="0.25">
      <c r="A1" s="30"/>
      <c r="B1" s="30"/>
      <c r="C1" s="31" t="s">
        <v>46</v>
      </c>
      <c r="D1" s="32"/>
      <c r="E1" s="32"/>
      <c r="F1" s="32"/>
      <c r="G1" s="32"/>
      <c r="H1" s="32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</row>
    <row r="2" spans="1:43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</row>
    <row r="3" spans="1:43" ht="4.9000000000000004" customHeight="1" thickBot="1" x14ac:dyDescent="0.3">
      <c r="A3" s="33"/>
      <c r="B3" s="36"/>
      <c r="C3" s="37"/>
      <c r="D3" s="37"/>
      <c r="E3" s="37"/>
      <c r="F3" s="37"/>
      <c r="G3" s="37"/>
      <c r="H3" s="37"/>
      <c r="I3" s="37"/>
      <c r="J3" s="37"/>
      <c r="K3" s="37"/>
      <c r="L3" s="38"/>
      <c r="M3" s="33"/>
      <c r="N3" s="36"/>
      <c r="O3" s="37"/>
      <c r="P3" s="37"/>
      <c r="Q3" s="37"/>
      <c r="R3" s="37"/>
      <c r="S3" s="37"/>
      <c r="T3" s="38"/>
      <c r="U3" s="33"/>
      <c r="V3" s="36"/>
      <c r="W3" s="37"/>
      <c r="X3" s="37"/>
      <c r="Y3" s="37"/>
      <c r="Z3" s="37"/>
      <c r="AA3" s="37"/>
      <c r="AB3" s="38"/>
      <c r="AC3" s="33"/>
      <c r="AD3" s="34"/>
      <c r="AE3" s="34"/>
      <c r="AF3" s="34"/>
      <c r="AG3" s="34"/>
      <c r="AH3" s="34"/>
      <c r="AI3" s="33"/>
      <c r="AJ3" s="33"/>
      <c r="AK3" s="33"/>
      <c r="AL3" s="33"/>
      <c r="AM3" s="33"/>
      <c r="AN3" s="33"/>
      <c r="AO3" s="33"/>
      <c r="AP3" s="33"/>
      <c r="AQ3" s="33"/>
    </row>
    <row r="4" spans="1:43" ht="15.75" thickBot="1" x14ac:dyDescent="0.3">
      <c r="A4" s="33"/>
      <c r="B4" s="39"/>
      <c r="C4" s="44" t="s">
        <v>48</v>
      </c>
      <c r="D4" s="34"/>
      <c r="E4" s="276" t="s">
        <v>277</v>
      </c>
      <c r="F4" s="277"/>
      <c r="G4" s="278"/>
      <c r="H4" s="35" t="s">
        <v>51</v>
      </c>
      <c r="I4" s="34"/>
      <c r="J4" s="34"/>
      <c r="K4" s="34"/>
      <c r="L4" s="40"/>
      <c r="M4" s="33"/>
      <c r="N4" s="53" t="s">
        <v>54</v>
      </c>
      <c r="O4" s="50"/>
      <c r="P4" s="50"/>
      <c r="Q4" s="51" t="s">
        <v>57</v>
      </c>
      <c r="R4" s="50"/>
      <c r="S4" s="50"/>
      <c r="T4" s="52"/>
      <c r="U4" s="33"/>
      <c r="V4" s="53" t="s">
        <v>60</v>
      </c>
      <c r="W4" s="34"/>
      <c r="X4" s="34"/>
      <c r="Y4" s="34"/>
      <c r="Z4" s="34"/>
      <c r="AA4" s="34"/>
      <c r="AB4" s="40"/>
      <c r="AC4" s="33"/>
      <c r="AD4" s="286" t="s">
        <v>61</v>
      </c>
      <c r="AE4" s="286"/>
      <c r="AF4" s="34"/>
      <c r="AG4" s="286" t="s">
        <v>62</v>
      </c>
      <c r="AH4" s="286"/>
      <c r="AI4" s="33"/>
      <c r="AJ4" s="33"/>
      <c r="AK4" s="33"/>
      <c r="AL4" s="33"/>
      <c r="AM4" s="56" t="s">
        <v>65</v>
      </c>
      <c r="AN4" s="33"/>
      <c r="AO4" s="57" t="s">
        <v>67</v>
      </c>
      <c r="AP4" s="33"/>
      <c r="AQ4" s="33"/>
    </row>
    <row r="5" spans="1:43" ht="15.75" thickBot="1" x14ac:dyDescent="0.3">
      <c r="A5" s="33"/>
      <c r="B5" s="39"/>
      <c r="C5" s="34"/>
      <c r="D5" s="34"/>
      <c r="E5" s="34"/>
      <c r="F5" s="34"/>
      <c r="G5" s="34"/>
      <c r="H5" s="34"/>
      <c r="I5" s="34"/>
      <c r="J5" s="34"/>
      <c r="K5" s="34"/>
      <c r="L5" s="40"/>
      <c r="M5" s="33"/>
      <c r="N5" s="53" t="s">
        <v>55</v>
      </c>
      <c r="O5" s="50"/>
      <c r="P5" s="50"/>
      <c r="Q5" s="51" t="s">
        <v>58</v>
      </c>
      <c r="R5" s="50"/>
      <c r="S5" s="50"/>
      <c r="T5" s="52"/>
      <c r="U5" s="33"/>
      <c r="V5" s="284" t="str">
        <f>"Desde: "&amp;TEXT(DATE(E6,MONTH(E4&amp;1),1),"mmm-dd-yy")&amp;" Hasta "&amp;TEXT(EOMONTH(DATE(E6,MONTH(E4&amp;1),1),0),"mmm-dd-yy")</f>
        <v>Desde: Oct-01-25 Hasta Oct-31-25</v>
      </c>
      <c r="W5" s="285"/>
      <c r="X5" s="285"/>
      <c r="Y5" s="285"/>
      <c r="Z5" s="285"/>
      <c r="AA5" s="285"/>
      <c r="AB5" s="40"/>
      <c r="AC5" s="33"/>
      <c r="AD5" s="287" t="str">
        <f>E4</f>
        <v>Octubre</v>
      </c>
      <c r="AE5" s="287"/>
      <c r="AF5" s="287"/>
      <c r="AG5" s="287">
        <f>E6</f>
        <v>2025</v>
      </c>
      <c r="AH5" s="287"/>
      <c r="AI5" s="33"/>
      <c r="AJ5" s="33"/>
      <c r="AK5" s="33"/>
      <c r="AL5" s="33"/>
      <c r="AM5" s="33"/>
      <c r="AN5" s="33"/>
      <c r="AO5" s="33"/>
      <c r="AP5" s="33"/>
      <c r="AQ5" s="33"/>
    </row>
    <row r="6" spans="1:43" ht="15.75" thickBot="1" x14ac:dyDescent="0.3">
      <c r="A6" s="33"/>
      <c r="B6" s="39"/>
      <c r="C6" s="45" t="s">
        <v>49</v>
      </c>
      <c r="D6" s="34"/>
      <c r="E6" s="276">
        <v>2025</v>
      </c>
      <c r="F6" s="277"/>
      <c r="G6" s="278"/>
      <c r="H6" s="35" t="s">
        <v>50</v>
      </c>
      <c r="I6" s="34"/>
      <c r="J6" s="34"/>
      <c r="K6" s="34"/>
      <c r="L6" s="40"/>
      <c r="M6" s="33"/>
      <c r="N6" s="53" t="s">
        <v>56</v>
      </c>
      <c r="O6" s="50"/>
      <c r="P6" s="50"/>
      <c r="Q6" s="51" t="s">
        <v>59</v>
      </c>
      <c r="R6" s="50"/>
      <c r="S6" s="50"/>
      <c r="T6" s="52"/>
      <c r="U6" s="33"/>
      <c r="V6" s="284"/>
      <c r="W6" s="285"/>
      <c r="X6" s="285"/>
      <c r="Y6" s="285"/>
      <c r="Z6" s="285"/>
      <c r="AA6" s="285"/>
      <c r="AB6" s="40"/>
      <c r="AC6" s="33"/>
      <c r="AD6" s="287"/>
      <c r="AE6" s="287"/>
      <c r="AF6" s="287"/>
      <c r="AG6" s="287"/>
      <c r="AH6" s="287"/>
      <c r="AI6" s="33"/>
      <c r="AJ6" s="33"/>
      <c r="AK6" s="33"/>
      <c r="AL6" s="33"/>
      <c r="AM6" s="56" t="s">
        <v>66</v>
      </c>
      <c r="AN6" s="33"/>
      <c r="AO6" s="57">
        <v>8</v>
      </c>
      <c r="AP6" s="33"/>
      <c r="AQ6" s="33"/>
    </row>
    <row r="7" spans="1:43" ht="4.9000000000000004" customHeight="1" x14ac:dyDescent="0.25">
      <c r="A7" s="33"/>
      <c r="B7" s="41"/>
      <c r="C7" s="42"/>
      <c r="D7" s="42"/>
      <c r="E7" s="42"/>
      <c r="F7" s="42"/>
      <c r="G7" s="42"/>
      <c r="H7" s="42"/>
      <c r="I7" s="42"/>
      <c r="J7" s="42"/>
      <c r="K7" s="42"/>
      <c r="L7" s="43"/>
      <c r="M7" s="33"/>
      <c r="N7" s="41"/>
      <c r="O7" s="42"/>
      <c r="P7" s="42"/>
      <c r="Q7" s="42"/>
      <c r="R7" s="42"/>
      <c r="S7" s="42"/>
      <c r="T7" s="43"/>
      <c r="U7" s="33"/>
      <c r="V7" s="41"/>
      <c r="W7" s="42"/>
      <c r="X7" s="42"/>
      <c r="Y7" s="42"/>
      <c r="Z7" s="42"/>
      <c r="AA7" s="42"/>
      <c r="AB7" s="43"/>
      <c r="AC7" s="33"/>
      <c r="AD7" s="34"/>
      <c r="AE7" s="34"/>
      <c r="AF7" s="34"/>
      <c r="AG7" s="34"/>
      <c r="AH7" s="34"/>
      <c r="AI7" s="33"/>
      <c r="AJ7" s="33"/>
      <c r="AK7" s="33"/>
      <c r="AL7" s="33"/>
      <c r="AM7" s="33"/>
      <c r="AN7" s="33"/>
      <c r="AO7" s="33"/>
      <c r="AP7" s="33"/>
      <c r="AQ7" s="33"/>
    </row>
    <row r="8" spans="1:43" x14ac:dyDescent="0.25">
      <c r="A8" s="33"/>
      <c r="B8" s="33"/>
      <c r="C8" s="33"/>
      <c r="D8" s="33"/>
      <c r="E8" s="33"/>
      <c r="F8" s="33"/>
      <c r="G8" s="275">
        <f>DATE(E6,MONTH(E4&amp;1),21)</f>
        <v>45951</v>
      </c>
      <c r="H8" s="275">
        <f>G8+1</f>
        <v>45952</v>
      </c>
      <c r="I8" s="275">
        <f t="shared" ref="I8:AJ8" si="0">H8+1</f>
        <v>45953</v>
      </c>
      <c r="J8" s="275">
        <f t="shared" si="0"/>
        <v>45954</v>
      </c>
      <c r="K8" s="275">
        <f t="shared" si="0"/>
        <v>45955</v>
      </c>
      <c r="L8" s="275">
        <f t="shared" si="0"/>
        <v>45956</v>
      </c>
      <c r="M8" s="275">
        <f t="shared" si="0"/>
        <v>45957</v>
      </c>
      <c r="N8" s="275">
        <f t="shared" si="0"/>
        <v>45958</v>
      </c>
      <c r="O8" s="275">
        <f t="shared" si="0"/>
        <v>45959</v>
      </c>
      <c r="P8" s="275">
        <f t="shared" si="0"/>
        <v>45960</v>
      </c>
      <c r="Q8" s="275">
        <f t="shared" si="0"/>
        <v>45961</v>
      </c>
      <c r="R8" s="275">
        <f t="shared" si="0"/>
        <v>45962</v>
      </c>
      <c r="S8" s="275">
        <f t="shared" si="0"/>
        <v>45963</v>
      </c>
      <c r="T8" s="275">
        <f t="shared" si="0"/>
        <v>45964</v>
      </c>
      <c r="U8" s="275">
        <f t="shared" si="0"/>
        <v>45965</v>
      </c>
      <c r="V8" s="275">
        <f t="shared" si="0"/>
        <v>45966</v>
      </c>
      <c r="W8" s="275">
        <f t="shared" si="0"/>
        <v>45967</v>
      </c>
      <c r="X8" s="275">
        <f t="shared" si="0"/>
        <v>45968</v>
      </c>
      <c r="Y8" s="275">
        <f t="shared" si="0"/>
        <v>45969</v>
      </c>
      <c r="Z8" s="275">
        <f t="shared" si="0"/>
        <v>45970</v>
      </c>
      <c r="AA8" s="275">
        <f t="shared" si="0"/>
        <v>45971</v>
      </c>
      <c r="AB8" s="275">
        <f t="shared" si="0"/>
        <v>45972</v>
      </c>
      <c r="AC8" s="275">
        <f t="shared" si="0"/>
        <v>45973</v>
      </c>
      <c r="AD8" s="275">
        <f t="shared" si="0"/>
        <v>45974</v>
      </c>
      <c r="AE8" s="275">
        <f t="shared" si="0"/>
        <v>45975</v>
      </c>
      <c r="AF8" s="275">
        <f t="shared" si="0"/>
        <v>45976</v>
      </c>
      <c r="AG8" s="275">
        <f t="shared" si="0"/>
        <v>45977</v>
      </c>
      <c r="AH8" s="275">
        <f t="shared" si="0"/>
        <v>45978</v>
      </c>
      <c r="AI8" s="275">
        <f t="shared" si="0"/>
        <v>45979</v>
      </c>
      <c r="AJ8" s="275">
        <f t="shared" si="0"/>
        <v>45980</v>
      </c>
      <c r="AK8" s="275">
        <f>AJ8+1</f>
        <v>45981</v>
      </c>
      <c r="AL8" s="58"/>
      <c r="AM8" s="33"/>
      <c r="AN8" s="33"/>
      <c r="AO8" s="33"/>
      <c r="AP8" s="33"/>
      <c r="AQ8" s="33"/>
    </row>
    <row r="9" spans="1:43" x14ac:dyDescent="0.25">
      <c r="A9" s="33"/>
      <c r="B9" s="33"/>
      <c r="C9" s="33"/>
      <c r="D9" s="33"/>
      <c r="E9" s="33"/>
      <c r="F9" s="33"/>
      <c r="G9" s="275"/>
      <c r="H9" s="275"/>
      <c r="I9" s="275"/>
      <c r="J9" s="275"/>
      <c r="K9" s="275"/>
      <c r="L9" s="275"/>
      <c r="M9" s="275"/>
      <c r="N9" s="275"/>
      <c r="O9" s="275"/>
      <c r="P9" s="275"/>
      <c r="Q9" s="275"/>
      <c r="R9" s="275"/>
      <c r="S9" s="275"/>
      <c r="T9" s="275"/>
      <c r="U9" s="275"/>
      <c r="V9" s="275"/>
      <c r="W9" s="275"/>
      <c r="X9" s="275"/>
      <c r="Y9" s="275"/>
      <c r="Z9" s="275"/>
      <c r="AA9" s="275"/>
      <c r="AB9" s="275"/>
      <c r="AC9" s="275"/>
      <c r="AD9" s="275"/>
      <c r="AE9" s="275"/>
      <c r="AF9" s="275"/>
      <c r="AG9" s="275"/>
      <c r="AH9" s="275"/>
      <c r="AI9" s="275"/>
      <c r="AJ9" s="275"/>
      <c r="AK9" s="275"/>
      <c r="AL9" s="58"/>
      <c r="AM9" s="33"/>
      <c r="AN9" s="33"/>
      <c r="AO9" s="33"/>
      <c r="AP9" s="33"/>
      <c r="AQ9" s="33" t="s">
        <v>68</v>
      </c>
    </row>
    <row r="10" spans="1:43" x14ac:dyDescent="0.25">
      <c r="A10" s="33"/>
      <c r="B10" s="33"/>
      <c r="C10" s="33"/>
      <c r="D10" s="33"/>
      <c r="E10" s="33"/>
      <c r="F10" s="33"/>
      <c r="G10" s="275"/>
      <c r="H10" s="275"/>
      <c r="I10" s="275"/>
      <c r="J10" s="275"/>
      <c r="K10" s="275"/>
      <c r="L10" s="275"/>
      <c r="M10" s="275"/>
      <c r="N10" s="275"/>
      <c r="O10" s="275"/>
      <c r="P10" s="275"/>
      <c r="Q10" s="275"/>
      <c r="R10" s="275"/>
      <c r="S10" s="275"/>
      <c r="T10" s="275"/>
      <c r="U10" s="275"/>
      <c r="V10" s="275"/>
      <c r="W10" s="275"/>
      <c r="X10" s="275"/>
      <c r="Y10" s="275"/>
      <c r="Z10" s="275"/>
      <c r="AA10" s="275"/>
      <c r="AB10" s="275"/>
      <c r="AC10" s="275"/>
      <c r="AD10" s="275"/>
      <c r="AE10" s="275"/>
      <c r="AF10" s="275"/>
      <c r="AG10" s="275"/>
      <c r="AH10" s="275"/>
      <c r="AI10" s="275"/>
      <c r="AJ10" s="275"/>
      <c r="AK10" s="275"/>
      <c r="AL10" s="58"/>
      <c r="AM10" s="33"/>
      <c r="AN10" s="33"/>
      <c r="AO10" s="33"/>
      <c r="AP10" s="33"/>
      <c r="AQ10" s="58">
        <v>45658</v>
      </c>
    </row>
    <row r="11" spans="1:43" x14ac:dyDescent="0.25">
      <c r="A11" s="33"/>
      <c r="B11" s="33"/>
      <c r="C11" s="33"/>
      <c r="D11" s="33"/>
      <c r="E11" s="33"/>
      <c r="F11" s="33"/>
      <c r="G11" s="275"/>
      <c r="H11" s="275"/>
      <c r="I11" s="275"/>
      <c r="J11" s="275"/>
      <c r="K11" s="275"/>
      <c r="L11" s="275"/>
      <c r="M11" s="275"/>
      <c r="N11" s="275"/>
      <c r="O11" s="275"/>
      <c r="P11" s="275"/>
      <c r="Q11" s="275"/>
      <c r="R11" s="275"/>
      <c r="S11" s="275"/>
      <c r="T11" s="275"/>
      <c r="U11" s="275"/>
      <c r="V11" s="275"/>
      <c r="W11" s="275"/>
      <c r="X11" s="275"/>
      <c r="Y11" s="275"/>
      <c r="Z11" s="275"/>
      <c r="AA11" s="275"/>
      <c r="AB11" s="275"/>
      <c r="AC11" s="275"/>
      <c r="AD11" s="275"/>
      <c r="AE11" s="275"/>
      <c r="AF11" s="275"/>
      <c r="AG11" s="275"/>
      <c r="AH11" s="275"/>
      <c r="AI11" s="275"/>
      <c r="AJ11" s="275"/>
      <c r="AK11" s="275"/>
      <c r="AL11" s="58"/>
      <c r="AM11" s="33"/>
      <c r="AN11" s="33"/>
      <c r="AO11" s="33"/>
      <c r="AP11" s="33"/>
      <c r="AQ11" s="58">
        <v>45866</v>
      </c>
    </row>
    <row r="12" spans="1:43" ht="6" customHeight="1" x14ac:dyDescent="0.25">
      <c r="A12" s="33"/>
      <c r="B12" s="33"/>
      <c r="C12" s="33"/>
      <c r="D12" s="33"/>
      <c r="E12" s="33"/>
      <c r="F12" s="33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33"/>
      <c r="AM12" s="33"/>
      <c r="AN12" s="33"/>
      <c r="AO12" s="33"/>
      <c r="AP12" s="33"/>
      <c r="AQ12" s="58">
        <v>45867</v>
      </c>
    </row>
    <row r="13" spans="1:43" x14ac:dyDescent="0.25">
      <c r="A13" s="33"/>
      <c r="B13" s="33"/>
      <c r="C13" s="33" t="s">
        <v>47</v>
      </c>
      <c r="D13" s="33"/>
      <c r="E13" s="281" t="s">
        <v>52</v>
      </c>
      <c r="F13" s="281"/>
      <c r="G13" s="46" t="str">
        <f>PROPER(LEFT(TEXT(G8,"dddd"),3))</f>
        <v>Mar</v>
      </c>
      <c r="H13" s="46" t="str">
        <f t="shared" ref="H13:AK13" si="1">PROPER(LEFT(TEXT(H8,"dddd"),3))</f>
        <v>Mié</v>
      </c>
      <c r="I13" s="46" t="str">
        <f t="shared" si="1"/>
        <v>Jue</v>
      </c>
      <c r="J13" s="46" t="str">
        <f t="shared" si="1"/>
        <v>Vie</v>
      </c>
      <c r="K13" s="46" t="str">
        <f t="shared" si="1"/>
        <v>Sáb</v>
      </c>
      <c r="L13" s="46" t="str">
        <f t="shared" si="1"/>
        <v>Dom</v>
      </c>
      <c r="M13" s="46" t="str">
        <f t="shared" si="1"/>
        <v>Lun</v>
      </c>
      <c r="N13" s="46" t="str">
        <f t="shared" si="1"/>
        <v>Mar</v>
      </c>
      <c r="O13" s="46" t="str">
        <f t="shared" si="1"/>
        <v>Mié</v>
      </c>
      <c r="P13" s="46" t="str">
        <f t="shared" si="1"/>
        <v>Jue</v>
      </c>
      <c r="Q13" s="46" t="str">
        <f t="shared" si="1"/>
        <v>Vie</v>
      </c>
      <c r="R13" s="46" t="str">
        <f t="shared" si="1"/>
        <v>Sáb</v>
      </c>
      <c r="S13" s="46" t="str">
        <f t="shared" si="1"/>
        <v>Dom</v>
      </c>
      <c r="T13" s="46" t="str">
        <f t="shared" si="1"/>
        <v>Lun</v>
      </c>
      <c r="U13" s="46" t="str">
        <f t="shared" si="1"/>
        <v>Mar</v>
      </c>
      <c r="V13" s="46" t="str">
        <f t="shared" si="1"/>
        <v>Mié</v>
      </c>
      <c r="W13" s="46" t="str">
        <f t="shared" si="1"/>
        <v>Jue</v>
      </c>
      <c r="X13" s="46" t="str">
        <f t="shared" si="1"/>
        <v>Vie</v>
      </c>
      <c r="Y13" s="46" t="str">
        <f t="shared" si="1"/>
        <v>Sáb</v>
      </c>
      <c r="Z13" s="46" t="str">
        <f t="shared" si="1"/>
        <v>Dom</v>
      </c>
      <c r="AA13" s="46" t="str">
        <f t="shared" si="1"/>
        <v>Lun</v>
      </c>
      <c r="AB13" s="46" t="str">
        <f t="shared" si="1"/>
        <v>Mar</v>
      </c>
      <c r="AC13" s="46" t="str">
        <f t="shared" si="1"/>
        <v>Mié</v>
      </c>
      <c r="AD13" s="46" t="str">
        <f t="shared" si="1"/>
        <v>Jue</v>
      </c>
      <c r="AE13" s="46" t="str">
        <f t="shared" si="1"/>
        <v>Vie</v>
      </c>
      <c r="AF13" s="46" t="str">
        <f t="shared" si="1"/>
        <v>Sáb</v>
      </c>
      <c r="AG13" s="46" t="str">
        <f t="shared" si="1"/>
        <v>Dom</v>
      </c>
      <c r="AH13" s="46" t="str">
        <f t="shared" si="1"/>
        <v>Lun</v>
      </c>
      <c r="AI13" s="46" t="str">
        <f t="shared" si="1"/>
        <v>Mar</v>
      </c>
      <c r="AJ13" s="46" t="str">
        <f t="shared" si="1"/>
        <v>Mié</v>
      </c>
      <c r="AK13" s="46" t="str">
        <f t="shared" si="1"/>
        <v>Jue</v>
      </c>
      <c r="AL13" s="33"/>
      <c r="AM13" s="54" t="s">
        <v>64</v>
      </c>
      <c r="AN13" s="33"/>
      <c r="AO13" s="55" t="s">
        <v>63</v>
      </c>
      <c r="AP13" s="33"/>
      <c r="AQ13" s="58">
        <v>45962</v>
      </c>
    </row>
    <row r="14" spans="1:43" ht="6" customHeight="1" thickBot="1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58">
        <v>46016</v>
      </c>
    </row>
    <row r="15" spans="1:43" ht="19.899999999999999" customHeight="1" x14ac:dyDescent="0.25">
      <c r="A15" s="33"/>
      <c r="B15" s="33"/>
      <c r="C15" s="257" t="s">
        <v>18</v>
      </c>
      <c r="D15" s="33"/>
      <c r="E15" s="279"/>
      <c r="F15" s="280"/>
      <c r="G15" s="69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1"/>
      <c r="AL15" s="33"/>
      <c r="AM15" s="61" cm="1">
        <f t="array" ref="AM15">_xlfn.SWITCH(_HorasExtras,
"Si",SUMPRODUCT(IF(_Datos&lt;=_PorEncimade,_Datos,_PorEncimade),(WEEKDAY($G$8:$AK$8,2)&lt;=6)*1,NOT(ISNUMBER(MATCH($G$8:$AK$8,nFestivos,0)))*1),
"No",SUMPRODUCT(_Datos,(WEEKDAY($G$8:$AK$8,2)&lt;=5)*1,NOT(ISNUMBER(MATCH($G$8:$AK$8,nFestivos,0)))*1))</f>
        <v>0</v>
      </c>
      <c r="AN15" s="62"/>
      <c r="AO15" s="61" cm="1">
        <f t="array" ref="AO15">_xlfn.SWITCH(_HorasExtras,
"Si",SUMPRODUCT(IF(_Datos&gt;_PorEncimade,_Datos-_PorEncimade,0),(WEEKDAY($G$8:$AK$8,2)&lt;=6)*1,NOT(ISNUMBER(MATCH($G$8:$AK$8,nFestivos,0)))*1),
"No",0)</f>
        <v>0</v>
      </c>
      <c r="AP15" s="33"/>
      <c r="AQ15" s="58">
        <v>46022</v>
      </c>
    </row>
    <row r="16" spans="1:43" ht="19.899999999999999" customHeight="1" x14ac:dyDescent="0.25">
      <c r="A16" s="33"/>
      <c r="B16" s="33"/>
      <c r="C16" s="258" t="s">
        <v>16</v>
      </c>
      <c r="D16" s="33"/>
      <c r="E16" s="282"/>
      <c r="F16" s="283"/>
      <c r="G16" s="72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73"/>
      <c r="AL16" s="33"/>
      <c r="AM16" s="61" cm="1">
        <f t="array" ref="AM16">_xlfn.SWITCH(_HorasExtras,
"Si",SUMPRODUCT(IF(_Datos&lt;=_PorEncimade,_Datos,_PorEncimade),(WEEKDAY($G$8:$AK$8,2)&lt;=5)*1,NOT(ISNUMBER(MATCH($G$8:$AK$8,nFestivos,0)))*1),
"No",SUMPRODUCT(_Datos,(WEEKDAY($G$8:$AK$8,2)&lt;=5)*1,NOT(ISNUMBER(MATCH($G$8:$AK$8,nFestivos,0)))*1))</f>
        <v>0</v>
      </c>
      <c r="AN16" s="62"/>
      <c r="AO16" s="61" cm="1">
        <f t="array" ref="AO16">_xlfn.SWITCH(_HorasExtras,
"Si",SUMPRODUCT(IF(_Datos&gt;_PorEncimade,_Datos-_PorEncimade,0),(WEEKDAY($G$8:$AK$8,2)&lt;=6)*1,NOT(ISNUMBER(MATCH($G$8:$AK$8,nFestivos,0)))*1),
"No",0)</f>
        <v>0</v>
      </c>
      <c r="AP16" s="33"/>
      <c r="AQ16" s="33"/>
    </row>
    <row r="17" spans="1:43" ht="19.899999999999999" customHeight="1" x14ac:dyDescent="0.25">
      <c r="A17" s="33"/>
      <c r="B17" s="33"/>
      <c r="C17" s="258" t="s">
        <v>17</v>
      </c>
      <c r="D17" s="33"/>
      <c r="E17" s="49"/>
      <c r="F17" s="66"/>
      <c r="G17" s="72"/>
      <c r="H17" s="61"/>
      <c r="I17" s="61">
        <v>12</v>
      </c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>
        <v>10</v>
      </c>
      <c r="V17" s="61">
        <v>9</v>
      </c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73"/>
      <c r="AL17" s="33"/>
      <c r="AM17" s="61" cm="1">
        <f t="array" ref="AM17">_xlfn.SWITCH(_HorasExtras,
"Si",SUMPRODUCT(IF(_Datos&lt;=_PorEncimade,_Datos,_PorEncimade),(WEEKDAY($G$8:$AK$8,2)&lt;=5)*1,NOT(ISNUMBER(MATCH($G$8:$AK$8,nFestivos,0)))*1),
"No",SUMPRODUCT(_Datos,(WEEKDAY($G$8:$AK$8,2)&lt;=5)*1,NOT(ISNUMBER(MATCH($G$8:$AK$8,nFestivos,0)))*1))</f>
        <v>24</v>
      </c>
      <c r="AN17" s="62"/>
      <c r="AO17" s="61" cm="1">
        <f t="array" ref="AO17">_xlfn.SWITCH(_HorasExtras,
"Si",SUMPRODUCT(IF(_Datos&gt;_PorEncimade,_Datos-_PorEncimade,0),(WEEKDAY($G$8:$AK$8,2)&lt;=6)*1,NOT(ISNUMBER(MATCH($G$8:$AK$8,nFestivos,0)))*1),
"No",0)</f>
        <v>7</v>
      </c>
      <c r="AP17" s="33"/>
      <c r="AQ17" s="33"/>
    </row>
    <row r="18" spans="1:43" ht="19.899999999999999" customHeight="1" x14ac:dyDescent="0.25">
      <c r="A18" s="33"/>
      <c r="B18" s="33"/>
      <c r="C18" s="258" t="s">
        <v>22</v>
      </c>
      <c r="D18" s="33"/>
      <c r="E18" s="49"/>
      <c r="F18" s="66"/>
      <c r="G18" s="72"/>
      <c r="H18" s="61"/>
      <c r="I18" s="61">
        <v>12</v>
      </c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73"/>
      <c r="AL18" s="33"/>
      <c r="AM18" s="61" cm="1">
        <f t="array" ref="AM18">_xlfn.SWITCH(_HorasExtras,
"Si",SUMPRODUCT(IF(_Datos&lt;=_PorEncimade,_Datos,_PorEncimade),(WEEKDAY($G$8:$AK$8,2)&lt;=5)*1,NOT(ISNUMBER(MATCH($G$8:$AK$8,nFestivos,0)))*1),
"No",SUMPRODUCT(_Datos,(WEEKDAY($G$8:$AK$8,2)&lt;=5)*1,NOT(ISNUMBER(MATCH($G$8:$AK$8,nFestivos,0)))*1))</f>
        <v>8</v>
      </c>
      <c r="AN18" s="62"/>
      <c r="AO18" s="61" cm="1">
        <f t="array" ref="AO18">_xlfn.SWITCH(_HorasExtras,
"Si",SUMPRODUCT(IF(_Datos&gt;_PorEncimade,_Datos-_PorEncimade,0),(WEEKDAY($G$8:$AK$8,2)&lt;=6)*1,NOT(ISNUMBER(MATCH($G$8:$AK$8,nFestivos,0)))*1),
"No",0)</f>
        <v>4</v>
      </c>
      <c r="AP18" s="33"/>
      <c r="AQ18" s="33"/>
    </row>
    <row r="19" spans="1:43" ht="19.899999999999999" customHeight="1" x14ac:dyDescent="0.25">
      <c r="A19" s="33"/>
      <c r="B19" s="33"/>
      <c r="C19" s="258" t="s">
        <v>21</v>
      </c>
      <c r="D19" s="33"/>
      <c r="E19" s="49"/>
      <c r="F19" s="66"/>
      <c r="G19" s="72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73"/>
      <c r="AL19" s="33"/>
      <c r="AM19" s="61" cm="1">
        <f t="array" ref="AM19">_xlfn.SWITCH(_HorasExtras,
"Si",SUMPRODUCT(IF(_Datos&lt;=_PorEncimade,_Datos,_PorEncimade),(WEEKDAY($G$8:$AK$8,2)&lt;=5)*1,NOT(ISNUMBER(MATCH($G$8:$AK$8,nFestivos,0)))*1),
"No",SUMPRODUCT(_Datos,(WEEKDAY($G$8:$AK$8,2)&lt;=5)*1,NOT(ISNUMBER(MATCH($G$8:$AK$8,nFestivos,0)))*1))</f>
        <v>0</v>
      </c>
      <c r="AN19" s="62"/>
      <c r="AO19" s="61" cm="1">
        <f t="array" ref="AO19">_xlfn.SWITCH(_HorasExtras,
"Si",SUMPRODUCT(IF(_Datos&gt;_PorEncimade,_Datos-_PorEncimade,0),(WEEKDAY($G$8:$AK$8,2)&lt;=6)*1,NOT(ISNUMBER(MATCH($G$8:$AK$8,nFestivos,0)))*1),
"No",0)</f>
        <v>0</v>
      </c>
      <c r="AP19" s="33"/>
      <c r="AQ19" s="33"/>
    </row>
    <row r="20" spans="1:43" ht="19.899999999999999" customHeight="1" x14ac:dyDescent="0.25">
      <c r="A20" s="33"/>
      <c r="B20" s="33"/>
      <c r="C20" s="258" t="s">
        <v>25</v>
      </c>
      <c r="D20" s="33"/>
      <c r="E20" s="49"/>
      <c r="F20" s="66"/>
      <c r="G20" s="72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73"/>
      <c r="AL20" s="33"/>
      <c r="AM20" s="61" cm="1">
        <f t="array" ref="AM20">_xlfn.SWITCH(_HorasExtras,
"Si",SUMPRODUCT(IF(_Datos&lt;=_PorEncimade,_Datos,_PorEncimade),(WEEKDAY($G$8:$AK$8,2)&lt;=5)*1,NOT(ISNUMBER(MATCH($G$8:$AK$8,nFestivos,0)))*1),
"No",SUMPRODUCT(_Datos,(WEEKDAY($G$8:$AK$8,2)&lt;=5)*1,NOT(ISNUMBER(MATCH($G$8:$AK$8,nFestivos,0)))*1))</f>
        <v>0</v>
      </c>
      <c r="AN20" s="62"/>
      <c r="AO20" s="61" cm="1">
        <f t="array" ref="AO20">_xlfn.SWITCH(_HorasExtras,
"Si",SUMPRODUCT(IF(_Datos&gt;_PorEncimade,_Datos-_PorEncimade,0),(WEEKDAY($G$8:$AK$8,2)&lt;=6)*1,NOT(ISNUMBER(MATCH($G$8:$AK$8,nFestivos,0)))*1),
"No",0)</f>
        <v>0</v>
      </c>
      <c r="AP20" s="33"/>
      <c r="AQ20" s="33"/>
    </row>
    <row r="21" spans="1:43" ht="19.899999999999999" customHeight="1" x14ac:dyDescent="0.25">
      <c r="A21" s="33"/>
      <c r="B21" s="33"/>
      <c r="C21" s="258" t="s">
        <v>104</v>
      </c>
      <c r="D21" s="33"/>
      <c r="E21" s="49"/>
      <c r="F21" s="66"/>
      <c r="G21" s="72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73"/>
      <c r="AL21" s="33"/>
      <c r="AM21" s="61" cm="1">
        <f t="array" ref="AM21">_xlfn.SWITCH(_HorasExtras,
"Si",SUMPRODUCT(IF(_Datos&lt;=_PorEncimade,_Datos,_PorEncimade),(WEEKDAY($G$8:$AK$8,2)&lt;=5)*1,NOT(ISNUMBER(MATCH($G$8:$AK$8,nFestivos,0)))*1),
"No",SUMPRODUCT(_Datos,(WEEKDAY($G$8:$AK$8,2)&lt;=5)*1,NOT(ISNUMBER(MATCH($G$8:$AK$8,nFestivos,0)))*1))</f>
        <v>0</v>
      </c>
      <c r="AN21" s="62"/>
      <c r="AO21" s="61" cm="1">
        <f t="array" ref="AO21">_xlfn.SWITCH(_HorasExtras,
"Si",SUMPRODUCT(IF(_Datos&gt;_PorEncimade,_Datos-_PorEncimade,0),(WEEKDAY($G$8:$AK$8,2)&lt;=6)*1,NOT(ISNUMBER(MATCH($G$8:$AK$8,nFestivos,0)))*1),
"No",0)</f>
        <v>0</v>
      </c>
      <c r="AP21" s="33"/>
      <c r="AQ21" s="33"/>
    </row>
    <row r="22" spans="1:43" ht="19.899999999999999" customHeight="1" x14ac:dyDescent="0.25">
      <c r="A22" s="33"/>
      <c r="B22" s="33"/>
      <c r="C22" s="258" t="s">
        <v>106</v>
      </c>
      <c r="D22" s="33"/>
      <c r="E22" s="49"/>
      <c r="F22" s="66"/>
      <c r="G22" s="72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73"/>
      <c r="AL22" s="33"/>
      <c r="AM22" s="61" cm="1">
        <f t="array" ref="AM22">_xlfn.SWITCH(_HorasExtras,
"Si",SUMPRODUCT(IF(_Datos&lt;=_PorEncimade,_Datos,_PorEncimade),(WEEKDAY($G$8:$AK$8,2)&lt;=5)*1,NOT(ISNUMBER(MATCH($G$8:$AK$8,nFestivos,0)))*1),
"No",SUMPRODUCT(_Datos,(WEEKDAY($G$8:$AK$8,2)&lt;=5)*1,NOT(ISNUMBER(MATCH($G$8:$AK$8,nFestivos,0)))*1))</f>
        <v>0</v>
      </c>
      <c r="AN22" s="62"/>
      <c r="AO22" s="61" cm="1">
        <f t="array" ref="AO22">_xlfn.SWITCH(_HorasExtras,
"Si",SUMPRODUCT(IF(_Datos&gt;_PorEncimade,_Datos-_PorEncimade,0),(WEEKDAY($G$8:$AK$8,2)&lt;=6)*1,NOT(ISNUMBER(MATCH($G$8:$AK$8,nFestivos,0)))*1),
"No",0)</f>
        <v>0</v>
      </c>
      <c r="AP22" s="33"/>
      <c r="AQ22" s="33"/>
    </row>
    <row r="23" spans="1:43" ht="19.899999999999999" customHeight="1" x14ac:dyDescent="0.25">
      <c r="A23" s="33"/>
      <c r="B23" s="33"/>
      <c r="C23" s="258" t="s">
        <v>107</v>
      </c>
      <c r="D23" s="33"/>
      <c r="E23" s="49"/>
      <c r="F23" s="66"/>
      <c r="G23" s="72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73"/>
      <c r="AL23" s="33"/>
      <c r="AM23" s="61" cm="1">
        <f t="array" ref="AM23">_xlfn.SWITCH(_HorasExtras,
"Si",SUMPRODUCT(IF(_Datos&lt;=_PorEncimade,_Datos,_PorEncimade),(WEEKDAY($G$8:$AK$8,2)&lt;=5)*1,NOT(ISNUMBER(MATCH($G$8:$AK$8,nFestivos,0)))*1),
"No",SUMPRODUCT(_Datos,(WEEKDAY($G$8:$AK$8,2)&lt;=5)*1,NOT(ISNUMBER(MATCH($G$8:$AK$8,nFestivos,0)))*1))</f>
        <v>0</v>
      </c>
      <c r="AN23" s="62"/>
      <c r="AO23" s="61" cm="1">
        <f t="array" ref="AO23">_xlfn.SWITCH(_HorasExtras,
"Si",SUMPRODUCT(IF(_Datos&gt;_PorEncimade,_Datos-_PorEncimade,0),(WEEKDAY($G$8:$AK$8,2)&lt;=6)*1,NOT(ISNUMBER(MATCH($G$8:$AK$8,nFestivos,0)))*1),
"No",0)</f>
        <v>0</v>
      </c>
      <c r="AP23" s="33"/>
      <c r="AQ23" s="33"/>
    </row>
    <row r="24" spans="1:43" ht="19.899999999999999" customHeight="1" x14ac:dyDescent="0.25">
      <c r="A24" s="33"/>
      <c r="B24" s="33"/>
      <c r="C24" s="258" t="s">
        <v>108</v>
      </c>
      <c r="D24" s="33"/>
      <c r="E24" s="49"/>
      <c r="F24" s="66"/>
      <c r="G24" s="72"/>
      <c r="H24" s="61"/>
      <c r="I24" s="61">
        <v>12</v>
      </c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73"/>
      <c r="AL24" s="33"/>
      <c r="AM24" s="61" cm="1">
        <f t="array" ref="AM24">_xlfn.SWITCH(_HorasExtras,
"Si",SUMPRODUCT(IF(_Datos&lt;=_PorEncimade,_Datos,_PorEncimade),(WEEKDAY($G$8:$AK$8,2)&lt;=5)*1,NOT(ISNUMBER(MATCH($G$8:$AK$8,nFestivos,0)))*1),
"No",SUMPRODUCT(_Datos,(WEEKDAY($G$8:$AK$8,2)&lt;=5)*1,NOT(ISNUMBER(MATCH($G$8:$AK$8,nFestivos,0)))*1))</f>
        <v>8</v>
      </c>
      <c r="AN24" s="62"/>
      <c r="AO24" s="61" cm="1">
        <f t="array" ref="AO24">_xlfn.SWITCH(_HorasExtras,
"Si",SUMPRODUCT(IF(_Datos&gt;_PorEncimade,_Datos-_PorEncimade,0),(WEEKDAY($G$8:$AK$8,2)&lt;=6)*1,NOT(ISNUMBER(MATCH($G$8:$AK$8,nFestivos,0)))*1),
"No",0)</f>
        <v>4</v>
      </c>
      <c r="AP24" s="33"/>
      <c r="AQ24" s="33"/>
    </row>
    <row r="25" spans="1:43" ht="19.899999999999999" customHeight="1" x14ac:dyDescent="0.25">
      <c r="A25" s="33"/>
      <c r="B25" s="33"/>
      <c r="C25" s="258" t="s">
        <v>115</v>
      </c>
      <c r="D25" s="33"/>
      <c r="E25" s="49"/>
      <c r="F25" s="66"/>
      <c r="G25" s="72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73"/>
      <c r="AL25" s="33"/>
      <c r="AM25" s="61" cm="1">
        <f t="array" ref="AM25">_xlfn.SWITCH(_HorasExtras,
"Si",SUMPRODUCT(IF(_Datos&lt;=_PorEncimade,_Datos,_PorEncimade),(WEEKDAY($G$8:$AK$8,2)&lt;=5)*1,NOT(ISNUMBER(MATCH($G$8:$AK$8,nFestivos,0)))*1),
"No",SUMPRODUCT(_Datos,(WEEKDAY($G$8:$AK$8,2)&lt;=5)*1,NOT(ISNUMBER(MATCH($G$8:$AK$8,nFestivos,0)))*1))</f>
        <v>0</v>
      </c>
      <c r="AN25" s="62"/>
      <c r="AO25" s="61" cm="1">
        <f t="array" ref="AO25">_xlfn.SWITCH(_HorasExtras,
"Si",SUMPRODUCT(IF(_Datos&gt;_PorEncimade,_Datos-_PorEncimade,0),(WEEKDAY($G$8:$AK$8,2)&lt;=6)*1,NOT(ISNUMBER(MATCH($G$8:$AK$8,nFestivos,0)))*1),
"No",0)</f>
        <v>0</v>
      </c>
      <c r="AP25" s="33"/>
      <c r="AQ25" s="33"/>
    </row>
    <row r="26" spans="1:43" ht="19.899999999999999" customHeight="1" x14ac:dyDescent="0.25">
      <c r="A26" s="33"/>
      <c r="B26" s="33"/>
      <c r="C26" s="258" t="s">
        <v>133</v>
      </c>
      <c r="D26" s="33"/>
      <c r="E26" s="49"/>
      <c r="F26" s="66"/>
      <c r="G26" s="72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73"/>
      <c r="AL26" s="33"/>
      <c r="AM26" s="61" cm="1">
        <f t="array" ref="AM26">_xlfn.SWITCH(_HorasExtras,
"Si",SUMPRODUCT(IF(_Datos&lt;=_PorEncimade,_Datos,_PorEncimade),(WEEKDAY($G$8:$AK$8,2)&lt;=5)*1,NOT(ISNUMBER(MATCH($G$8:$AK$8,nFestivos,0)))*1),
"No",SUMPRODUCT(_Datos,(WEEKDAY($G$8:$AK$8,2)&lt;=5)*1,NOT(ISNUMBER(MATCH($G$8:$AK$8,nFestivos,0)))*1))</f>
        <v>0</v>
      </c>
      <c r="AN26" s="62"/>
      <c r="AO26" s="61" cm="1">
        <f t="array" ref="AO26">_xlfn.SWITCH(_HorasExtras,
"Si",SUMPRODUCT(IF(_Datos&gt;_PorEncimade,_Datos-_PorEncimade,0),(WEEKDAY($G$8:$AK$8,2)&lt;=6)*1,NOT(ISNUMBER(MATCH($G$8:$AK$8,nFestivos,0)))*1),
"No",0)</f>
        <v>0</v>
      </c>
      <c r="AP26" s="33"/>
      <c r="AQ26" s="33"/>
    </row>
    <row r="27" spans="1:43" ht="19.899999999999999" customHeight="1" x14ac:dyDescent="0.25">
      <c r="A27" s="33"/>
      <c r="B27" s="33"/>
      <c r="C27" s="258" t="s">
        <v>202</v>
      </c>
      <c r="D27" s="33"/>
      <c r="E27" s="49"/>
      <c r="F27" s="66"/>
      <c r="G27" s="72"/>
      <c r="H27" s="61"/>
      <c r="I27" s="61">
        <v>12</v>
      </c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>
        <v>10</v>
      </c>
      <c r="V27" s="61">
        <v>9</v>
      </c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73"/>
      <c r="AL27" s="33"/>
      <c r="AM27" s="61" cm="1">
        <f t="array" ref="AM27">_xlfn.SWITCH(_HorasExtras,
"Si",SUMPRODUCT(IF(_Datos&lt;=_PorEncimade,_Datos,_PorEncimade),(WEEKDAY($G$8:$AK$8,2)&lt;=5)*1,NOT(ISNUMBER(MATCH($G$8:$AK$8,nFestivos,0)))*1),
"No",SUMPRODUCT(_Datos,(WEEKDAY($G$8:$AK$8,2)&lt;=5)*1,NOT(ISNUMBER(MATCH($G$8:$AK$8,nFestivos,0)))*1))</f>
        <v>24</v>
      </c>
      <c r="AN27" s="62"/>
      <c r="AO27" s="61" cm="1">
        <f t="array" ref="AO27">_xlfn.SWITCH(_HorasExtras,
"Si",SUMPRODUCT(IF(_Datos&gt;_PorEncimade,_Datos-_PorEncimade,0),(WEEKDAY($G$8:$AK$8,2)&lt;=6)*1,NOT(ISNUMBER(MATCH($G$8:$AK$8,nFestivos,0)))*1),
"No",0)</f>
        <v>7</v>
      </c>
      <c r="AP27" s="33"/>
      <c r="AQ27" s="33"/>
    </row>
    <row r="28" spans="1:43" ht="19.899999999999999" customHeight="1" x14ac:dyDescent="0.25">
      <c r="A28" s="33"/>
      <c r="B28" s="33"/>
      <c r="C28" s="258" t="s">
        <v>184</v>
      </c>
      <c r="D28" s="33"/>
      <c r="E28" s="49"/>
      <c r="F28" s="66"/>
      <c r="G28" s="72"/>
      <c r="H28" s="61"/>
      <c r="I28" s="61">
        <v>11</v>
      </c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>
        <v>10</v>
      </c>
      <c r="V28" s="61">
        <v>9</v>
      </c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73"/>
      <c r="AL28" s="33"/>
      <c r="AM28" s="61" cm="1">
        <f t="array" ref="AM28">_xlfn.SWITCH(_HorasExtras,
"Si",SUMPRODUCT(IF(_Datos&lt;=_PorEncimade,_Datos,_PorEncimade),(WEEKDAY($G$8:$AK$8,2)&lt;=5)*1,NOT(ISNUMBER(MATCH($G$8:$AK$8,nFestivos,0)))*1),
"No",SUMPRODUCT(_Datos,(WEEKDAY($G$8:$AK$8,2)&lt;=5)*1,NOT(ISNUMBER(MATCH($G$8:$AK$8,nFestivos,0)))*1))</f>
        <v>24</v>
      </c>
      <c r="AN28" s="62"/>
      <c r="AO28" s="61" cm="1">
        <f t="array" ref="AO28">_xlfn.SWITCH(_HorasExtras,
"Si",SUMPRODUCT(IF(_Datos&gt;_PorEncimade,_Datos-_PorEncimade,0),(WEEKDAY($G$8:$AK$8,2)&lt;=6)*1,NOT(ISNUMBER(MATCH($G$8:$AK$8,nFestivos,0)))*1),
"No",0)</f>
        <v>6</v>
      </c>
      <c r="AP28" s="33"/>
      <c r="AQ28" s="33"/>
    </row>
    <row r="29" spans="1:43" ht="19.899999999999999" customHeight="1" x14ac:dyDescent="0.25">
      <c r="A29" s="33"/>
      <c r="B29" s="33"/>
      <c r="C29" s="258" t="s">
        <v>196</v>
      </c>
      <c r="D29" s="33"/>
      <c r="E29" s="49"/>
      <c r="F29" s="66"/>
      <c r="G29" s="72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>
        <v>10</v>
      </c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73"/>
      <c r="AL29" s="33"/>
      <c r="AM29" s="61" cm="1">
        <f t="array" ref="AM29">_xlfn.SWITCH(_HorasExtras,
"Si",SUMPRODUCT(IF(_Datos&lt;=_PorEncimade,_Datos,_PorEncimade),(WEEKDAY($G$8:$AK$8,2)&lt;=5)*1,NOT(ISNUMBER(MATCH($G$8:$AK$8,nFestivos,0)))*1),
"No",SUMPRODUCT(_Datos,(WEEKDAY($G$8:$AK$8,2)&lt;=5)*1,NOT(ISNUMBER(MATCH($G$8:$AK$8,nFestivos,0)))*1))</f>
        <v>8</v>
      </c>
      <c r="AN29" s="62"/>
      <c r="AO29" s="61" cm="1">
        <f t="array" ref="AO29">_xlfn.SWITCH(_HorasExtras,
"Si",SUMPRODUCT(IF(_Datos&gt;_PorEncimade,_Datos-_PorEncimade,0),(WEEKDAY($G$8:$AK$8,2)&lt;=6)*1,NOT(ISNUMBER(MATCH($G$8:$AK$8,nFestivos,0)))*1),
"No",0)</f>
        <v>2</v>
      </c>
      <c r="AP29" s="33"/>
      <c r="AQ29" s="33"/>
    </row>
    <row r="30" spans="1:43" ht="19.899999999999999" customHeight="1" x14ac:dyDescent="0.25">
      <c r="A30" s="33"/>
      <c r="B30" s="33"/>
      <c r="C30" s="258" t="s">
        <v>243</v>
      </c>
      <c r="D30" s="33"/>
      <c r="E30" s="49"/>
      <c r="F30" s="66"/>
      <c r="G30" s="72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73"/>
      <c r="AL30" s="33"/>
      <c r="AM30" s="61" cm="1">
        <f t="array" ref="AM30">_xlfn.SWITCH(_HorasExtras,
"Si",SUMPRODUCT(IF(_Datos&lt;=_PorEncimade,_Datos,_PorEncimade),(WEEKDAY($G$8:$AK$8,2)&lt;=5)*1,NOT(ISNUMBER(MATCH($G$8:$AK$8,nFestivos,0)))*1),
"No",SUMPRODUCT(_Datos,(WEEKDAY($G$8:$AK$8,2)&lt;=5)*1,NOT(ISNUMBER(MATCH($G$8:$AK$8,nFestivos,0)))*1))</f>
        <v>0</v>
      </c>
      <c r="AN30" s="62"/>
      <c r="AO30" s="61" cm="1">
        <f t="array" ref="AO30">_xlfn.SWITCH(_HorasExtras,
"Si",SUMPRODUCT(IF(_Datos&gt;_PorEncimade,_Datos-_PorEncimade,0),(WEEKDAY($G$8:$AK$8,2)&lt;=6)*1,NOT(ISNUMBER(MATCH($G$8:$AK$8,nFestivos,0)))*1),
"No",0)</f>
        <v>0</v>
      </c>
      <c r="AP30" s="33"/>
      <c r="AQ30" s="33"/>
    </row>
    <row r="31" spans="1:43" ht="19.899999999999999" customHeight="1" x14ac:dyDescent="0.25">
      <c r="A31" s="33"/>
      <c r="B31" s="33"/>
      <c r="C31" s="258" t="s">
        <v>244</v>
      </c>
      <c r="D31" s="33"/>
      <c r="E31" s="49"/>
      <c r="F31" s="66"/>
      <c r="G31" s="72"/>
      <c r="H31" s="61"/>
      <c r="I31" s="61">
        <v>11</v>
      </c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73"/>
      <c r="AL31" s="33"/>
      <c r="AM31" s="61" cm="1">
        <f t="array" ref="AM31">_xlfn.SWITCH(_HorasExtras,
"Si",SUMPRODUCT(IF(_Datos&lt;=_PorEncimade,_Datos,_PorEncimade),(WEEKDAY($G$8:$AK$8,2)&lt;=5)*1,NOT(ISNUMBER(MATCH($G$8:$AK$8,nFestivos,0)))*1),
"No",SUMPRODUCT(_Datos,(WEEKDAY($G$8:$AK$8,2)&lt;=5)*1,NOT(ISNUMBER(MATCH($G$8:$AK$8,nFestivos,0)))*1))</f>
        <v>8</v>
      </c>
      <c r="AN31" s="62"/>
      <c r="AO31" s="61" cm="1">
        <f t="array" ref="AO31">_xlfn.SWITCH(_HorasExtras,
"Si",SUMPRODUCT(IF(_Datos&gt;_PorEncimade,_Datos-_PorEncimade,0),(WEEKDAY($G$8:$AK$8,2)&lt;=6)*1,NOT(ISNUMBER(MATCH($G$8:$AK$8,nFestivos,0)))*1),
"No",0)</f>
        <v>3</v>
      </c>
      <c r="AP31" s="33"/>
      <c r="AQ31" s="33"/>
    </row>
    <row r="32" spans="1:43" ht="19.899999999999999" customHeight="1" x14ac:dyDescent="0.25">
      <c r="A32" s="33"/>
      <c r="B32" s="33"/>
      <c r="C32" s="258" t="s">
        <v>245</v>
      </c>
      <c r="D32" s="33"/>
      <c r="E32" s="49"/>
      <c r="F32" s="66"/>
      <c r="G32" s="72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>
        <v>10</v>
      </c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73"/>
      <c r="AL32" s="33"/>
      <c r="AM32" s="61" cm="1">
        <f t="array" ref="AM32">_xlfn.SWITCH(_HorasExtras,
"Si",SUMPRODUCT(IF(_Datos&lt;=_PorEncimade,_Datos,_PorEncimade),(WEEKDAY($G$8:$AK$8,2)&lt;=5)*1,NOT(ISNUMBER(MATCH($G$8:$AK$8,nFestivos,0)))*1),
"No",SUMPRODUCT(_Datos,(WEEKDAY($G$8:$AK$8,2)&lt;=5)*1,NOT(ISNUMBER(MATCH($G$8:$AK$8,nFestivos,0)))*1))</f>
        <v>8</v>
      </c>
      <c r="AN32" s="62"/>
      <c r="AO32" s="61" cm="1">
        <f t="array" ref="AO32">_xlfn.SWITCH(_HorasExtras,
"Si",SUMPRODUCT(IF(_Datos&gt;_PorEncimade,_Datos-_PorEncimade,0),(WEEKDAY($G$8:$AK$8,2)&lt;=6)*1,NOT(ISNUMBER(MATCH($G$8:$AK$8,nFestivos,0)))*1),
"No",0)</f>
        <v>2</v>
      </c>
      <c r="AP32" s="33"/>
      <c r="AQ32" s="33"/>
    </row>
    <row r="33" spans="1:43" ht="19.899999999999999" customHeight="1" x14ac:dyDescent="0.25">
      <c r="A33" s="33"/>
      <c r="B33" s="33"/>
      <c r="C33" s="258" t="s">
        <v>246</v>
      </c>
      <c r="D33" s="33"/>
      <c r="E33" s="49"/>
      <c r="F33" s="66"/>
      <c r="G33" s="72"/>
      <c r="H33" s="61"/>
      <c r="I33" s="61">
        <v>12</v>
      </c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73"/>
      <c r="AL33" s="33"/>
      <c r="AM33" s="61" cm="1">
        <f t="array" ref="AM33">_xlfn.SWITCH(_HorasExtras,
"Si",SUMPRODUCT(IF(_Datos&lt;=_PorEncimade,_Datos,_PorEncimade),(WEEKDAY($G$8:$AK$8,2)&lt;=5)*1,NOT(ISNUMBER(MATCH($G$8:$AK$8,nFestivos,0)))*1),
"No",SUMPRODUCT(_Datos,(WEEKDAY($G$8:$AK$8,2)&lt;=5)*1,NOT(ISNUMBER(MATCH($G$8:$AK$8,nFestivos,0)))*1))</f>
        <v>8</v>
      </c>
      <c r="AN33" s="62"/>
      <c r="AO33" s="61" cm="1">
        <f t="array" ref="AO33">_xlfn.SWITCH(_HorasExtras,
"Si",SUMPRODUCT(IF(_Datos&gt;_PorEncimade,_Datos-_PorEncimade,0),(WEEKDAY($G$8:$AK$8,2)&lt;=6)*1,NOT(ISNUMBER(MATCH($G$8:$AK$8,nFestivos,0)))*1),
"No",0)</f>
        <v>4</v>
      </c>
      <c r="AP33" s="33"/>
      <c r="AQ33" s="33"/>
    </row>
    <row r="34" spans="1:43" ht="19.899999999999999" customHeight="1" x14ac:dyDescent="0.25">
      <c r="A34" s="33"/>
      <c r="B34" s="33"/>
      <c r="C34" s="258" t="s">
        <v>247</v>
      </c>
      <c r="D34" s="33"/>
      <c r="E34" s="49"/>
      <c r="F34" s="66"/>
      <c r="G34" s="72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>
        <v>10</v>
      </c>
      <c r="V34" s="61">
        <v>9</v>
      </c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73"/>
      <c r="AL34" s="33"/>
      <c r="AM34" s="61" cm="1">
        <f t="array" ref="AM34">_xlfn.SWITCH(_HorasExtras,
"Si",SUMPRODUCT(IF(_Datos&lt;=_PorEncimade,_Datos,_PorEncimade),(WEEKDAY($G$8:$AK$8,2)&lt;=5)*1,NOT(ISNUMBER(MATCH($G$8:$AK$8,nFestivos,0)))*1),
"No",SUMPRODUCT(_Datos,(WEEKDAY($G$8:$AK$8,2)&lt;=5)*1,NOT(ISNUMBER(MATCH($G$8:$AK$8,nFestivos,0)))*1))</f>
        <v>16</v>
      </c>
      <c r="AN34" s="62"/>
      <c r="AO34" s="61" cm="1">
        <f t="array" ref="AO34">_xlfn.SWITCH(_HorasExtras,
"Si",SUMPRODUCT(IF(_Datos&gt;_PorEncimade,_Datos-_PorEncimade,0),(WEEKDAY($G$8:$AK$8,2)&lt;=6)*1,NOT(ISNUMBER(MATCH($G$8:$AK$8,nFestivos,0)))*1),
"No",0)</f>
        <v>3</v>
      </c>
      <c r="AP34" s="33"/>
      <c r="AQ34" s="33"/>
    </row>
    <row r="35" spans="1:43" ht="19.899999999999999" customHeight="1" x14ac:dyDescent="0.25">
      <c r="A35" s="33"/>
      <c r="B35" s="33"/>
      <c r="C35" s="258" t="s">
        <v>248</v>
      </c>
      <c r="D35" s="33"/>
      <c r="E35" s="49"/>
      <c r="F35" s="66"/>
      <c r="G35" s="72"/>
      <c r="H35" s="61"/>
      <c r="I35" s="61">
        <v>11</v>
      </c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73"/>
      <c r="AL35" s="33"/>
      <c r="AM35" s="61" cm="1">
        <f t="array" ref="AM35">_xlfn.SWITCH(_HorasExtras,
"Si",SUMPRODUCT(IF(_Datos&lt;=_PorEncimade,_Datos,_PorEncimade),(WEEKDAY($G$8:$AK$8,2)&lt;=5)*1,NOT(ISNUMBER(MATCH($G$8:$AK$8,nFestivos,0)))*1),
"No",SUMPRODUCT(_Datos,(WEEKDAY($G$8:$AK$8,2)&lt;=5)*1,NOT(ISNUMBER(MATCH($G$8:$AK$8,nFestivos,0)))*1))</f>
        <v>8</v>
      </c>
      <c r="AN35" s="62"/>
      <c r="AO35" s="61" cm="1">
        <f t="array" ref="AO35">_xlfn.SWITCH(_HorasExtras,
"Si",SUMPRODUCT(IF(_Datos&gt;_PorEncimade,_Datos-_PorEncimade,0),(WEEKDAY($G$8:$AK$8,2)&lt;=6)*1,NOT(ISNUMBER(MATCH($G$8:$AK$8,nFestivos,0)))*1),
"No",0)</f>
        <v>3</v>
      </c>
      <c r="AP35" s="33"/>
      <c r="AQ35" s="33"/>
    </row>
    <row r="36" spans="1:43" ht="19.899999999999999" customHeight="1" x14ac:dyDescent="0.25">
      <c r="A36" s="33"/>
      <c r="B36" s="33"/>
      <c r="C36" s="258" t="s">
        <v>262</v>
      </c>
      <c r="D36" s="33"/>
      <c r="E36" s="49"/>
      <c r="F36" s="66"/>
      <c r="G36" s="72"/>
      <c r="H36" s="61"/>
      <c r="I36" s="61">
        <v>11</v>
      </c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73"/>
      <c r="AL36" s="33"/>
      <c r="AM36" s="61" cm="1">
        <f t="array" ref="AM36">_xlfn.SWITCH(_HorasExtras,
"Si",SUMPRODUCT(IF(_Datos&lt;=_PorEncimade,_Datos,_PorEncimade),(WEEKDAY($G$8:$AK$8,2)&lt;=5)*1,NOT(ISNUMBER(MATCH($G$8:$AK$8,nFestivos,0)))*1),
"No",SUMPRODUCT(_Datos,(WEEKDAY($G$8:$AK$8,2)&lt;=5)*1,NOT(ISNUMBER(MATCH($G$8:$AK$8,nFestivos,0)))*1))</f>
        <v>8</v>
      </c>
      <c r="AN36" s="62"/>
      <c r="AO36" s="61" cm="1">
        <f t="array" ref="AO36">_xlfn.SWITCH(_HorasExtras,
"Si",SUMPRODUCT(IF(_Datos&gt;_PorEncimade,_Datos-_PorEncimade,0),(WEEKDAY($G$8:$AK$8,2)&lt;=6)*1,NOT(ISNUMBER(MATCH($G$8:$AK$8,nFestivos,0)))*1),
"No",0)</f>
        <v>3</v>
      </c>
      <c r="AP36" s="33"/>
      <c r="AQ36" s="33"/>
    </row>
    <row r="37" spans="1:43" ht="19.899999999999999" customHeight="1" x14ac:dyDescent="0.25">
      <c r="A37" s="33"/>
      <c r="B37" s="33"/>
      <c r="C37" s="258" t="s">
        <v>264</v>
      </c>
      <c r="D37" s="33"/>
      <c r="E37" s="49"/>
      <c r="F37" s="66"/>
      <c r="G37" s="72"/>
      <c r="H37" s="61"/>
      <c r="I37" s="61">
        <v>11</v>
      </c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73"/>
      <c r="AL37" s="33"/>
      <c r="AM37" s="61" cm="1">
        <f t="array" ref="AM37">_xlfn.SWITCH(_HorasExtras,
"Si",SUMPRODUCT(IF(_Datos&lt;=_PorEncimade,_Datos,_PorEncimade),(WEEKDAY($G$8:$AK$8,2)&lt;=5)*1,NOT(ISNUMBER(MATCH($G$8:$AK$8,nFestivos,0)))*1),
"No",SUMPRODUCT(_Datos,(WEEKDAY($G$8:$AK$8,2)&lt;=5)*1,NOT(ISNUMBER(MATCH($G$8:$AK$8,nFestivos,0)))*1))</f>
        <v>8</v>
      </c>
      <c r="AN37" s="62"/>
      <c r="AO37" s="61" cm="1">
        <f t="array" ref="AO37">_xlfn.SWITCH(_HorasExtras,
"Si",SUMPRODUCT(IF(_Datos&gt;_PorEncimade,_Datos-_PorEncimade,0),(WEEKDAY($G$8:$AK$8,2)&lt;=6)*1,NOT(ISNUMBER(MATCH($G$8:$AK$8,nFestivos,0)))*1),
"No",0)</f>
        <v>3</v>
      </c>
      <c r="AP37" s="33"/>
      <c r="AQ37" s="33"/>
    </row>
    <row r="38" spans="1:43" ht="19.899999999999999" customHeight="1" x14ac:dyDescent="0.25">
      <c r="A38" s="33"/>
      <c r="B38" s="33"/>
      <c r="C38" s="258" t="s">
        <v>266</v>
      </c>
      <c r="D38" s="33"/>
      <c r="E38" s="49"/>
      <c r="F38" s="66"/>
      <c r="G38" s="72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>
        <v>10</v>
      </c>
      <c r="V38" s="61">
        <v>9</v>
      </c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73"/>
      <c r="AL38" s="33"/>
      <c r="AM38" s="61" cm="1">
        <f t="array" ref="AM38">_xlfn.SWITCH(_HorasExtras,
"Si",SUMPRODUCT(IF(_Datos&lt;=_PorEncimade,_Datos,_PorEncimade),(WEEKDAY($G$8:$AK$8,2)&lt;=5)*1,NOT(ISNUMBER(MATCH($G$8:$AK$8,nFestivos,0)))*1),
"No",SUMPRODUCT(_Datos,(WEEKDAY($G$8:$AK$8,2)&lt;=5)*1,NOT(ISNUMBER(MATCH($G$8:$AK$8,nFestivos,0)))*1))</f>
        <v>16</v>
      </c>
      <c r="AN38" s="62"/>
      <c r="AO38" s="61" cm="1">
        <f t="array" ref="AO38">_xlfn.SWITCH(_HorasExtras,
"Si",SUMPRODUCT(IF(_Datos&gt;_PorEncimade,_Datos-_PorEncimade,0),(WEEKDAY($G$8:$AK$8,2)&lt;=6)*1,NOT(ISNUMBER(MATCH($G$8:$AK$8,nFestivos,0)))*1),
"No",0)</f>
        <v>3</v>
      </c>
      <c r="AP38" s="33"/>
      <c r="AQ38" s="33"/>
    </row>
    <row r="39" spans="1:43" ht="19.899999999999999" customHeight="1" x14ac:dyDescent="0.25">
      <c r="A39" s="33"/>
      <c r="B39" s="33"/>
      <c r="C39" s="258" t="s">
        <v>268</v>
      </c>
      <c r="D39" s="33"/>
      <c r="E39" s="49"/>
      <c r="F39" s="66"/>
      <c r="G39" s="72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73"/>
      <c r="AL39" s="33"/>
      <c r="AM39" s="61" cm="1">
        <f t="array" ref="AM39">_xlfn.SWITCH(_HorasExtras,
"Si",SUMPRODUCT(IF(_Datos&lt;=_PorEncimade,_Datos,_PorEncimade),(WEEKDAY($G$8:$AK$8,2)&lt;=5)*1,NOT(ISNUMBER(MATCH($G$8:$AK$8,nFestivos,0)))*1),
"No",SUMPRODUCT(_Datos,(WEEKDAY($G$8:$AK$8,2)&lt;=5)*1,NOT(ISNUMBER(MATCH($G$8:$AK$8,nFestivos,0)))*1))</f>
        <v>0</v>
      </c>
      <c r="AN39" s="62"/>
      <c r="AO39" s="61" cm="1">
        <f t="array" ref="AO39">_xlfn.SWITCH(_HorasExtras,
"Si",SUMPRODUCT(IF(_Datos&gt;_PorEncimade,_Datos-_PorEncimade,0),(WEEKDAY($G$8:$AK$8,2)&lt;=6)*1,NOT(ISNUMBER(MATCH($G$8:$AK$8,nFestivos,0)))*1),
"No",0)</f>
        <v>0</v>
      </c>
      <c r="AP39" s="33"/>
      <c r="AQ39" s="33"/>
    </row>
    <row r="40" spans="1:43" ht="19.899999999999999" customHeight="1" x14ac:dyDescent="0.25">
      <c r="A40" s="33"/>
      <c r="B40" s="33"/>
      <c r="C40" s="258" t="s">
        <v>270</v>
      </c>
      <c r="D40" s="33"/>
      <c r="E40" s="49"/>
      <c r="F40" s="66"/>
      <c r="G40" s="72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>
        <v>10</v>
      </c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73"/>
      <c r="AL40" s="33"/>
      <c r="AM40" s="61" cm="1">
        <f t="array" ref="AM40">_xlfn.SWITCH(_HorasExtras,
"Si",SUMPRODUCT(IF(_Datos&lt;=_PorEncimade,_Datos,_PorEncimade),(WEEKDAY($G$8:$AK$8,2)&lt;=5)*1,NOT(ISNUMBER(MATCH($G$8:$AK$8,nFestivos,0)))*1),
"No",SUMPRODUCT(_Datos,(WEEKDAY($G$8:$AK$8,2)&lt;=5)*1,NOT(ISNUMBER(MATCH($G$8:$AK$8,nFestivos,0)))*1))</f>
        <v>8</v>
      </c>
      <c r="AN40" s="62"/>
      <c r="AO40" s="61" cm="1">
        <f t="array" ref="AO40">_xlfn.SWITCH(_HorasExtras,
"Si",SUMPRODUCT(IF(_Datos&gt;_PorEncimade,_Datos-_PorEncimade,0),(WEEKDAY($G$8:$AK$8,2)&lt;=6)*1,NOT(ISNUMBER(MATCH($G$8:$AK$8,nFestivos,0)))*1),
"No",0)</f>
        <v>2</v>
      </c>
      <c r="AP40" s="33"/>
      <c r="AQ40" s="33"/>
    </row>
    <row r="41" spans="1:43" ht="19.899999999999999" customHeight="1" x14ac:dyDescent="0.25">
      <c r="A41" s="33"/>
      <c r="B41" s="33"/>
      <c r="C41" s="258"/>
      <c r="D41" s="33"/>
      <c r="E41" s="49"/>
      <c r="F41" s="66"/>
      <c r="G41" s="72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73"/>
      <c r="AL41" s="33"/>
      <c r="AM41" s="61" cm="1">
        <f t="array" ref="AM41">_xlfn.SWITCH(_HorasExtras,
"Si",SUMPRODUCT(IF(_Datos&lt;=_PorEncimade,_Datos,_PorEncimade),(WEEKDAY($G$8:$AK$8,2)&lt;=5)*1,NOT(ISNUMBER(MATCH($G$8:$AK$8,nFestivos,0)))*1),
"No",SUMPRODUCT(_Datos,(WEEKDAY($G$8:$AK$8,2)&lt;=5)*1,NOT(ISNUMBER(MATCH($G$8:$AK$8,nFestivos,0)))*1))</f>
        <v>0</v>
      </c>
      <c r="AN41" s="62"/>
      <c r="AO41" s="61" cm="1">
        <f t="array" ref="AO41">_xlfn.SWITCH(_HorasExtras,
"Si",SUMPRODUCT(IF(_Datos&gt;_PorEncimade,_Datos-_PorEncimade,0),(WEEKDAY($G$8:$AK$8,2)&lt;=6)*1,NOT(ISNUMBER(MATCH($G$8:$AK$8,nFestivos,0)))*1),
"No",0)</f>
        <v>0</v>
      </c>
      <c r="AP41" s="33"/>
      <c r="AQ41" s="33"/>
    </row>
    <row r="42" spans="1:43" ht="19.899999999999999" customHeight="1" x14ac:dyDescent="0.25">
      <c r="A42" s="33"/>
      <c r="B42" s="33"/>
      <c r="C42" s="258"/>
      <c r="D42" s="33"/>
      <c r="E42" s="49"/>
      <c r="F42" s="66"/>
      <c r="G42" s="72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73"/>
      <c r="AL42" s="33"/>
      <c r="AM42" s="61" cm="1">
        <f t="array" ref="AM42">_xlfn.SWITCH(_HorasExtras,
"Si",SUMPRODUCT(IF(_Datos&lt;=_PorEncimade,_Datos,_PorEncimade),(WEEKDAY($G$8:$AK$8,2)&lt;=5)*1,NOT(ISNUMBER(MATCH($G$8:$AK$8,nFestivos,0)))*1),
"No",SUMPRODUCT(_Datos,(WEEKDAY($G$8:$AK$8,2)&lt;=5)*1,NOT(ISNUMBER(MATCH($G$8:$AK$8,nFestivos,0)))*1))</f>
        <v>0</v>
      </c>
      <c r="AN42" s="62"/>
      <c r="AO42" s="61" cm="1">
        <f t="array" ref="AO42">_xlfn.SWITCH(_HorasExtras,
"Si",SUMPRODUCT(IF(_Datos&gt;_PorEncimade,_Datos-_PorEncimade,0),(WEEKDAY($G$8:$AK$8,2)&lt;=6)*1,NOT(ISNUMBER(MATCH($G$8:$AK$8,nFestivos,0)))*1),
"No",0)</f>
        <v>0</v>
      </c>
      <c r="AP42" s="33"/>
      <c r="AQ42" s="33"/>
    </row>
    <row r="43" spans="1:43" ht="19.899999999999999" customHeight="1" x14ac:dyDescent="0.25">
      <c r="A43" s="33"/>
      <c r="B43" s="33"/>
      <c r="C43" s="258"/>
      <c r="D43" s="33"/>
      <c r="E43" s="49"/>
      <c r="F43" s="66"/>
      <c r="G43" s="72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73"/>
      <c r="AL43" s="33"/>
      <c r="AM43" s="61" cm="1">
        <f t="array" ref="AM43">_xlfn.SWITCH(_HorasExtras,
"Si",SUMPRODUCT(IF(_Datos&lt;=_PorEncimade,_Datos,_PorEncimade),(WEEKDAY($G$8:$AK$8,2)&lt;=5)*1,NOT(ISNUMBER(MATCH($G$8:$AK$8,nFestivos,0)))*1),
"No",SUMPRODUCT(_Datos,(WEEKDAY($G$8:$AK$8,2)&lt;=5)*1,NOT(ISNUMBER(MATCH($G$8:$AK$8,nFestivos,0)))*1))</f>
        <v>0</v>
      </c>
      <c r="AN43" s="62"/>
      <c r="AO43" s="61" cm="1">
        <f t="array" ref="AO43">_xlfn.SWITCH(_HorasExtras,
"Si",SUMPRODUCT(IF(_Datos&gt;_PorEncimade,_Datos-_PorEncimade,0),(WEEKDAY($G$8:$AK$8,2)&lt;=6)*1,NOT(ISNUMBER(MATCH($G$8:$AK$8,nFestivos,0)))*1),
"No",0)</f>
        <v>0</v>
      </c>
      <c r="AP43" s="33"/>
      <c r="AQ43" s="33"/>
    </row>
    <row r="44" spans="1:43" ht="19.899999999999999" customHeight="1" x14ac:dyDescent="0.25">
      <c r="A44" s="33"/>
      <c r="B44" s="33"/>
      <c r="C44" s="258"/>
      <c r="D44" s="33"/>
      <c r="E44" s="49"/>
      <c r="F44" s="66"/>
      <c r="G44" s="72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73"/>
      <c r="AL44" s="33"/>
      <c r="AM44" s="61" cm="1">
        <f t="array" ref="AM44">_xlfn.SWITCH(_HorasExtras,
"Si",SUMPRODUCT(IF(_Datos&lt;=_PorEncimade,_Datos,_PorEncimade),(WEEKDAY($G$8:$AK$8,2)&lt;=5)*1,NOT(ISNUMBER(MATCH($G$8:$AK$8,nFestivos,0)))*1),
"No",SUMPRODUCT(_Datos,(WEEKDAY($G$8:$AK$8,2)&lt;=5)*1,NOT(ISNUMBER(MATCH($G$8:$AK$8,nFestivos,0)))*1))</f>
        <v>0</v>
      </c>
      <c r="AN44" s="62"/>
      <c r="AO44" s="61" cm="1">
        <f t="array" ref="AO44">_xlfn.SWITCH(_HorasExtras,
"Si",SUMPRODUCT(IF(_Datos&gt;_PorEncimade,_Datos-_PorEncimade,0),(WEEKDAY($G$8:$AK$8,2)&lt;=6)*1,NOT(ISNUMBER(MATCH($G$8:$AK$8,nFestivos,0)))*1),
"No",0)</f>
        <v>0</v>
      </c>
      <c r="AP44" s="33"/>
      <c r="AQ44" s="33"/>
    </row>
    <row r="45" spans="1:43" ht="19.899999999999999" customHeight="1" x14ac:dyDescent="0.25">
      <c r="A45" s="33"/>
      <c r="B45" s="33"/>
      <c r="C45" s="258"/>
      <c r="D45" s="33"/>
      <c r="E45" s="49"/>
      <c r="F45" s="66"/>
      <c r="G45" s="72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73"/>
      <c r="AL45" s="33"/>
      <c r="AM45" s="61" cm="1">
        <f t="array" ref="AM45">_xlfn.SWITCH(_HorasExtras,
"Si",SUMPRODUCT(IF(_Datos&lt;=_PorEncimade,_Datos,_PorEncimade),(WEEKDAY($G$8:$AK$8,2)&lt;=5)*1,NOT(ISNUMBER(MATCH($G$8:$AK$8,nFestivos,0)))*1),
"No",SUMPRODUCT(_Datos,(WEEKDAY($G$8:$AK$8,2)&lt;=5)*1,NOT(ISNUMBER(MATCH($G$8:$AK$8,nFestivos,0)))*1))</f>
        <v>0</v>
      </c>
      <c r="AN45" s="62"/>
      <c r="AO45" s="61" cm="1">
        <f t="array" ref="AO45">_xlfn.SWITCH(_HorasExtras,
"Si",SUMPRODUCT(IF(_Datos&gt;_PorEncimade,_Datos-_PorEncimade,0),(WEEKDAY($G$8:$AK$8,2)&lt;=6)*1,NOT(ISNUMBER(MATCH($G$8:$AK$8,nFestivos,0)))*1),
"No",0)</f>
        <v>0</v>
      </c>
      <c r="AP45" s="33"/>
      <c r="AQ45" s="33"/>
    </row>
    <row r="46" spans="1:43" ht="19.899999999999999" customHeight="1" x14ac:dyDescent="0.25">
      <c r="A46" s="33"/>
      <c r="B46" s="33"/>
      <c r="C46" s="258"/>
      <c r="D46" s="33"/>
      <c r="E46" s="49"/>
      <c r="F46" s="66"/>
      <c r="G46" s="72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73"/>
      <c r="AL46" s="33"/>
      <c r="AM46" s="61" cm="1">
        <f t="array" ref="AM46">_xlfn.SWITCH(_HorasExtras,
"Si",SUMPRODUCT(IF(_Datos&lt;=_PorEncimade,_Datos,_PorEncimade),(WEEKDAY($G$8:$AK$8,2)&lt;=5)*1,NOT(ISNUMBER(MATCH($G$8:$AK$8,nFestivos,0)))*1),
"No",SUMPRODUCT(_Datos,(WEEKDAY($G$8:$AK$8,2)&lt;=5)*1,NOT(ISNUMBER(MATCH($G$8:$AK$8,nFestivos,0)))*1))</f>
        <v>0</v>
      </c>
      <c r="AN46" s="62"/>
      <c r="AO46" s="61" cm="1">
        <f t="array" ref="AO46">_xlfn.SWITCH(_HorasExtras,
"Si",SUMPRODUCT(IF(_Datos&gt;_PorEncimade,_Datos-_PorEncimade,0),(WEEKDAY($G$8:$AK$8,2)&lt;=6)*1,NOT(ISNUMBER(MATCH($G$8:$AK$8,nFestivos,0)))*1),
"No",0)</f>
        <v>0</v>
      </c>
      <c r="AP46" s="33"/>
      <c r="AQ46" s="33"/>
    </row>
    <row r="47" spans="1:43" ht="19.899999999999999" customHeight="1" x14ac:dyDescent="0.25">
      <c r="A47" s="33"/>
      <c r="B47" s="33"/>
      <c r="C47" s="258"/>
      <c r="D47" s="33"/>
      <c r="E47" s="49"/>
      <c r="F47" s="66"/>
      <c r="G47" s="72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73"/>
      <c r="AL47" s="33"/>
      <c r="AM47" s="61" cm="1">
        <f t="array" ref="AM47">_xlfn.SWITCH(_HorasExtras,
"Si",SUMPRODUCT(IF(_Datos&lt;=_PorEncimade,_Datos,_PorEncimade),(WEEKDAY($G$8:$AK$8,2)&lt;=5)*1,NOT(ISNUMBER(MATCH($G$8:$AK$8,nFestivos,0)))*1),
"No",SUMPRODUCT(_Datos,(WEEKDAY($G$8:$AK$8,2)&lt;=5)*1,NOT(ISNUMBER(MATCH($G$8:$AK$8,nFestivos,0)))*1))</f>
        <v>0</v>
      </c>
      <c r="AN47" s="62"/>
      <c r="AO47" s="61" cm="1">
        <f t="array" ref="AO47">_xlfn.SWITCH(_HorasExtras,
"Si",SUMPRODUCT(IF(_Datos&gt;_PorEncimade,_Datos-_PorEncimade,0),(WEEKDAY($G$8:$AK$8,2)&lt;=6)*1,NOT(ISNUMBER(MATCH($G$8:$AK$8,nFestivos,0)))*1),
"No",0)</f>
        <v>0</v>
      </c>
      <c r="AP47" s="33"/>
      <c r="AQ47" s="33"/>
    </row>
    <row r="48" spans="1:43" ht="19.899999999999999" customHeight="1" x14ac:dyDescent="0.25">
      <c r="A48" s="33"/>
      <c r="B48" s="33"/>
      <c r="C48" s="258"/>
      <c r="D48" s="33"/>
      <c r="E48" s="49"/>
      <c r="F48" s="66"/>
      <c r="G48" s="72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73"/>
      <c r="AL48" s="33"/>
      <c r="AM48" s="61" cm="1">
        <f t="array" ref="AM48">_xlfn.SWITCH(_HorasExtras,
"Si",SUMPRODUCT(IF(_Datos&lt;=_PorEncimade,_Datos,_PorEncimade),(WEEKDAY($G$8:$AK$8,2)&lt;=5)*1,NOT(ISNUMBER(MATCH($G$8:$AK$8,nFestivos,0)))*1),
"No",SUMPRODUCT(_Datos,(WEEKDAY($G$8:$AK$8,2)&lt;=5)*1,NOT(ISNUMBER(MATCH($G$8:$AK$8,nFestivos,0)))*1))</f>
        <v>0</v>
      </c>
      <c r="AN48" s="62"/>
      <c r="AO48" s="61" cm="1">
        <f t="array" ref="AO48">_xlfn.SWITCH(_HorasExtras,
"Si",SUMPRODUCT(IF(_Datos&gt;_PorEncimade,_Datos-_PorEncimade,0),(WEEKDAY($G$8:$AK$8,2)&lt;=6)*1,NOT(ISNUMBER(MATCH($G$8:$AK$8,nFestivos,0)))*1),
"No",0)</f>
        <v>0</v>
      </c>
      <c r="AP48" s="33"/>
      <c r="AQ48" s="33"/>
    </row>
    <row r="49" spans="1:43" ht="19.899999999999999" customHeight="1" x14ac:dyDescent="0.25">
      <c r="A49" s="33"/>
      <c r="B49" s="33"/>
      <c r="C49" s="258"/>
      <c r="D49" s="33"/>
      <c r="E49" s="49"/>
      <c r="F49" s="66"/>
      <c r="G49" s="72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73"/>
      <c r="AL49" s="33"/>
      <c r="AM49" s="61" cm="1">
        <f t="array" ref="AM49">_xlfn.SWITCH(_HorasExtras,
"Si",SUMPRODUCT(IF(_Datos&lt;=_PorEncimade,_Datos,_PorEncimade),(WEEKDAY($G$8:$AK$8,2)&lt;=5)*1,NOT(ISNUMBER(MATCH($G$8:$AK$8,nFestivos,0)))*1),
"No",SUMPRODUCT(_Datos,(WEEKDAY($G$8:$AK$8,2)&lt;=5)*1,NOT(ISNUMBER(MATCH($G$8:$AK$8,nFestivos,0)))*1))</f>
        <v>0</v>
      </c>
      <c r="AN49" s="62"/>
      <c r="AO49" s="61" cm="1">
        <f t="array" ref="AO49">_xlfn.SWITCH(_HorasExtras,
"Si",SUMPRODUCT(IF(_Datos&gt;_PorEncimade,_Datos-_PorEncimade,0),(WEEKDAY($G$8:$AK$8,2)&lt;=6)*1,NOT(ISNUMBER(MATCH($G$8:$AK$8,nFestivos,0)))*1),
"No",0)</f>
        <v>0</v>
      </c>
      <c r="AP49" s="33"/>
      <c r="AQ49" s="33"/>
    </row>
    <row r="50" spans="1:43" ht="19.899999999999999" customHeight="1" x14ac:dyDescent="0.25">
      <c r="A50" s="33"/>
      <c r="B50" s="33"/>
      <c r="C50" s="258"/>
      <c r="D50" s="33"/>
      <c r="E50" s="67"/>
      <c r="F50" s="68"/>
      <c r="G50" s="72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  <c r="AH50" s="61"/>
      <c r="AI50" s="61"/>
      <c r="AJ50" s="61"/>
      <c r="AK50" s="73"/>
      <c r="AL50" s="33"/>
      <c r="AM50" s="61" cm="1">
        <f t="array" ref="AM50">_xlfn.SWITCH(_HorasExtras,
"Si",SUMPRODUCT(IF(_Datos&lt;=_PorEncimade,_Datos,_PorEncimade),(WEEKDAY($G$8:$AK$8,2)&lt;=5)*1,NOT(ISNUMBER(MATCH($G$8:$AK$8,nFestivos,0)))*1),
"No",SUMPRODUCT(_Datos,(WEEKDAY($G$8:$AK$8,2)&lt;=5)*1,NOT(ISNUMBER(MATCH($G$8:$AK$8,nFestivos,0)))*1))</f>
        <v>0</v>
      </c>
      <c r="AN50" s="62"/>
      <c r="AO50" s="61" cm="1">
        <f t="array" ref="AO50">_xlfn.SWITCH(_HorasExtras,
"Si",SUMPRODUCT(IF(_Datos&gt;_PorEncimade,_Datos-_PorEncimade,0),(WEEKDAY($G$8:$AK$8,2)&lt;=6)*1,NOT(ISNUMBER(MATCH($G$8:$AK$8,nFestivos,0)))*1),
"No",0)</f>
        <v>0</v>
      </c>
      <c r="AP50" s="33"/>
      <c r="AQ50" s="33"/>
    </row>
    <row r="51" spans="1:43" ht="19.899999999999999" customHeight="1" thickBot="1" x14ac:dyDescent="0.3">
      <c r="A51" s="33"/>
      <c r="B51" s="33"/>
      <c r="C51" s="259"/>
      <c r="D51" s="33"/>
      <c r="E51" s="47"/>
      <c r="F51" s="48"/>
      <c r="G51" s="74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5"/>
      <c r="AD51" s="75"/>
      <c r="AE51" s="75"/>
      <c r="AF51" s="75"/>
      <c r="AG51" s="75"/>
      <c r="AH51" s="75"/>
      <c r="AI51" s="75"/>
      <c r="AJ51" s="75"/>
      <c r="AK51" s="76"/>
      <c r="AL51" s="33"/>
      <c r="AM51" s="61" cm="1">
        <f t="array" ref="AM51">_xlfn.SWITCH(_HorasExtras,
"Si",SUMPRODUCT(IF(_Datos&lt;=_PorEncimade,_Datos,_PorEncimade),(WEEKDAY($G$8:$AK$8,2)&lt;=5)*1,NOT(ISNUMBER(MATCH($G$8:$AK$8,nFestivos,0)))*1),
"No",SUMPRODUCT(_Datos,(WEEKDAY($G$8:$AK$8,2)&lt;=5)*1,NOT(ISNUMBER(MATCH($G$8:$AK$8,nFestivos,0)))*1))</f>
        <v>0</v>
      </c>
      <c r="AN51" s="62"/>
      <c r="AO51" s="61" cm="1">
        <f t="array" ref="AO51">_xlfn.SWITCH(_HorasExtras,
"Si",SUMPRODUCT(IF(_Datos&gt;_PorEncimade,_Datos-_PorEncimade,0),(WEEKDAY($G$8:$AK$8,2)&lt;=6)*1,NOT(ISNUMBER(MATCH($G$8:$AK$8,nFestivos,0)))*1),
"No",0)</f>
        <v>0</v>
      </c>
      <c r="AP51" s="33"/>
      <c r="AQ51" s="33"/>
    </row>
  </sheetData>
  <mergeCells count="41">
    <mergeCell ref="E16:F16"/>
    <mergeCell ref="V5:AA6"/>
    <mergeCell ref="AD4:AE4"/>
    <mergeCell ref="AG4:AH4"/>
    <mergeCell ref="AD5:AF6"/>
    <mergeCell ref="AG5:AH6"/>
    <mergeCell ref="AG8:AG11"/>
    <mergeCell ref="AH8:AH11"/>
    <mergeCell ref="O8:O11"/>
    <mergeCell ref="P8:P11"/>
    <mergeCell ref="Q8:Q11"/>
    <mergeCell ref="R8:R11"/>
    <mergeCell ref="S8:S11"/>
    <mergeCell ref="T8:T11"/>
    <mergeCell ref="I8:I11"/>
    <mergeCell ref="J8:J11"/>
    <mergeCell ref="E15:F15"/>
    <mergeCell ref="AA8:AA11"/>
    <mergeCell ref="AB8:AB11"/>
    <mergeCell ref="AC8:AC11"/>
    <mergeCell ref="AD8:AD11"/>
    <mergeCell ref="U8:U11"/>
    <mergeCell ref="V8:V11"/>
    <mergeCell ref="W8:W11"/>
    <mergeCell ref="X8:X11"/>
    <mergeCell ref="Y8:Y11"/>
    <mergeCell ref="Z8:Z11"/>
    <mergeCell ref="L8:L11"/>
    <mergeCell ref="E13:F13"/>
    <mergeCell ref="AI8:AI11"/>
    <mergeCell ref="E4:G4"/>
    <mergeCell ref="E6:G6"/>
    <mergeCell ref="AJ8:AJ11"/>
    <mergeCell ref="AK8:AK11"/>
    <mergeCell ref="AE8:AE11"/>
    <mergeCell ref="AF8:AF11"/>
    <mergeCell ref="H8:H11"/>
    <mergeCell ref="K8:K11"/>
    <mergeCell ref="M8:M11"/>
    <mergeCell ref="N8:N11"/>
    <mergeCell ref="G8:G11"/>
  </mergeCells>
  <conditionalFormatting sqref="D15:D51">
    <cfRule type="expression" dxfId="54" priority="1">
      <formula>AND(_HorasExtras="SI",OR(_Datos&gt;_PorEncimade))</formula>
    </cfRule>
  </conditionalFormatting>
  <conditionalFormatting sqref="G8:AK12">
    <cfRule type="expression" dxfId="53" priority="10">
      <formula>MONTH(_Fechainicial)&lt;&gt;MONTH($E$4&amp;1)</formula>
    </cfRule>
  </conditionalFormatting>
  <conditionalFormatting sqref="G12:AK12">
    <cfRule type="expression" dxfId="52" priority="4">
      <formula>OR(WEEKDAY(_Fechainicial,2)&gt;=7,ISNUMBER(MATCH(_Fechainicial,nFestivo,0)),MONTH(_Fechainicial)&lt;&gt;MONTH($E$4&amp;1))</formula>
    </cfRule>
    <cfRule type="expression" dxfId="51" priority="7">
      <formula>MONTH(_Fechainicial)=MONTH($E$4&amp;1)</formula>
    </cfRule>
  </conditionalFormatting>
  <conditionalFormatting sqref="G13:AK13">
    <cfRule type="expression" dxfId="50" priority="9">
      <formula>MONTH(_Fechainicial)&lt;&gt;MONTH($E$4&amp;1)</formula>
    </cfRule>
    <cfRule type="expression" dxfId="49" priority="12">
      <formula>WEEKDAY(_Fechainicial,2)&gt;WEEKDAY(_FechaSiguiente,2)</formula>
    </cfRule>
  </conditionalFormatting>
  <conditionalFormatting sqref="G15:AK51">
    <cfRule type="expression" dxfId="48" priority="5">
      <formula>OR(WEEKDAY(_Fechainicial,2)&gt;=7,ISNUMBER(MATCH(_Fechainicial,nFestivo,0)),MONTH(_Fechainicial)&lt;&gt;MONTH($E$4&amp;1))</formula>
    </cfRule>
    <cfRule type="expression" dxfId="47" priority="11">
      <formula>WEEKDAY(_Fechainicial,2)&gt;WEEKDAY(_FechaSiguiente,2)</formula>
    </cfRule>
  </conditionalFormatting>
  <conditionalFormatting sqref="AO4">
    <cfRule type="expression" dxfId="46" priority="3">
      <formula>_HorasExtras="NO"</formula>
    </cfRule>
  </conditionalFormatting>
  <conditionalFormatting sqref="AO6">
    <cfRule type="expression" dxfId="45" priority="2">
      <formula>_HorasExtras="NO"</formula>
    </cfRule>
  </conditionalFormatting>
  <dataValidations count="4">
    <dataValidation type="list" allowBlank="1" showInputMessage="1" showErrorMessage="1" sqref="E4:G4" xr:uid="{613497D7-DE93-4E12-864B-31F806AD0715}">
      <formula1>"Enero, Febrero, Marzo, Abril, Mayo, Junio, Julio, Agosto, Setiembre, Octubre, Noviembre, Diciembre"</formula1>
    </dataValidation>
    <dataValidation type="list" allowBlank="1" showInputMessage="1" showErrorMessage="1" sqref="AO4" xr:uid="{DADF3178-FF17-419E-9839-7E326677BAC1}">
      <formula1>"SI, NO"</formula1>
    </dataValidation>
    <dataValidation type="list" allowBlank="1" showInputMessage="1" showErrorMessage="1" sqref="AO6" xr:uid="{6640CA84-A6E9-47F6-B744-C2A1505CA75C}">
      <formula1>"8, 9, 10"</formula1>
    </dataValidation>
    <dataValidation type="list" allowBlank="1" showInputMessage="1" showErrorMessage="1" sqref="C15:C51" xr:uid="{6FBB4922-5ABF-4B8F-A8D9-FCE626BC3DEB}">
      <formula1>_NOMBRES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044CD-C505-4823-B584-62B90DE040F8}">
  <sheetPr codeName="Hoja6"/>
  <dimension ref="A3:N12"/>
  <sheetViews>
    <sheetView workbookViewId="0">
      <selection activeCell="C13" sqref="C13"/>
    </sheetView>
  </sheetViews>
  <sheetFormatPr baseColWidth="10" defaultColWidth="10.7109375" defaultRowHeight="15" x14ac:dyDescent="0.25"/>
  <sheetData>
    <row r="3" spans="1:14" x14ac:dyDescent="0.25">
      <c r="A3">
        <v>1</v>
      </c>
      <c r="B3" t="e" cm="1">
        <f t="array" ref="B3">WEEKDAY(_Fechainicial,2)&gt;WEEKDAY(_FechaSiguiente,2)</f>
        <v>#NAME?</v>
      </c>
      <c r="C3" t="s">
        <v>69</v>
      </c>
    </row>
    <row r="4" spans="1:14" x14ac:dyDescent="0.25">
      <c r="A4">
        <v>2</v>
      </c>
      <c r="B4" t="e" cm="1">
        <f t="array" ref="B4">MONTH(_Fechainicial)&lt;&gt;MONTH($E$4&amp;1)</f>
        <v>#NAME?</v>
      </c>
      <c r="C4" t="s">
        <v>70</v>
      </c>
    </row>
    <row r="5" spans="1:14" x14ac:dyDescent="0.25">
      <c r="A5">
        <v>3</v>
      </c>
      <c r="B5" t="e" cm="1">
        <f t="array" ref="B5">MONTH(_Fechainicial)=MONTH($E$4&amp;1)</f>
        <v>#NAME?</v>
      </c>
      <c r="C5" t="s">
        <v>71</v>
      </c>
    </row>
    <row r="6" spans="1:14" x14ac:dyDescent="0.25">
      <c r="B6" t="e" cm="1">
        <f t="array" ref="B6">OR(WEEKDAY(_Fechainicial,2)&gt;=7,ISNUMBER(MATCH(_Fechainicial,nFestivo,0)),MONTH(_Fechainicial)&lt;&gt;MONTH($E$4&amp;1))</f>
        <v>#NAME?</v>
      </c>
      <c r="C6" t="s">
        <v>72</v>
      </c>
    </row>
    <row r="7" spans="1:14" x14ac:dyDescent="0.25">
      <c r="B7" t="s">
        <v>73</v>
      </c>
      <c r="N7" t="s">
        <v>76</v>
      </c>
    </row>
    <row r="8" spans="1:14" x14ac:dyDescent="0.25">
      <c r="B8" t="s">
        <v>74</v>
      </c>
    </row>
    <row r="9" spans="1:14" x14ac:dyDescent="0.25">
      <c r="B9" t="s">
        <v>75</v>
      </c>
    </row>
    <row r="10" spans="1:14" x14ac:dyDescent="0.25">
      <c r="B10" t="e" cm="1">
        <f t="array" ref="B10">_HorasExtras="NO"</f>
        <v>#NAME?</v>
      </c>
      <c r="C10" t="s">
        <v>77</v>
      </c>
    </row>
    <row r="12" spans="1:14" x14ac:dyDescent="0.25">
      <c r="B12" t="e" cm="1">
        <f t="array" ref="B12">AND(_HorasExtras="SI",OR(_Datos&gt;_PorEncimade))</f>
        <v>#NAME?</v>
      </c>
      <c r="C12" t="s">
        <v>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8A0F0-459B-4DDC-ACE9-A411FFF6A86A}">
  <sheetPr codeName="Hoja7"/>
  <dimension ref="A5:AG10"/>
  <sheetViews>
    <sheetView workbookViewId="0">
      <selection activeCell="D12" sqref="D12"/>
    </sheetView>
  </sheetViews>
  <sheetFormatPr baseColWidth="10" defaultColWidth="10.7109375" defaultRowHeight="15" x14ac:dyDescent="0.25"/>
  <cols>
    <col min="1" max="1" width="7.28515625" customWidth="1"/>
    <col min="2" max="2" width="35.85546875" customWidth="1"/>
  </cols>
  <sheetData>
    <row r="5" spans="1:33" x14ac:dyDescent="0.25">
      <c r="A5" t="s">
        <v>44</v>
      </c>
      <c r="B5" s="27">
        <v>2025</v>
      </c>
    </row>
    <row r="6" spans="1:33" x14ac:dyDescent="0.25">
      <c r="A6" t="s">
        <v>45</v>
      </c>
      <c r="B6" s="27" t="s">
        <v>35</v>
      </c>
    </row>
    <row r="8" spans="1:33" x14ac:dyDescent="0.25">
      <c r="C8" s="28">
        <f>IF($B$6="","",1)</f>
        <v>1</v>
      </c>
      <c r="D8" s="28">
        <f>IF(IF(C8="","",SUM(C8+1))&gt;VLOOKUP('ASISTENCIA KRAMER1'!$B$6,TMESES[],2,FALSE),"",SUM('ASISTENCIA KRAMER1'!C8+1))</f>
        <v>2</v>
      </c>
      <c r="E8" s="28">
        <f>IF(IF(D8="","",SUM(D8+1))&gt;VLOOKUP('ASISTENCIA KRAMER1'!$B$6,TMESES[],2,FALSE),"",SUM('ASISTENCIA KRAMER1'!D8+1))</f>
        <v>3</v>
      </c>
      <c r="F8" s="28">
        <f>IF(IF(E8="","",SUM(E8+1))&gt;VLOOKUP('ASISTENCIA KRAMER1'!$B$6,TMESES[],2,FALSE),"",SUM('ASISTENCIA KRAMER1'!E8+1))</f>
        <v>4</v>
      </c>
      <c r="G8" s="28">
        <f>IF(IF(F8="","",SUM(F8+1))&gt;VLOOKUP('ASISTENCIA KRAMER1'!$B$6,TMESES[],2,FALSE),"",SUM('ASISTENCIA KRAMER1'!F8+1))</f>
        <v>5</v>
      </c>
      <c r="H8" s="28">
        <f>IF(IF(G8="","",SUM(G8+1))&gt;VLOOKUP('ASISTENCIA KRAMER1'!$B$6,TMESES[],2,FALSE),"",SUM('ASISTENCIA KRAMER1'!G8+1))</f>
        <v>6</v>
      </c>
      <c r="I8" s="28">
        <f>IF(IF(H8="","",SUM(H8+1))&gt;VLOOKUP('ASISTENCIA KRAMER1'!$B$6,TMESES[],2,FALSE),"",SUM('ASISTENCIA KRAMER1'!H8+1))</f>
        <v>7</v>
      </c>
      <c r="J8" s="28">
        <f>IF(IF(I8="","",SUM(I8+1))&gt;VLOOKUP('ASISTENCIA KRAMER1'!$B$6,TMESES[],2,FALSE),"",SUM('ASISTENCIA KRAMER1'!I8+1))</f>
        <v>8</v>
      </c>
      <c r="K8" s="28">
        <f>IF(IF(J8="","",SUM(J8+1))&gt;VLOOKUP('ASISTENCIA KRAMER1'!$B$6,TMESES[],2,FALSE),"",SUM('ASISTENCIA KRAMER1'!J8+1))</f>
        <v>9</v>
      </c>
      <c r="L8" s="28">
        <f>IF(IF(K8="","",SUM(K8+1))&gt;VLOOKUP('ASISTENCIA KRAMER1'!$B$6,TMESES[],2,FALSE),"",SUM('ASISTENCIA KRAMER1'!K8+1))</f>
        <v>10</v>
      </c>
      <c r="M8" s="28">
        <f>IF(IF(L8="","",SUM(L8+1))&gt;VLOOKUP('ASISTENCIA KRAMER1'!$B$6,TMESES[],2,FALSE),"",SUM('ASISTENCIA KRAMER1'!L8+1))</f>
        <v>11</v>
      </c>
      <c r="N8" s="28">
        <f>IF(IF(M8="","",SUM(M8+1))&gt;VLOOKUP('ASISTENCIA KRAMER1'!$B$6,TMESES[],2,FALSE),"",SUM('ASISTENCIA KRAMER1'!M8+1))</f>
        <v>12</v>
      </c>
      <c r="O8" s="28">
        <f>IF(IF(N8="","",SUM(N8+1))&gt;VLOOKUP('ASISTENCIA KRAMER1'!$B$6,TMESES[],2,FALSE),"",SUM('ASISTENCIA KRAMER1'!N8+1))</f>
        <v>13</v>
      </c>
      <c r="P8" s="28">
        <f>IF(IF(O8="","",SUM(O8+1))&gt;VLOOKUP('ASISTENCIA KRAMER1'!$B$6,TMESES[],2,FALSE),"",SUM('ASISTENCIA KRAMER1'!O8+1))</f>
        <v>14</v>
      </c>
      <c r="Q8" s="28">
        <f>IF(IF(P8="","",SUM(P8+1))&gt;VLOOKUP('ASISTENCIA KRAMER1'!$B$6,TMESES[],2,FALSE),"",SUM('ASISTENCIA KRAMER1'!P8+1))</f>
        <v>15</v>
      </c>
      <c r="R8" s="28">
        <f>IF(IF(Q8="","",SUM(Q8+1))&gt;VLOOKUP('ASISTENCIA KRAMER1'!$B$6,TMESES[],2,FALSE),"",SUM('ASISTENCIA KRAMER1'!Q8+1))</f>
        <v>16</v>
      </c>
      <c r="S8" s="28">
        <f>IF(IF(R8="","",SUM(R8+1))&gt;VLOOKUP('ASISTENCIA KRAMER1'!$B$6,TMESES[],2,FALSE),"",SUM('ASISTENCIA KRAMER1'!R8+1))</f>
        <v>17</v>
      </c>
      <c r="T8" s="28">
        <f>IF(IF(S8="","",SUM(S8+1))&gt;VLOOKUP('ASISTENCIA KRAMER1'!$B$6,TMESES[],2,FALSE),"",SUM('ASISTENCIA KRAMER1'!S8+1))</f>
        <v>18</v>
      </c>
      <c r="U8" s="28">
        <f>IF(IF(T8="","",SUM(T8+1))&gt;VLOOKUP('ASISTENCIA KRAMER1'!$B$6,TMESES[],2,FALSE),"",SUM('ASISTENCIA KRAMER1'!T8+1))</f>
        <v>19</v>
      </c>
      <c r="V8" s="28">
        <f>IF(IF(U8="","",SUM(U8+1))&gt;VLOOKUP('ASISTENCIA KRAMER1'!$B$6,TMESES[],2,FALSE),"",SUM('ASISTENCIA KRAMER1'!U8+1))</f>
        <v>20</v>
      </c>
      <c r="W8" s="28">
        <f>IF(IF(V8="","",SUM(V8+1))&gt;VLOOKUP('ASISTENCIA KRAMER1'!$B$6,TMESES[],2,FALSE),"",SUM('ASISTENCIA KRAMER1'!V8+1))</f>
        <v>21</v>
      </c>
      <c r="X8" s="28">
        <f>IF(IF(W8="","",SUM(W8+1))&gt;VLOOKUP('ASISTENCIA KRAMER1'!$B$6,TMESES[],2,FALSE),"",SUM('ASISTENCIA KRAMER1'!W8+1))</f>
        <v>22</v>
      </c>
      <c r="Y8" s="28">
        <f>IF(IF(X8="","",SUM(X8+1))&gt;VLOOKUP('ASISTENCIA KRAMER1'!$B$6,TMESES[],2,FALSE),"",SUM('ASISTENCIA KRAMER1'!X8+1))</f>
        <v>23</v>
      </c>
      <c r="Z8" s="28">
        <f>IF(IF(Y8="","",SUM(Y8+1))&gt;VLOOKUP('ASISTENCIA KRAMER1'!$B$6,TMESES[],2,FALSE),"",SUM('ASISTENCIA KRAMER1'!Y8+1))</f>
        <v>24</v>
      </c>
      <c r="AA8" s="28">
        <f>IF(IF(Z8="","",SUM(Z8+1))&gt;VLOOKUP('ASISTENCIA KRAMER1'!$B$6,TMESES[],2,FALSE),"",SUM('ASISTENCIA KRAMER1'!Z8+1))</f>
        <v>25</v>
      </c>
      <c r="AB8" s="28">
        <f>IF(IF(AA8="","",SUM(AA8+1))&gt;VLOOKUP('ASISTENCIA KRAMER1'!$B$6,TMESES[],2,FALSE),"",SUM('ASISTENCIA KRAMER1'!AA8+1))</f>
        <v>26</v>
      </c>
      <c r="AC8" s="28">
        <f>IF(IF(AB8="","",SUM(AB8+1))&gt;VLOOKUP('ASISTENCIA KRAMER1'!$B$6,TMESES[],2,FALSE),"",SUM('ASISTENCIA KRAMER1'!AB8+1))</f>
        <v>27</v>
      </c>
      <c r="AD8" s="28">
        <f>IF(IF(AC8="","",SUM(AC8+1))&gt;VLOOKUP('ASISTENCIA KRAMER1'!$B$6,TMESES[],2,FALSE),"",SUM('ASISTENCIA KRAMER1'!AC8+1))</f>
        <v>28</v>
      </c>
      <c r="AE8" s="28">
        <f>IF(IF(AD8="","",SUM(AD8+1))&gt;VLOOKUP('ASISTENCIA KRAMER1'!$B$6,TMESES[],2,FALSE),"",SUM('ASISTENCIA KRAMER1'!AD8+1))</f>
        <v>29</v>
      </c>
      <c r="AF8" s="28">
        <f>IF(IF(AE8="","",SUM(AE8+1))&gt;VLOOKUP('ASISTENCIA KRAMER1'!$B$6,TMESES[],2,FALSE),"",SUM('ASISTENCIA KRAMER1'!AE8+1))</f>
        <v>30</v>
      </c>
      <c r="AG8" s="28" t="str">
        <f>IF(IF(AF8="","",SUM(AF8+1))&gt;VLOOKUP('ASISTENCIA KRAMER1'!$B$6,TMESES[],2,FALSE),"",SUM('ASISTENCIA KRAMER1'!AF8+1))</f>
        <v/>
      </c>
    </row>
    <row r="9" spans="1:33" x14ac:dyDescent="0.25">
      <c r="C9" s="29" t="str">
        <f>TEXT(DATE($B$5,MONTH($B$6&amp;1),C8),"ddd")</f>
        <v>mar</v>
      </c>
      <c r="D9" s="29" t="str">
        <f t="shared" ref="D9:AF9" si="0">TEXT(DATE($B$5,MONTH($B$6&amp;1),D8),"ddd")</f>
        <v>mié</v>
      </c>
      <c r="E9" s="29" t="str">
        <f t="shared" si="0"/>
        <v>jue</v>
      </c>
      <c r="F9" s="29" t="str">
        <f t="shared" si="0"/>
        <v>vie</v>
      </c>
      <c r="G9" s="29" t="str">
        <f t="shared" si="0"/>
        <v>sáb</v>
      </c>
      <c r="H9" s="29" t="str">
        <f t="shared" si="0"/>
        <v>dom</v>
      </c>
      <c r="I9" s="29" t="str">
        <f t="shared" si="0"/>
        <v>lun</v>
      </c>
      <c r="J9" s="29" t="str">
        <f t="shared" si="0"/>
        <v>mar</v>
      </c>
      <c r="K9" s="29" t="str">
        <f t="shared" si="0"/>
        <v>mié</v>
      </c>
      <c r="L9" s="29" t="str">
        <f t="shared" si="0"/>
        <v>jue</v>
      </c>
      <c r="M9" s="29" t="str">
        <f t="shared" si="0"/>
        <v>vie</v>
      </c>
      <c r="N9" s="29" t="str">
        <f t="shared" si="0"/>
        <v>sáb</v>
      </c>
      <c r="O9" s="29" t="str">
        <f t="shared" si="0"/>
        <v>dom</v>
      </c>
      <c r="P9" s="29" t="str">
        <f t="shared" si="0"/>
        <v>lun</v>
      </c>
      <c r="Q9" s="29" t="str">
        <f t="shared" si="0"/>
        <v>mar</v>
      </c>
      <c r="R9" s="29" t="str">
        <f t="shared" si="0"/>
        <v>mié</v>
      </c>
      <c r="S9" s="29" t="str">
        <f t="shared" si="0"/>
        <v>jue</v>
      </c>
      <c r="T9" s="29" t="str">
        <f t="shared" si="0"/>
        <v>vie</v>
      </c>
      <c r="U9" s="29" t="str">
        <f t="shared" si="0"/>
        <v>sáb</v>
      </c>
      <c r="V9" s="29" t="str">
        <f t="shared" si="0"/>
        <v>dom</v>
      </c>
      <c r="W9" s="29" t="str">
        <f t="shared" si="0"/>
        <v>lun</v>
      </c>
      <c r="X9" s="29" t="str">
        <f t="shared" si="0"/>
        <v>mar</v>
      </c>
      <c r="Y9" s="29" t="str">
        <f t="shared" si="0"/>
        <v>mié</v>
      </c>
      <c r="Z9" s="29" t="str">
        <f t="shared" si="0"/>
        <v>jue</v>
      </c>
      <c r="AA9" s="29" t="str">
        <f t="shared" si="0"/>
        <v>vie</v>
      </c>
      <c r="AB9" s="29" t="str">
        <f t="shared" si="0"/>
        <v>sáb</v>
      </c>
      <c r="AC9" s="29" t="str">
        <f t="shared" si="0"/>
        <v>dom</v>
      </c>
      <c r="AD9" s="29" t="str">
        <f t="shared" si="0"/>
        <v>lun</v>
      </c>
      <c r="AE9" s="29" t="str">
        <f t="shared" si="0"/>
        <v>mar</v>
      </c>
      <c r="AF9" s="29" t="str">
        <f t="shared" si="0"/>
        <v>mié</v>
      </c>
      <c r="AG9" s="28"/>
    </row>
    <row r="10" spans="1:33" x14ac:dyDescent="0.25">
      <c r="A10" t="s">
        <v>1</v>
      </c>
      <c r="B10" t="s">
        <v>29</v>
      </c>
    </row>
  </sheetData>
  <dataValidations count="1">
    <dataValidation type="list" allowBlank="1" showInputMessage="1" showErrorMessage="1" sqref="B6" xr:uid="{F8549189-E37D-4339-A2F2-DA996A2FE543}">
      <formula1>LMeses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9BACB-912B-4F52-A858-550CA2C23D96}">
  <sheetPr codeName="Hoja8"/>
  <dimension ref="A1:B13"/>
  <sheetViews>
    <sheetView workbookViewId="0">
      <selection activeCell="A2" sqref="A2"/>
    </sheetView>
  </sheetViews>
  <sheetFormatPr baseColWidth="10" defaultColWidth="10.7109375" defaultRowHeight="15" x14ac:dyDescent="0.25"/>
  <cols>
    <col min="1" max="1" width="13" customWidth="1"/>
  </cols>
  <sheetData>
    <row r="1" spans="1:2" x14ac:dyDescent="0.25">
      <c r="A1" t="s">
        <v>30</v>
      </c>
      <c r="B1" t="s">
        <v>31</v>
      </c>
    </row>
    <row r="2" spans="1:2" x14ac:dyDescent="0.25">
      <c r="A2" t="s">
        <v>32</v>
      </c>
      <c r="B2">
        <v>31</v>
      </c>
    </row>
    <row r="3" spans="1:2" x14ac:dyDescent="0.25">
      <c r="A3" t="s">
        <v>33</v>
      </c>
      <c r="B3">
        <v>28</v>
      </c>
    </row>
    <row r="4" spans="1:2" x14ac:dyDescent="0.25">
      <c r="A4" t="s">
        <v>34</v>
      </c>
      <c r="B4">
        <v>31</v>
      </c>
    </row>
    <row r="5" spans="1:2" x14ac:dyDescent="0.25">
      <c r="A5" t="s">
        <v>35</v>
      </c>
      <c r="B5">
        <v>30</v>
      </c>
    </row>
    <row r="6" spans="1:2" x14ac:dyDescent="0.25">
      <c r="A6" t="s">
        <v>36</v>
      </c>
      <c r="B6">
        <v>31</v>
      </c>
    </row>
    <row r="7" spans="1:2" x14ac:dyDescent="0.25">
      <c r="A7" t="s">
        <v>37</v>
      </c>
      <c r="B7">
        <v>30</v>
      </c>
    </row>
    <row r="8" spans="1:2" x14ac:dyDescent="0.25">
      <c r="A8" t="s">
        <v>38</v>
      </c>
      <c r="B8">
        <v>31</v>
      </c>
    </row>
    <row r="9" spans="1:2" x14ac:dyDescent="0.25">
      <c r="A9" t="s">
        <v>39</v>
      </c>
      <c r="B9">
        <v>31</v>
      </c>
    </row>
    <row r="10" spans="1:2" x14ac:dyDescent="0.25">
      <c r="A10" t="s">
        <v>40</v>
      </c>
      <c r="B10">
        <v>30</v>
      </c>
    </row>
    <row r="11" spans="1:2" x14ac:dyDescent="0.25">
      <c r="A11" t="s">
        <v>41</v>
      </c>
      <c r="B11">
        <v>31</v>
      </c>
    </row>
    <row r="12" spans="1:2" x14ac:dyDescent="0.25">
      <c r="A12" t="s">
        <v>42</v>
      </c>
      <c r="B12">
        <v>30</v>
      </c>
    </row>
    <row r="13" spans="1:2" x14ac:dyDescent="0.25">
      <c r="A13" t="s">
        <v>43</v>
      </c>
      <c r="B13">
        <v>31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0EE45-8204-46B2-B0E9-DFEEC030E7DF}">
  <sheetPr codeName="Hoja9">
    <pageSetUpPr fitToPage="1"/>
  </sheetPr>
  <dimension ref="A1:AV51"/>
  <sheetViews>
    <sheetView topLeftCell="A6" zoomScale="80" zoomScaleNormal="80" workbookViewId="0">
      <pane xSplit="4" ySplit="1" topLeftCell="E7" activePane="bottomRight" state="frozen"/>
      <selection activeCell="P27" sqref="P27"/>
      <selection pane="topRight" activeCell="E6" sqref="E6"/>
      <selection pane="bottomLeft" activeCell="A7" sqref="A7"/>
      <selection pane="bottomRight" activeCell="A7" sqref="A7:XFD7"/>
    </sheetView>
  </sheetViews>
  <sheetFormatPr baseColWidth="10" defaultColWidth="10.7109375" defaultRowHeight="15" x14ac:dyDescent="0.25"/>
  <cols>
    <col min="1" max="2" width="1.7109375" customWidth="1"/>
    <col min="3" max="3" width="37.7109375" customWidth="1"/>
    <col min="4" max="4" width="0.85546875" customWidth="1"/>
    <col min="5" max="5" width="11.7109375" customWidth="1"/>
    <col min="6" max="37" width="4.85546875" customWidth="1"/>
    <col min="38" max="38" width="0.85546875" customWidth="1"/>
    <col min="39" max="39" width="13.5703125" customWidth="1"/>
    <col min="40" max="40" width="0.85546875" customWidth="1"/>
    <col min="41" max="41" width="13.5703125" customWidth="1"/>
    <col min="42" max="42" width="0.85546875" customWidth="1"/>
    <col min="43" max="43" width="13.28515625" customWidth="1"/>
    <col min="44" max="44" width="0.85546875" customWidth="1"/>
    <col min="45" max="45" width="13.28515625" customWidth="1"/>
    <col min="46" max="46" width="16.28515625" hidden="1" customWidth="1"/>
    <col min="47" max="47" width="33" customWidth="1"/>
  </cols>
  <sheetData>
    <row r="1" spans="1:46" ht="30" customHeight="1" x14ac:dyDescent="0.25">
      <c r="A1" s="30"/>
      <c r="B1" s="30"/>
      <c r="C1" s="31" t="s">
        <v>84</v>
      </c>
      <c r="D1" s="32"/>
      <c r="E1" s="32"/>
      <c r="F1" s="32"/>
      <c r="G1" s="32"/>
      <c r="H1" s="32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</row>
    <row r="2" spans="1:46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</row>
    <row r="3" spans="1:46" ht="4.9000000000000004" customHeight="1" thickBot="1" x14ac:dyDescent="0.3">
      <c r="A3" s="33"/>
      <c r="B3" s="36"/>
      <c r="C3" s="37"/>
      <c r="D3" s="37"/>
      <c r="E3" s="37"/>
      <c r="F3" s="37"/>
      <c r="G3" s="37"/>
      <c r="H3" s="37"/>
      <c r="I3" s="37"/>
      <c r="J3" s="37"/>
      <c r="K3" s="37"/>
      <c r="L3" s="38"/>
      <c r="M3" s="33"/>
      <c r="N3" s="36"/>
      <c r="O3" s="37"/>
      <c r="P3" s="37"/>
      <c r="Q3" s="37"/>
      <c r="R3" s="37"/>
      <c r="S3" s="37"/>
      <c r="T3" s="38"/>
      <c r="U3" s="33"/>
      <c r="V3" s="36"/>
      <c r="W3" s="37"/>
      <c r="X3" s="37"/>
      <c r="Y3" s="37"/>
      <c r="Z3" s="37"/>
      <c r="AA3" s="37"/>
      <c r="AB3" s="38"/>
      <c r="AC3" s="33"/>
      <c r="AD3" s="34"/>
      <c r="AE3" s="34"/>
      <c r="AF3" s="34"/>
      <c r="AG3" s="34"/>
      <c r="AH3" s="34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</row>
    <row r="4" spans="1:46" ht="15.75" thickBot="1" x14ac:dyDescent="0.3">
      <c r="A4" s="33"/>
      <c r="B4" s="39"/>
      <c r="C4" s="44" t="s">
        <v>48</v>
      </c>
      <c r="D4" s="34"/>
      <c r="E4" s="276" t="s">
        <v>53</v>
      </c>
      <c r="F4" s="277"/>
      <c r="G4" s="278"/>
      <c r="H4" s="35" t="s">
        <v>51</v>
      </c>
      <c r="I4" s="34"/>
      <c r="J4" s="34"/>
      <c r="K4" s="34"/>
      <c r="L4" s="40"/>
      <c r="M4" s="33"/>
      <c r="N4" s="53" t="s">
        <v>54</v>
      </c>
      <c r="O4" s="50"/>
      <c r="P4" s="50"/>
      <c r="Q4" s="51" t="s">
        <v>57</v>
      </c>
      <c r="R4" s="50"/>
      <c r="S4" s="50"/>
      <c r="T4" s="52"/>
      <c r="U4" s="33"/>
      <c r="V4" s="53" t="s">
        <v>60</v>
      </c>
      <c r="W4" s="34"/>
      <c r="X4" s="34"/>
      <c r="Y4" s="34"/>
      <c r="Z4" s="34"/>
      <c r="AA4" s="34"/>
      <c r="AB4" s="40"/>
      <c r="AC4" s="33"/>
      <c r="AD4" s="286" t="s">
        <v>61</v>
      </c>
      <c r="AE4" s="286"/>
      <c r="AF4" s="34"/>
      <c r="AG4" s="286" t="s">
        <v>62</v>
      </c>
      <c r="AH4" s="286"/>
      <c r="AI4" s="33"/>
      <c r="AJ4" s="33"/>
      <c r="AK4" s="33"/>
      <c r="AL4" s="33"/>
      <c r="AM4" s="56" t="s">
        <v>65</v>
      </c>
      <c r="AN4" s="33"/>
      <c r="AO4" s="57" t="s">
        <v>78</v>
      </c>
      <c r="AP4" s="33"/>
      <c r="AQ4" s="33"/>
      <c r="AR4" s="33"/>
      <c r="AS4" s="33"/>
      <c r="AT4" s="33"/>
    </row>
    <row r="5" spans="1:46" ht="15.75" thickBot="1" x14ac:dyDescent="0.3">
      <c r="A5" s="33"/>
      <c r="B5" s="39"/>
      <c r="C5" s="34"/>
      <c r="D5" s="34"/>
      <c r="E5" s="34"/>
      <c r="F5" s="34"/>
      <c r="G5" s="34"/>
      <c r="H5" s="34"/>
      <c r="I5" s="34"/>
      <c r="J5" s="34"/>
      <c r="K5" s="34"/>
      <c r="L5" s="40"/>
      <c r="M5" s="33"/>
      <c r="N5" s="53" t="s">
        <v>55</v>
      </c>
      <c r="O5" s="50"/>
      <c r="P5" s="50"/>
      <c r="Q5" s="51" t="s">
        <v>58</v>
      </c>
      <c r="R5" s="50"/>
      <c r="S5" s="50"/>
      <c r="T5" s="52"/>
      <c r="U5" s="33"/>
      <c r="V5" s="284" t="str">
        <f>"Desde: "&amp;TEXT(DATE(E6,MONTH(E4&amp;1),1),"mmm-dd-yy")&amp;" Hasta "&amp;TEXT(EOMONTH(DATE(E6,MONTH(E4&amp;1),1),0),"mmm-dd-yy")</f>
        <v>Desde: Set-01-25 Hasta Set-30-25</v>
      </c>
      <c r="W5" s="285"/>
      <c r="X5" s="285"/>
      <c r="Y5" s="285"/>
      <c r="Z5" s="285"/>
      <c r="AA5" s="285"/>
      <c r="AB5" s="40"/>
      <c r="AC5" s="33"/>
      <c r="AD5" s="287" t="str">
        <f>E4</f>
        <v>Setiembre</v>
      </c>
      <c r="AE5" s="287"/>
      <c r="AF5" s="287"/>
      <c r="AG5" s="287">
        <f>E6</f>
        <v>2025</v>
      </c>
      <c r="AH5" s="287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</row>
    <row r="6" spans="1:46" ht="15.75" thickBot="1" x14ac:dyDescent="0.3">
      <c r="A6" s="33"/>
      <c r="B6" s="39"/>
      <c r="C6" s="45" t="s">
        <v>49</v>
      </c>
      <c r="D6" s="34"/>
      <c r="E6" s="276">
        <v>2025</v>
      </c>
      <c r="F6" s="277"/>
      <c r="G6" s="278"/>
      <c r="H6" s="35" t="s">
        <v>50</v>
      </c>
      <c r="I6" s="34"/>
      <c r="J6" s="34"/>
      <c r="K6" s="34"/>
      <c r="L6" s="40"/>
      <c r="M6" s="33"/>
      <c r="N6" s="53" t="s">
        <v>56</v>
      </c>
      <c r="O6" s="50"/>
      <c r="P6" s="50"/>
      <c r="Q6" s="51" t="s">
        <v>59</v>
      </c>
      <c r="R6" s="50"/>
      <c r="S6" s="50"/>
      <c r="T6" s="52"/>
      <c r="U6" s="33"/>
      <c r="V6" s="284"/>
      <c r="W6" s="285"/>
      <c r="X6" s="285"/>
      <c r="Y6" s="285"/>
      <c r="Z6" s="285"/>
      <c r="AA6" s="285"/>
      <c r="AB6" s="40"/>
      <c r="AC6" s="33"/>
      <c r="AD6" s="287"/>
      <c r="AE6" s="287"/>
      <c r="AF6" s="287"/>
      <c r="AG6" s="287"/>
      <c r="AH6" s="287"/>
      <c r="AI6" s="33"/>
      <c r="AJ6" s="33"/>
      <c r="AK6" s="33"/>
      <c r="AL6" s="33"/>
      <c r="AM6" s="56" t="s">
        <v>66</v>
      </c>
      <c r="AN6" s="33"/>
      <c r="AO6" s="57">
        <v>8</v>
      </c>
      <c r="AP6" s="33"/>
      <c r="AQ6" s="33"/>
      <c r="AR6" s="33"/>
      <c r="AS6" s="33"/>
      <c r="AT6" s="33"/>
    </row>
    <row r="7" spans="1:46" ht="4.9000000000000004" customHeight="1" x14ac:dyDescent="0.25">
      <c r="A7" s="33"/>
      <c r="B7" s="41"/>
      <c r="C7" s="42"/>
      <c r="D7" s="42"/>
      <c r="E7" s="42"/>
      <c r="F7" s="42"/>
      <c r="G7" s="42"/>
      <c r="H7" s="42"/>
      <c r="I7" s="42"/>
      <c r="J7" s="42"/>
      <c r="K7" s="42"/>
      <c r="L7" s="43"/>
      <c r="M7" s="33"/>
      <c r="N7" s="41"/>
      <c r="O7" s="42"/>
      <c r="P7" s="42"/>
      <c r="Q7" s="42"/>
      <c r="R7" s="42"/>
      <c r="S7" s="42"/>
      <c r="T7" s="43"/>
      <c r="U7" s="33"/>
      <c r="V7" s="41"/>
      <c r="W7" s="42"/>
      <c r="X7" s="42"/>
      <c r="Y7" s="42"/>
      <c r="Z7" s="42"/>
      <c r="AA7" s="42"/>
      <c r="AB7" s="43"/>
      <c r="AC7" s="33"/>
      <c r="AD7" s="34"/>
      <c r="AE7" s="34"/>
      <c r="AF7" s="34"/>
      <c r="AG7" s="34"/>
      <c r="AH7" s="34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</row>
    <row r="8" spans="1:46" x14ac:dyDescent="0.25">
      <c r="A8" s="33"/>
      <c r="B8" s="33"/>
      <c r="C8" s="33"/>
      <c r="D8" s="33"/>
      <c r="E8" s="33"/>
      <c r="F8" s="33"/>
      <c r="G8" s="275">
        <f>DATE(E6,MONTH(E4&amp;1),1)</f>
        <v>45901</v>
      </c>
      <c r="H8" s="275">
        <f>G8+1</f>
        <v>45902</v>
      </c>
      <c r="I8" s="275">
        <f t="shared" ref="I8:AJ8" si="0">H8+1</f>
        <v>45903</v>
      </c>
      <c r="J8" s="275">
        <f t="shared" si="0"/>
        <v>45904</v>
      </c>
      <c r="K8" s="275">
        <f t="shared" si="0"/>
        <v>45905</v>
      </c>
      <c r="L8" s="275">
        <f t="shared" si="0"/>
        <v>45906</v>
      </c>
      <c r="M8" s="275">
        <f t="shared" si="0"/>
        <v>45907</v>
      </c>
      <c r="N8" s="275">
        <f t="shared" si="0"/>
        <v>45908</v>
      </c>
      <c r="O8" s="275">
        <f t="shared" si="0"/>
        <v>45909</v>
      </c>
      <c r="P8" s="275">
        <f t="shared" si="0"/>
        <v>45910</v>
      </c>
      <c r="Q8" s="275">
        <f t="shared" si="0"/>
        <v>45911</v>
      </c>
      <c r="R8" s="275">
        <f t="shared" si="0"/>
        <v>45912</v>
      </c>
      <c r="S8" s="275">
        <f t="shared" si="0"/>
        <v>45913</v>
      </c>
      <c r="T8" s="275">
        <f t="shared" si="0"/>
        <v>45914</v>
      </c>
      <c r="U8" s="275">
        <f t="shared" si="0"/>
        <v>45915</v>
      </c>
      <c r="V8" s="275">
        <f t="shared" si="0"/>
        <v>45916</v>
      </c>
      <c r="W8" s="275">
        <f t="shared" si="0"/>
        <v>45917</v>
      </c>
      <c r="X8" s="275">
        <f t="shared" si="0"/>
        <v>45918</v>
      </c>
      <c r="Y8" s="275">
        <f t="shared" si="0"/>
        <v>45919</v>
      </c>
      <c r="Z8" s="275">
        <f t="shared" si="0"/>
        <v>45920</v>
      </c>
      <c r="AA8" s="275">
        <f t="shared" si="0"/>
        <v>45921</v>
      </c>
      <c r="AB8" s="275">
        <f t="shared" si="0"/>
        <v>45922</v>
      </c>
      <c r="AC8" s="275">
        <f t="shared" si="0"/>
        <v>45923</v>
      </c>
      <c r="AD8" s="275">
        <f t="shared" si="0"/>
        <v>45924</v>
      </c>
      <c r="AE8" s="275">
        <f t="shared" si="0"/>
        <v>45925</v>
      </c>
      <c r="AF8" s="275">
        <f t="shared" si="0"/>
        <v>45926</v>
      </c>
      <c r="AG8" s="275">
        <f t="shared" si="0"/>
        <v>45927</v>
      </c>
      <c r="AH8" s="275">
        <f t="shared" si="0"/>
        <v>45928</v>
      </c>
      <c r="AI8" s="275">
        <f t="shared" si="0"/>
        <v>45929</v>
      </c>
      <c r="AJ8" s="275">
        <f t="shared" si="0"/>
        <v>45930</v>
      </c>
      <c r="AK8" s="275">
        <f>AJ8+1</f>
        <v>45931</v>
      </c>
      <c r="AL8" s="58"/>
      <c r="AM8" s="33"/>
      <c r="AN8" s="33"/>
      <c r="AO8" s="33"/>
      <c r="AP8" s="33"/>
      <c r="AQ8" s="33"/>
      <c r="AR8" s="33"/>
      <c r="AS8" s="33"/>
      <c r="AT8" s="33"/>
    </row>
    <row r="9" spans="1:46" x14ac:dyDescent="0.25">
      <c r="A9" s="33"/>
      <c r="B9" s="33"/>
      <c r="C9" s="33"/>
      <c r="D9" s="33"/>
      <c r="E9" s="33"/>
      <c r="F9" s="33"/>
      <c r="G9" s="275"/>
      <c r="H9" s="275"/>
      <c r="I9" s="275"/>
      <c r="J9" s="275"/>
      <c r="K9" s="275"/>
      <c r="L9" s="275"/>
      <c r="M9" s="275"/>
      <c r="N9" s="275"/>
      <c r="O9" s="275"/>
      <c r="P9" s="275"/>
      <c r="Q9" s="275"/>
      <c r="R9" s="275"/>
      <c r="S9" s="275"/>
      <c r="T9" s="275"/>
      <c r="U9" s="275"/>
      <c r="V9" s="275"/>
      <c r="W9" s="275"/>
      <c r="X9" s="275"/>
      <c r="Y9" s="275"/>
      <c r="Z9" s="275"/>
      <c r="AA9" s="275"/>
      <c r="AB9" s="275"/>
      <c r="AC9" s="275"/>
      <c r="AD9" s="275"/>
      <c r="AE9" s="275"/>
      <c r="AF9" s="275"/>
      <c r="AG9" s="275"/>
      <c r="AH9" s="275"/>
      <c r="AI9" s="275"/>
      <c r="AJ9" s="275"/>
      <c r="AK9" s="275"/>
      <c r="AL9" s="58"/>
      <c r="AM9" s="33"/>
      <c r="AN9" s="33"/>
      <c r="AO9" s="33"/>
      <c r="AP9" s="33"/>
      <c r="AQ9" s="33"/>
      <c r="AR9" s="33"/>
      <c r="AS9" s="33"/>
      <c r="AT9" s="33" t="s">
        <v>68</v>
      </c>
    </row>
    <row r="10" spans="1:46" x14ac:dyDescent="0.25">
      <c r="A10" s="33"/>
      <c r="B10" s="33"/>
      <c r="C10" s="33"/>
      <c r="D10" s="33"/>
      <c r="E10" s="33"/>
      <c r="F10" s="33"/>
      <c r="G10" s="275"/>
      <c r="H10" s="275"/>
      <c r="I10" s="275"/>
      <c r="J10" s="275"/>
      <c r="K10" s="275"/>
      <c r="L10" s="275"/>
      <c r="M10" s="275"/>
      <c r="N10" s="275"/>
      <c r="O10" s="275"/>
      <c r="P10" s="275"/>
      <c r="Q10" s="275"/>
      <c r="R10" s="275"/>
      <c r="S10" s="275"/>
      <c r="T10" s="275"/>
      <c r="U10" s="275"/>
      <c r="V10" s="275"/>
      <c r="W10" s="275"/>
      <c r="X10" s="275"/>
      <c r="Y10" s="275"/>
      <c r="Z10" s="275"/>
      <c r="AA10" s="275"/>
      <c r="AB10" s="275"/>
      <c r="AC10" s="275"/>
      <c r="AD10" s="275"/>
      <c r="AE10" s="275"/>
      <c r="AF10" s="275"/>
      <c r="AG10" s="275"/>
      <c r="AH10" s="275"/>
      <c r="AI10" s="275"/>
      <c r="AJ10" s="275"/>
      <c r="AK10" s="275"/>
      <c r="AL10" s="58"/>
      <c r="AM10" s="33"/>
      <c r="AN10" s="33"/>
      <c r="AO10" s="33"/>
      <c r="AP10" s="33"/>
      <c r="AQ10" s="33"/>
      <c r="AR10" s="33"/>
      <c r="AS10" s="33"/>
      <c r="AT10" s="58">
        <v>45658</v>
      </c>
    </row>
    <row r="11" spans="1:46" x14ac:dyDescent="0.25">
      <c r="A11" s="33"/>
      <c r="B11" s="33"/>
      <c r="C11" s="33"/>
      <c r="D11" s="33"/>
      <c r="E11" s="33"/>
      <c r="F11" s="33"/>
      <c r="G11" s="275"/>
      <c r="H11" s="275"/>
      <c r="I11" s="275"/>
      <c r="J11" s="275"/>
      <c r="K11" s="275"/>
      <c r="L11" s="275"/>
      <c r="M11" s="275"/>
      <c r="N11" s="275"/>
      <c r="O11" s="275"/>
      <c r="P11" s="275"/>
      <c r="Q11" s="275"/>
      <c r="R11" s="275"/>
      <c r="S11" s="275"/>
      <c r="T11" s="275"/>
      <c r="U11" s="275"/>
      <c r="V11" s="275"/>
      <c r="W11" s="275"/>
      <c r="X11" s="275"/>
      <c r="Y11" s="275"/>
      <c r="Z11" s="275"/>
      <c r="AA11" s="275"/>
      <c r="AB11" s="275"/>
      <c r="AC11" s="275"/>
      <c r="AD11" s="275"/>
      <c r="AE11" s="275"/>
      <c r="AF11" s="275"/>
      <c r="AG11" s="275"/>
      <c r="AH11" s="275"/>
      <c r="AI11" s="275"/>
      <c r="AJ11" s="275"/>
      <c r="AK11" s="275"/>
      <c r="AL11" s="58"/>
      <c r="AM11" s="33"/>
      <c r="AN11" s="33"/>
      <c r="AO11" s="33"/>
      <c r="AP11" s="33"/>
      <c r="AQ11" s="33"/>
      <c r="AR11" s="33"/>
      <c r="AS11" s="33"/>
      <c r="AT11" s="58">
        <v>45866</v>
      </c>
    </row>
    <row r="12" spans="1:46" ht="6" customHeight="1" thickBot="1" x14ac:dyDescent="0.3">
      <c r="A12" s="33"/>
      <c r="B12" s="33"/>
      <c r="C12" s="33"/>
      <c r="D12" s="33"/>
      <c r="E12" s="33"/>
      <c r="F12" s="33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33"/>
      <c r="AM12" s="33"/>
      <c r="AN12" s="33"/>
      <c r="AO12" s="33"/>
      <c r="AP12" s="33"/>
      <c r="AQ12" s="33"/>
      <c r="AR12" s="33"/>
      <c r="AS12" s="33"/>
      <c r="AT12" s="58">
        <v>45867</v>
      </c>
    </row>
    <row r="13" spans="1:46" ht="24.75" thickBot="1" x14ac:dyDescent="0.3">
      <c r="A13" s="33"/>
      <c r="B13" s="33"/>
      <c r="C13" s="33" t="s">
        <v>47</v>
      </c>
      <c r="D13" s="33"/>
      <c r="E13" s="281" t="s">
        <v>52</v>
      </c>
      <c r="F13" s="281"/>
      <c r="G13" s="46" t="str">
        <f>PROPER(LEFT(TEXT(G8,"dddd"),3))</f>
        <v>Lun</v>
      </c>
      <c r="H13" s="46" t="str">
        <f t="shared" ref="H13:AK13" si="1">PROPER(LEFT(TEXT(H8,"dddd"),3))</f>
        <v>Mar</v>
      </c>
      <c r="I13" s="46" t="str">
        <f t="shared" si="1"/>
        <v>Mié</v>
      </c>
      <c r="J13" s="46" t="str">
        <f t="shared" si="1"/>
        <v>Jue</v>
      </c>
      <c r="K13" s="46" t="str">
        <f t="shared" si="1"/>
        <v>Vie</v>
      </c>
      <c r="L13" s="46" t="str">
        <f t="shared" si="1"/>
        <v>Sáb</v>
      </c>
      <c r="M13" s="46" t="str">
        <f t="shared" si="1"/>
        <v>Dom</v>
      </c>
      <c r="N13" s="46" t="str">
        <f t="shared" si="1"/>
        <v>Lun</v>
      </c>
      <c r="O13" s="46" t="str">
        <f t="shared" si="1"/>
        <v>Mar</v>
      </c>
      <c r="P13" s="46" t="str">
        <f t="shared" si="1"/>
        <v>Mié</v>
      </c>
      <c r="Q13" s="46" t="str">
        <f t="shared" si="1"/>
        <v>Jue</v>
      </c>
      <c r="R13" s="46" t="str">
        <f t="shared" si="1"/>
        <v>Vie</v>
      </c>
      <c r="S13" s="46" t="str">
        <f t="shared" si="1"/>
        <v>Sáb</v>
      </c>
      <c r="T13" s="46" t="str">
        <f t="shared" si="1"/>
        <v>Dom</v>
      </c>
      <c r="U13" s="46" t="str">
        <f t="shared" si="1"/>
        <v>Lun</v>
      </c>
      <c r="V13" s="46" t="str">
        <f t="shared" si="1"/>
        <v>Mar</v>
      </c>
      <c r="W13" s="46" t="str">
        <f t="shared" si="1"/>
        <v>Mié</v>
      </c>
      <c r="X13" s="46" t="str">
        <f t="shared" si="1"/>
        <v>Jue</v>
      </c>
      <c r="Y13" s="46" t="str">
        <f t="shared" si="1"/>
        <v>Vie</v>
      </c>
      <c r="Z13" s="46" t="str">
        <f t="shared" si="1"/>
        <v>Sáb</v>
      </c>
      <c r="AA13" s="46" t="str">
        <f t="shared" si="1"/>
        <v>Dom</v>
      </c>
      <c r="AB13" s="46" t="str">
        <f t="shared" si="1"/>
        <v>Lun</v>
      </c>
      <c r="AC13" s="46" t="str">
        <f t="shared" si="1"/>
        <v>Mar</v>
      </c>
      <c r="AD13" s="46" t="str">
        <f t="shared" si="1"/>
        <v>Mié</v>
      </c>
      <c r="AE13" s="46" t="str">
        <f t="shared" si="1"/>
        <v>Jue</v>
      </c>
      <c r="AF13" s="46" t="str">
        <f t="shared" si="1"/>
        <v>Vie</v>
      </c>
      <c r="AG13" s="46" t="str">
        <f t="shared" si="1"/>
        <v>Sáb</v>
      </c>
      <c r="AH13" s="46" t="str">
        <f t="shared" si="1"/>
        <v>Dom</v>
      </c>
      <c r="AI13" s="46" t="str">
        <f t="shared" si="1"/>
        <v>Lun</v>
      </c>
      <c r="AJ13" s="46" t="str">
        <f t="shared" si="1"/>
        <v>Mar</v>
      </c>
      <c r="AK13" s="46" t="str">
        <f t="shared" si="1"/>
        <v>Mié</v>
      </c>
      <c r="AL13" s="33"/>
      <c r="AM13" s="83" t="s">
        <v>80</v>
      </c>
      <c r="AN13" s="77"/>
      <c r="AO13" s="84" t="s">
        <v>81</v>
      </c>
      <c r="AP13" s="78"/>
      <c r="AQ13" s="85" t="s">
        <v>82</v>
      </c>
      <c r="AR13" s="79"/>
      <c r="AS13" s="86" t="s">
        <v>7</v>
      </c>
      <c r="AT13" s="58">
        <v>45962</v>
      </c>
    </row>
    <row r="14" spans="1:46" ht="6" customHeight="1" thickBot="1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58">
        <v>46016</v>
      </c>
    </row>
    <row r="15" spans="1:46" ht="27.6" customHeight="1" x14ac:dyDescent="0.25">
      <c r="A15" s="33"/>
      <c r="B15" s="33"/>
      <c r="C15" s="63" t="s">
        <v>102</v>
      </c>
      <c r="D15" s="33"/>
      <c r="E15" s="297" t="str">
        <f>IFERROR(VLOOKUP(C15,'DATOS GRALES 1'!$B$2:$E$50,4,0),"")</f>
        <v>RESIDENTE</v>
      </c>
      <c r="F15" s="298"/>
      <c r="G15" s="69"/>
      <c r="H15" s="70"/>
      <c r="I15" s="70"/>
      <c r="J15" s="70"/>
      <c r="K15" s="70"/>
      <c r="L15" s="70"/>
      <c r="M15" s="70"/>
      <c r="N15" s="70" t="s">
        <v>67</v>
      </c>
      <c r="O15" s="70" t="s">
        <v>67</v>
      </c>
      <c r="P15" s="70" t="s">
        <v>67</v>
      </c>
      <c r="Q15" s="70" t="s">
        <v>67</v>
      </c>
      <c r="R15" s="70" t="s">
        <v>67</v>
      </c>
      <c r="S15" s="70" t="s">
        <v>67</v>
      </c>
      <c r="T15" s="70"/>
      <c r="U15" s="70" t="s">
        <v>67</v>
      </c>
      <c r="V15" s="70" t="s">
        <v>67</v>
      </c>
      <c r="W15" s="70" t="s">
        <v>67</v>
      </c>
      <c r="X15" s="70" t="s">
        <v>67</v>
      </c>
      <c r="Y15" s="70" t="s">
        <v>67</v>
      </c>
      <c r="Z15" s="70" t="s">
        <v>67</v>
      </c>
      <c r="AA15" s="70"/>
      <c r="AB15" s="70" t="s">
        <v>78</v>
      </c>
      <c r="AC15" s="70" t="s">
        <v>67</v>
      </c>
      <c r="AD15" s="70" t="s">
        <v>117</v>
      </c>
      <c r="AE15" s="70" t="s">
        <v>67</v>
      </c>
      <c r="AF15" s="70" t="s">
        <v>67</v>
      </c>
      <c r="AG15" s="70" t="s">
        <v>67</v>
      </c>
      <c r="AH15" s="70"/>
      <c r="AI15" s="70" t="s">
        <v>67</v>
      </c>
      <c r="AJ15" s="70" t="s">
        <v>67</v>
      </c>
      <c r="AK15" s="71"/>
      <c r="AL15" s="33"/>
      <c r="AM15" s="80">
        <f>IF(COUNTIF(G15:AK15,"SI")=0,"",COUNTIF(G15:AK15,"SI"))</f>
        <v>19</v>
      </c>
      <c r="AN15" s="62"/>
      <c r="AO15" s="80">
        <f>IF(COUNTIF(G15:AK15,"NO")=0,"",COUNTIF(G15:AK15,"NO"))</f>
        <v>1</v>
      </c>
      <c r="AP15" s="33"/>
      <c r="AQ15" s="80" t="str">
        <f>IF(COUNTIF(G15:AK15,"MED")=0,"",COUNTIF(G15:AK15,"MED"))</f>
        <v/>
      </c>
      <c r="AR15" s="62"/>
      <c r="AS15" s="80">
        <f>IF(SUM(AM15:AQ15)=0,"",SUM(AM15:AQ15))</f>
        <v>20</v>
      </c>
      <c r="AT15" s="58">
        <v>46022</v>
      </c>
    </row>
    <row r="16" spans="1:46" ht="27.6" customHeight="1" x14ac:dyDescent="0.25">
      <c r="A16" s="33"/>
      <c r="B16" s="33"/>
      <c r="C16" s="64" t="s">
        <v>95</v>
      </c>
      <c r="D16" s="33"/>
      <c r="E16" s="292" t="str">
        <f>IFERROR(VLOOKUP(C16,'DATOS GRALES 1'!$B$2:$E$50,4,0),"")</f>
        <v>ING. CALIDAD</v>
      </c>
      <c r="F16" s="293"/>
      <c r="G16" s="72"/>
      <c r="H16" s="61"/>
      <c r="I16" s="61"/>
      <c r="J16" s="61"/>
      <c r="K16" s="61"/>
      <c r="L16" s="61"/>
      <c r="M16" s="61"/>
      <c r="N16" s="61"/>
      <c r="O16" s="61" t="s">
        <v>67</v>
      </c>
      <c r="P16" s="61" t="s">
        <v>67</v>
      </c>
      <c r="Q16" s="61" t="s">
        <v>67</v>
      </c>
      <c r="R16" s="61" t="s">
        <v>67</v>
      </c>
      <c r="S16" s="61" t="s">
        <v>67</v>
      </c>
      <c r="T16" s="61"/>
      <c r="U16" s="61" t="s">
        <v>67</v>
      </c>
      <c r="V16" s="61" t="s">
        <v>67</v>
      </c>
      <c r="W16" s="61" t="s">
        <v>67</v>
      </c>
      <c r="X16" s="61" t="s">
        <v>67</v>
      </c>
      <c r="Y16" s="61" t="s">
        <v>67</v>
      </c>
      <c r="Z16" s="61" t="s">
        <v>67</v>
      </c>
      <c r="AA16" s="61"/>
      <c r="AB16" s="61" t="s">
        <v>67</v>
      </c>
      <c r="AC16" s="61" t="s">
        <v>67</v>
      </c>
      <c r="AD16" s="61" t="s">
        <v>117</v>
      </c>
      <c r="AE16" s="61" t="s">
        <v>67</v>
      </c>
      <c r="AF16" s="61" t="s">
        <v>67</v>
      </c>
      <c r="AG16" s="61" t="s">
        <v>67</v>
      </c>
      <c r="AH16" s="61"/>
      <c r="AI16" s="61" t="s">
        <v>67</v>
      </c>
      <c r="AJ16" s="61" t="s">
        <v>67</v>
      </c>
      <c r="AK16" s="73"/>
      <c r="AL16" s="33"/>
      <c r="AM16" s="81">
        <f t="shared" ref="AM16:AM51" si="2">IF(COUNTIF(G16:AK16,"SI")=0,"",COUNTIF(G16:AK16,"SI"))</f>
        <v>19</v>
      </c>
      <c r="AN16" s="62"/>
      <c r="AO16" s="81" t="str">
        <f t="shared" ref="AO16:AO51" si="3">IF(COUNTIF(G16:AK16,"NO")=0,"",COUNTIF(G16:AK16,"NO"))</f>
        <v/>
      </c>
      <c r="AP16" s="33"/>
      <c r="AQ16" s="81" t="str">
        <f t="shared" ref="AQ16:AQ51" si="4">IF(COUNTIF(G16:AK16,"MED")=0,"",COUNTIF(G16:AK16,"MED"))</f>
        <v/>
      </c>
      <c r="AR16" s="62"/>
      <c r="AS16" s="81">
        <f t="shared" ref="AS16:AS51" si="5">IF(SUM(AM16:AQ16)=0,"",SUM(AM16:AQ16))</f>
        <v>19</v>
      </c>
      <c r="AT16" s="33"/>
    </row>
    <row r="17" spans="1:47" ht="27.6" customHeight="1" x14ac:dyDescent="0.25">
      <c r="A17" s="33"/>
      <c r="B17" s="33"/>
      <c r="C17" s="64" t="s">
        <v>98</v>
      </c>
      <c r="D17" s="33"/>
      <c r="E17" s="292" t="str">
        <f>IFERROR(VLOOKUP(C17,'DATOS GRALES 1'!$B$2:$E$50,4,0),"")</f>
        <v>ASIS. ING.</v>
      </c>
      <c r="F17" s="293"/>
      <c r="G17" s="72"/>
      <c r="H17" s="61"/>
      <c r="I17" s="61"/>
      <c r="J17" s="61"/>
      <c r="K17" s="61"/>
      <c r="L17" s="61"/>
      <c r="M17" s="61"/>
      <c r="N17" s="61"/>
      <c r="O17" s="61"/>
      <c r="P17" s="61" t="s">
        <v>67</v>
      </c>
      <c r="Q17" s="61" t="s">
        <v>67</v>
      </c>
      <c r="R17" s="61" t="s">
        <v>67</v>
      </c>
      <c r="S17" s="61" t="s">
        <v>67</v>
      </c>
      <c r="T17" s="61"/>
      <c r="U17" s="61" t="s">
        <v>67</v>
      </c>
      <c r="V17" s="61" t="s">
        <v>67</v>
      </c>
      <c r="W17" s="61" t="s">
        <v>67</v>
      </c>
      <c r="X17" s="61" t="s">
        <v>67</v>
      </c>
      <c r="Y17" s="61" t="s">
        <v>67</v>
      </c>
      <c r="Z17" s="61" t="s">
        <v>67</v>
      </c>
      <c r="AA17" s="61"/>
      <c r="AB17" s="61" t="s">
        <v>67</v>
      </c>
      <c r="AC17" s="61" t="s">
        <v>67</v>
      </c>
      <c r="AD17" s="61" t="s">
        <v>117</v>
      </c>
      <c r="AE17" s="61" t="s">
        <v>67</v>
      </c>
      <c r="AF17" s="61" t="s">
        <v>67</v>
      </c>
      <c r="AG17" s="61" t="s">
        <v>67</v>
      </c>
      <c r="AH17" s="61"/>
      <c r="AI17" s="61" t="s">
        <v>67</v>
      </c>
      <c r="AJ17" s="61" t="s">
        <v>67</v>
      </c>
      <c r="AK17" s="73"/>
      <c r="AL17" s="33"/>
      <c r="AM17" s="81">
        <f t="shared" si="2"/>
        <v>18</v>
      </c>
      <c r="AN17" s="62"/>
      <c r="AO17" s="81" t="str">
        <f t="shared" si="3"/>
        <v/>
      </c>
      <c r="AP17" s="33"/>
      <c r="AQ17" s="81" t="str">
        <f t="shared" si="4"/>
        <v/>
      </c>
      <c r="AR17" s="62"/>
      <c r="AS17" s="81">
        <f t="shared" si="5"/>
        <v>18</v>
      </c>
      <c r="AT17" s="33"/>
    </row>
    <row r="18" spans="1:47" ht="27.6" customHeight="1" x14ac:dyDescent="0.25">
      <c r="A18" s="33"/>
      <c r="B18" s="33"/>
      <c r="C18" s="64" t="s">
        <v>92</v>
      </c>
      <c r="D18" s="33"/>
      <c r="E18" s="292" t="str">
        <f>IFERROR(VLOOKUP(C18,'DATOS GRALES 1'!$B$2:$E$50,4,0),"")</f>
        <v>LOGISTICO</v>
      </c>
      <c r="F18" s="293"/>
      <c r="G18" s="72"/>
      <c r="H18" s="61"/>
      <c r="I18" s="61"/>
      <c r="J18" s="61"/>
      <c r="K18" s="61"/>
      <c r="L18" s="61"/>
      <c r="M18" s="61"/>
      <c r="N18" s="61" t="s">
        <v>67</v>
      </c>
      <c r="O18" s="61" t="s">
        <v>67</v>
      </c>
      <c r="P18" s="61" t="s">
        <v>67</v>
      </c>
      <c r="Q18" s="61" t="s">
        <v>67</v>
      </c>
      <c r="R18" s="61" t="s">
        <v>67</v>
      </c>
      <c r="S18" s="61" t="s">
        <v>67</v>
      </c>
      <c r="T18" s="61"/>
      <c r="U18" s="61" t="s">
        <v>67</v>
      </c>
      <c r="V18" s="61" t="s">
        <v>67</v>
      </c>
      <c r="W18" s="61" t="s">
        <v>67</v>
      </c>
      <c r="X18" s="61" t="s">
        <v>67</v>
      </c>
      <c r="Y18" s="61" t="s">
        <v>67</v>
      </c>
      <c r="Z18" s="61" t="s">
        <v>67</v>
      </c>
      <c r="AA18" s="61"/>
      <c r="AB18" s="61" t="s">
        <v>67</v>
      </c>
      <c r="AC18" s="61" t="s">
        <v>67</v>
      </c>
      <c r="AD18" s="61" t="s">
        <v>67</v>
      </c>
      <c r="AE18" s="61" t="s">
        <v>132</v>
      </c>
      <c r="AF18" s="61" t="s">
        <v>67</v>
      </c>
      <c r="AG18" s="61" t="s">
        <v>67</v>
      </c>
      <c r="AH18" s="61"/>
      <c r="AI18" s="61" t="s">
        <v>67</v>
      </c>
      <c r="AJ18" s="61" t="s">
        <v>67</v>
      </c>
      <c r="AK18" s="73"/>
      <c r="AL18" s="33"/>
      <c r="AM18" s="81">
        <f t="shared" si="2"/>
        <v>19</v>
      </c>
      <c r="AN18" s="62"/>
      <c r="AO18" s="81" t="str">
        <f t="shared" si="3"/>
        <v/>
      </c>
      <c r="AP18" s="33"/>
      <c r="AQ18" s="81">
        <f t="shared" si="4"/>
        <v>1</v>
      </c>
      <c r="AR18" s="62"/>
      <c r="AS18" s="81">
        <f t="shared" si="5"/>
        <v>20</v>
      </c>
      <c r="AT18" s="33"/>
    </row>
    <row r="19" spans="1:47" ht="27.6" customHeight="1" x14ac:dyDescent="0.25">
      <c r="A19" s="33"/>
      <c r="B19" s="33"/>
      <c r="C19" s="64" t="s">
        <v>100</v>
      </c>
      <c r="D19" s="33"/>
      <c r="E19" s="292" t="str">
        <f>IFERROR(VLOOKUP(C19,'DATOS GRALES 1'!$B$2:$E$50,4,0),"")</f>
        <v>MAESTRO OBRA</v>
      </c>
      <c r="F19" s="293"/>
      <c r="G19" s="72"/>
      <c r="H19" s="61"/>
      <c r="I19" s="61"/>
      <c r="J19" s="61"/>
      <c r="K19" s="61"/>
      <c r="L19" s="61"/>
      <c r="M19" s="61"/>
      <c r="N19" s="61" t="s">
        <v>67</v>
      </c>
      <c r="O19" s="61" t="s">
        <v>67</v>
      </c>
      <c r="P19" s="61" t="s">
        <v>67</v>
      </c>
      <c r="Q19" s="61" t="s">
        <v>67</v>
      </c>
      <c r="R19" s="61" t="s">
        <v>67</v>
      </c>
      <c r="S19" s="61" t="s">
        <v>67</v>
      </c>
      <c r="T19" s="61"/>
      <c r="U19" s="61" t="s">
        <v>67</v>
      </c>
      <c r="V19" s="61" t="s">
        <v>67</v>
      </c>
      <c r="W19" s="61" t="s">
        <v>67</v>
      </c>
      <c r="X19" s="61" t="s">
        <v>67</v>
      </c>
      <c r="Y19" s="61" t="s">
        <v>67</v>
      </c>
      <c r="Z19" s="61" t="s">
        <v>67</v>
      </c>
      <c r="AA19" s="61"/>
      <c r="AB19" s="61" t="s">
        <v>67</v>
      </c>
      <c r="AC19" s="61" t="s">
        <v>67</v>
      </c>
      <c r="AD19" s="61" t="s">
        <v>117</v>
      </c>
      <c r="AE19" s="61" t="s">
        <v>67</v>
      </c>
      <c r="AF19" s="61" t="s">
        <v>67</v>
      </c>
      <c r="AG19" s="61" t="s">
        <v>67</v>
      </c>
      <c r="AH19" s="61"/>
      <c r="AI19" s="61" t="s">
        <v>67</v>
      </c>
      <c r="AJ19" s="61" t="s">
        <v>67</v>
      </c>
      <c r="AK19" s="73"/>
      <c r="AL19" s="33"/>
      <c r="AM19" s="81">
        <f t="shared" si="2"/>
        <v>20</v>
      </c>
      <c r="AN19" s="62"/>
      <c r="AO19" s="81" t="str">
        <f t="shared" si="3"/>
        <v/>
      </c>
      <c r="AP19" s="33"/>
      <c r="AQ19" s="81" t="str">
        <f t="shared" si="4"/>
        <v/>
      </c>
      <c r="AR19" s="62"/>
      <c r="AS19" s="81">
        <f t="shared" si="5"/>
        <v>20</v>
      </c>
      <c r="AT19" s="33"/>
    </row>
    <row r="20" spans="1:47" ht="27.6" customHeight="1" x14ac:dyDescent="0.25">
      <c r="A20" s="33"/>
      <c r="B20" s="33"/>
      <c r="C20" s="64" t="s">
        <v>131</v>
      </c>
      <c r="D20" s="33"/>
      <c r="E20" s="292" t="str">
        <f>IFERROR(VLOOKUP(C20,'DATOS GRALES 1'!$B$2:$E$50,4,0),"")</f>
        <v>TOPOGRAFO</v>
      </c>
      <c r="F20" s="293"/>
      <c r="G20" s="72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 t="s">
        <v>67</v>
      </c>
      <c r="AC20" s="61" t="s">
        <v>67</v>
      </c>
      <c r="AD20" s="61" t="s">
        <v>117</v>
      </c>
      <c r="AE20" s="61" t="s">
        <v>67</v>
      </c>
      <c r="AF20" s="61" t="s">
        <v>67</v>
      </c>
      <c r="AG20" s="61" t="s">
        <v>67</v>
      </c>
      <c r="AH20" s="61"/>
      <c r="AI20" s="61" t="s">
        <v>67</v>
      </c>
      <c r="AJ20" s="61" t="s">
        <v>67</v>
      </c>
      <c r="AK20" s="73"/>
      <c r="AL20" s="33"/>
      <c r="AM20" s="81">
        <f t="shared" si="2"/>
        <v>8</v>
      </c>
      <c r="AN20" s="62"/>
      <c r="AO20" s="81" t="str">
        <f t="shared" si="3"/>
        <v/>
      </c>
      <c r="AP20" s="33"/>
      <c r="AQ20" s="81" t="str">
        <f t="shared" si="4"/>
        <v/>
      </c>
      <c r="AR20" s="62"/>
      <c r="AS20" s="81">
        <f t="shared" si="5"/>
        <v>8</v>
      </c>
      <c r="AT20" s="33"/>
    </row>
    <row r="21" spans="1:47" ht="28.15" customHeight="1" x14ac:dyDescent="0.25">
      <c r="A21" s="33"/>
      <c r="B21" s="33"/>
      <c r="C21" s="64" t="s">
        <v>139</v>
      </c>
      <c r="D21" s="33"/>
      <c r="E21" s="292" t="str">
        <f>IFERROR(VLOOKUP(C21,'DATOS GRALES 1'!$B$2:$E$50,4,0),"")</f>
        <v>ESP. SEGURIDAD</v>
      </c>
      <c r="F21" s="293"/>
      <c r="G21" s="72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 t="s">
        <v>67</v>
      </c>
      <c r="AJ21" s="61" t="s">
        <v>67</v>
      </c>
      <c r="AK21" s="73"/>
      <c r="AL21" s="33"/>
      <c r="AM21" s="81">
        <f t="shared" si="2"/>
        <v>2</v>
      </c>
      <c r="AN21" s="62"/>
      <c r="AO21" s="81" t="str">
        <f t="shared" si="3"/>
        <v/>
      </c>
      <c r="AP21" s="33"/>
      <c r="AQ21" s="81" t="str">
        <f t="shared" si="4"/>
        <v/>
      </c>
      <c r="AR21" s="62"/>
      <c r="AS21" s="81">
        <f t="shared" si="5"/>
        <v>2</v>
      </c>
      <c r="AT21" s="33"/>
    </row>
    <row r="22" spans="1:47" ht="10.9" customHeight="1" x14ac:dyDescent="0.25">
      <c r="A22" s="33"/>
      <c r="B22" s="33"/>
      <c r="C22" s="64"/>
      <c r="D22" s="33"/>
      <c r="E22" s="292" t="str">
        <f>IFERROR(VLOOKUP(C22,'DATOS GRALES 1'!$B$2:$E$50,4,0),"")</f>
        <v/>
      </c>
      <c r="F22" s="293"/>
      <c r="G22" s="72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73"/>
      <c r="AL22" s="33"/>
      <c r="AM22" s="81" t="str">
        <f t="shared" si="2"/>
        <v/>
      </c>
      <c r="AN22" s="62"/>
      <c r="AO22" s="81" t="str">
        <f t="shared" si="3"/>
        <v/>
      </c>
      <c r="AP22" s="33"/>
      <c r="AQ22" s="81" t="str">
        <f t="shared" si="4"/>
        <v/>
      </c>
      <c r="AR22" s="62"/>
      <c r="AS22" s="81" t="str">
        <f t="shared" si="5"/>
        <v/>
      </c>
      <c r="AT22" s="33"/>
    </row>
    <row r="23" spans="1:47" ht="27.6" customHeight="1" x14ac:dyDescent="0.25">
      <c r="A23" s="33"/>
      <c r="B23" s="33"/>
      <c r="C23" s="88" t="s">
        <v>83</v>
      </c>
      <c r="D23" s="33"/>
      <c r="E23" s="294"/>
      <c r="F23" s="295"/>
      <c r="G23" s="93" t="s">
        <v>83</v>
      </c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  <c r="AG23" s="94"/>
      <c r="AH23" s="94"/>
      <c r="AI23" s="94"/>
      <c r="AJ23" s="94"/>
      <c r="AK23" s="95"/>
      <c r="AL23" s="33"/>
      <c r="AM23" s="81"/>
      <c r="AN23" s="62"/>
      <c r="AO23" s="81"/>
      <c r="AP23" s="59"/>
      <c r="AQ23" s="81"/>
      <c r="AR23" s="62"/>
      <c r="AS23" s="81"/>
      <c r="AT23" s="33"/>
    </row>
    <row r="24" spans="1:47" ht="27.6" customHeight="1" x14ac:dyDescent="0.25">
      <c r="A24" s="33"/>
      <c r="B24" s="33"/>
      <c r="C24" s="117" t="s">
        <v>18</v>
      </c>
      <c r="D24" s="33"/>
      <c r="E24" s="296" t="str">
        <f>IFERROR(VLOOKUP(C24,'DATOS GRALES 1'!B2:E50,4,0),"")</f>
        <v>PEON</v>
      </c>
      <c r="F24" s="289"/>
      <c r="G24" s="72"/>
      <c r="H24" s="61"/>
      <c r="I24" s="61"/>
      <c r="J24" s="61"/>
      <c r="K24" s="61"/>
      <c r="L24" s="61"/>
      <c r="M24" s="61"/>
      <c r="N24" s="61"/>
      <c r="O24" s="61" t="s">
        <v>67</v>
      </c>
      <c r="P24" s="61" t="s">
        <v>67</v>
      </c>
      <c r="Q24" s="61" t="s">
        <v>67</v>
      </c>
      <c r="R24" s="61" t="s">
        <v>67</v>
      </c>
      <c r="S24" s="61" t="s">
        <v>67</v>
      </c>
      <c r="T24" s="61"/>
      <c r="U24" s="61" t="s">
        <v>67</v>
      </c>
      <c r="V24" s="61" t="s">
        <v>67</v>
      </c>
      <c r="W24" s="61" t="s">
        <v>67</v>
      </c>
      <c r="X24" s="61" t="s">
        <v>67</v>
      </c>
      <c r="Y24" s="61" t="s">
        <v>67</v>
      </c>
      <c r="Z24" s="61" t="s">
        <v>67</v>
      </c>
      <c r="AA24" s="61"/>
      <c r="AB24" s="61" t="s">
        <v>67</v>
      </c>
      <c r="AC24" s="61" t="s">
        <v>67</v>
      </c>
      <c r="AD24" s="61" t="s">
        <v>67</v>
      </c>
      <c r="AE24" s="61" t="s">
        <v>67</v>
      </c>
      <c r="AF24" s="61" t="s">
        <v>67</v>
      </c>
      <c r="AG24" s="61" t="s">
        <v>67</v>
      </c>
      <c r="AH24" s="61"/>
      <c r="AI24" s="61" t="s">
        <v>67</v>
      </c>
      <c r="AJ24" s="61" t="s">
        <v>67</v>
      </c>
      <c r="AK24" s="73"/>
      <c r="AL24" s="33"/>
      <c r="AM24" s="81">
        <f t="shared" si="2"/>
        <v>19</v>
      </c>
      <c r="AN24" s="62"/>
      <c r="AO24" s="81" t="str">
        <f t="shared" si="3"/>
        <v/>
      </c>
      <c r="AP24" s="33"/>
      <c r="AQ24" s="81" t="str">
        <f t="shared" si="4"/>
        <v/>
      </c>
      <c r="AR24" s="62"/>
      <c r="AS24" s="81">
        <f t="shared" si="5"/>
        <v>19</v>
      </c>
      <c r="AT24" s="33"/>
    </row>
    <row r="25" spans="1:47" ht="27.6" customHeight="1" x14ac:dyDescent="0.25">
      <c r="A25" s="33"/>
      <c r="B25" s="33"/>
      <c r="C25" s="117" t="s">
        <v>16</v>
      </c>
      <c r="D25" s="33"/>
      <c r="E25" s="288" t="str">
        <f>IFERROR(VLOOKUP(C25,'DATOS GRALES 1'!B3:E47,4,0),"")</f>
        <v>PEON</v>
      </c>
      <c r="F25" s="289"/>
      <c r="G25" s="72"/>
      <c r="H25" s="61"/>
      <c r="I25" s="61"/>
      <c r="J25" s="61"/>
      <c r="K25" s="61"/>
      <c r="L25" s="61"/>
      <c r="M25" s="61"/>
      <c r="N25" s="61"/>
      <c r="O25" s="61" t="s">
        <v>67</v>
      </c>
      <c r="P25" s="61" t="s">
        <v>67</v>
      </c>
      <c r="Q25" s="61" t="s">
        <v>67</v>
      </c>
      <c r="R25" s="61" t="s">
        <v>67</v>
      </c>
      <c r="S25" s="61" t="s">
        <v>67</v>
      </c>
      <c r="T25" s="61"/>
      <c r="U25" s="61" t="s">
        <v>67</v>
      </c>
      <c r="V25" s="61" t="s">
        <v>67</v>
      </c>
      <c r="W25" s="61" t="s">
        <v>67</v>
      </c>
      <c r="X25" s="61" t="s">
        <v>67</v>
      </c>
      <c r="Y25" s="61" t="s">
        <v>78</v>
      </c>
      <c r="Z25" s="61" t="s">
        <v>78</v>
      </c>
      <c r="AA25" s="61"/>
      <c r="AB25" s="61" t="s">
        <v>67</v>
      </c>
      <c r="AC25" s="61" t="s">
        <v>67</v>
      </c>
      <c r="AD25" s="61" t="s">
        <v>67</v>
      </c>
      <c r="AE25" s="61" t="s">
        <v>67</v>
      </c>
      <c r="AF25" s="61" t="s">
        <v>67</v>
      </c>
      <c r="AG25" s="61" t="s">
        <v>67</v>
      </c>
      <c r="AH25" s="61"/>
      <c r="AI25" s="61" t="s">
        <v>67</v>
      </c>
      <c r="AJ25" s="61" t="s">
        <v>67</v>
      </c>
      <c r="AK25" s="73"/>
      <c r="AL25" s="33"/>
      <c r="AM25" s="81">
        <f t="shared" si="2"/>
        <v>17</v>
      </c>
      <c r="AN25" s="62"/>
      <c r="AO25" s="81">
        <f t="shared" si="3"/>
        <v>2</v>
      </c>
      <c r="AP25" s="33"/>
      <c r="AQ25" s="81" t="str">
        <f t="shared" si="4"/>
        <v/>
      </c>
      <c r="AR25" s="62"/>
      <c r="AS25" s="81">
        <f t="shared" si="5"/>
        <v>19</v>
      </c>
      <c r="AT25" s="33"/>
      <c r="AU25" t="s">
        <v>135</v>
      </c>
    </row>
    <row r="26" spans="1:47" ht="27.6" customHeight="1" x14ac:dyDescent="0.25">
      <c r="A26" s="33"/>
      <c r="B26" s="33"/>
      <c r="C26" s="117" t="s">
        <v>17</v>
      </c>
      <c r="D26" s="33"/>
      <c r="E26" s="288" t="str">
        <f>IFERROR(VLOOKUP(C26,'DATOS GRALES 1'!B4:E47,4,0),"")</f>
        <v>PEON</v>
      </c>
      <c r="F26" s="289"/>
      <c r="G26" s="72"/>
      <c r="H26" s="61"/>
      <c r="I26" s="61"/>
      <c r="J26" s="61"/>
      <c r="K26" s="61"/>
      <c r="L26" s="61"/>
      <c r="M26" s="61"/>
      <c r="N26" s="61"/>
      <c r="O26" s="61" t="s">
        <v>67</v>
      </c>
      <c r="P26" s="61" t="s">
        <v>67</v>
      </c>
      <c r="Q26" s="61" t="s">
        <v>67</v>
      </c>
      <c r="R26" s="61" t="s">
        <v>67</v>
      </c>
      <c r="S26" s="61" t="s">
        <v>67</v>
      </c>
      <c r="T26" s="61"/>
      <c r="U26" s="61" t="s">
        <v>67</v>
      </c>
      <c r="V26" s="61" t="s">
        <v>67</v>
      </c>
      <c r="W26" s="61" t="s">
        <v>67</v>
      </c>
      <c r="X26" s="61" t="s">
        <v>67</v>
      </c>
      <c r="Y26" s="61" t="s">
        <v>67</v>
      </c>
      <c r="Z26" s="61" t="s">
        <v>67</v>
      </c>
      <c r="AA26" s="61"/>
      <c r="AB26" s="61" t="s">
        <v>67</v>
      </c>
      <c r="AC26" s="61" t="s">
        <v>67</v>
      </c>
      <c r="AD26" s="61" t="s">
        <v>67</v>
      </c>
      <c r="AE26" s="61" t="s">
        <v>67</v>
      </c>
      <c r="AF26" s="61" t="s">
        <v>67</v>
      </c>
      <c r="AG26" s="61" t="s">
        <v>67</v>
      </c>
      <c r="AH26" s="61"/>
      <c r="AI26" s="61" t="s">
        <v>67</v>
      </c>
      <c r="AJ26" s="61" t="s">
        <v>67</v>
      </c>
      <c r="AK26" s="73"/>
      <c r="AL26" s="33"/>
      <c r="AM26" s="81">
        <f t="shared" si="2"/>
        <v>19</v>
      </c>
      <c r="AN26" s="62"/>
      <c r="AO26" s="81" t="str">
        <f t="shared" si="3"/>
        <v/>
      </c>
      <c r="AP26" s="33"/>
      <c r="AQ26" s="81" t="str">
        <f t="shared" si="4"/>
        <v/>
      </c>
      <c r="AR26" s="62"/>
      <c r="AS26" s="81">
        <f t="shared" si="5"/>
        <v>19</v>
      </c>
      <c r="AT26" s="33"/>
    </row>
    <row r="27" spans="1:47" ht="27.6" customHeight="1" x14ac:dyDescent="0.25">
      <c r="A27" s="33"/>
      <c r="B27" s="33"/>
      <c r="C27" s="117" t="s">
        <v>22</v>
      </c>
      <c r="D27" s="33"/>
      <c r="E27" s="288" t="str">
        <f>IFERROR(VLOOKUP(C27,'DATOS GRALES 1'!B5:E48,4,0),"")</f>
        <v>PEON</v>
      </c>
      <c r="F27" s="289"/>
      <c r="G27" s="72"/>
      <c r="H27" s="61"/>
      <c r="I27" s="61"/>
      <c r="J27" s="61"/>
      <c r="K27" s="61"/>
      <c r="L27" s="61"/>
      <c r="M27" s="61"/>
      <c r="N27" s="61"/>
      <c r="O27" s="61" t="s">
        <v>67</v>
      </c>
      <c r="P27" s="61" t="s">
        <v>138</v>
      </c>
      <c r="Q27" s="61" t="s">
        <v>67</v>
      </c>
      <c r="R27" s="61" t="s">
        <v>67</v>
      </c>
      <c r="S27" s="61" t="s">
        <v>67</v>
      </c>
      <c r="T27" s="61"/>
      <c r="U27" s="61" t="s">
        <v>67</v>
      </c>
      <c r="V27" s="61" t="s">
        <v>67</v>
      </c>
      <c r="W27" s="61" t="s">
        <v>67</v>
      </c>
      <c r="X27" s="61" t="s">
        <v>67</v>
      </c>
      <c r="Y27" s="61" t="s">
        <v>67</v>
      </c>
      <c r="Z27" s="61" t="s">
        <v>67</v>
      </c>
      <c r="AA27" s="61"/>
      <c r="AB27" s="61" t="s">
        <v>67</v>
      </c>
      <c r="AC27" s="61" t="s">
        <v>67</v>
      </c>
      <c r="AD27" s="61" t="s">
        <v>67</v>
      </c>
      <c r="AE27" s="61" t="s">
        <v>67</v>
      </c>
      <c r="AF27" s="61" t="s">
        <v>67</v>
      </c>
      <c r="AG27" s="61" t="s">
        <v>67</v>
      </c>
      <c r="AH27" s="61"/>
      <c r="AI27" s="61" t="s">
        <v>67</v>
      </c>
      <c r="AJ27" s="61" t="s">
        <v>67</v>
      </c>
      <c r="AK27" s="73"/>
      <c r="AL27" s="33"/>
      <c r="AM27" s="81">
        <f t="shared" si="2"/>
        <v>18</v>
      </c>
      <c r="AN27" s="62"/>
      <c r="AO27" s="81" t="str">
        <f t="shared" si="3"/>
        <v/>
      </c>
      <c r="AP27" s="33"/>
      <c r="AQ27" s="81" t="str">
        <f t="shared" si="4"/>
        <v/>
      </c>
      <c r="AR27" s="62"/>
      <c r="AS27" s="81">
        <f t="shared" si="5"/>
        <v>18</v>
      </c>
      <c r="AT27" s="33"/>
    </row>
    <row r="28" spans="1:47" ht="27.6" customHeight="1" x14ac:dyDescent="0.25">
      <c r="A28" s="33"/>
      <c r="B28" s="33"/>
      <c r="C28" s="117" t="s">
        <v>21</v>
      </c>
      <c r="D28" s="33"/>
      <c r="E28" s="288" t="str">
        <f>IFERROR(VLOOKUP(C28,'DATOS GRALES 1'!B6:E52,4,0),"")</f>
        <v>OPERARIO</v>
      </c>
      <c r="F28" s="289"/>
      <c r="G28" s="72"/>
      <c r="H28" s="61"/>
      <c r="I28" s="61"/>
      <c r="J28" s="61"/>
      <c r="K28" s="61"/>
      <c r="L28" s="61"/>
      <c r="M28" s="61"/>
      <c r="N28" s="61"/>
      <c r="O28" s="61" t="s">
        <v>67</v>
      </c>
      <c r="P28" s="61" t="s">
        <v>67</v>
      </c>
      <c r="Q28" s="61" t="s">
        <v>67</v>
      </c>
      <c r="R28" s="61" t="s">
        <v>67</v>
      </c>
      <c r="S28" s="61" t="s">
        <v>67</v>
      </c>
      <c r="T28" s="61"/>
      <c r="U28" s="61" t="s">
        <v>67</v>
      </c>
      <c r="V28" s="61" t="s">
        <v>67</v>
      </c>
      <c r="W28" s="61" t="s">
        <v>67</v>
      </c>
      <c r="X28" s="61" t="s">
        <v>67</v>
      </c>
      <c r="Y28" s="61" t="s">
        <v>67</v>
      </c>
      <c r="Z28" s="61" t="s">
        <v>67</v>
      </c>
      <c r="AA28" s="61"/>
      <c r="AB28" s="61" t="s">
        <v>67</v>
      </c>
      <c r="AC28" s="61" t="s">
        <v>67</v>
      </c>
      <c r="AD28" s="61" t="s">
        <v>67</v>
      </c>
      <c r="AE28" s="61" t="s">
        <v>67</v>
      </c>
      <c r="AF28" s="61" t="s">
        <v>67</v>
      </c>
      <c r="AG28" s="61" t="s">
        <v>67</v>
      </c>
      <c r="AH28" s="61"/>
      <c r="AI28" s="61" t="s">
        <v>78</v>
      </c>
      <c r="AJ28" s="61" t="s">
        <v>67</v>
      </c>
      <c r="AK28" s="73"/>
      <c r="AL28" s="33"/>
      <c r="AM28" s="81">
        <f t="shared" si="2"/>
        <v>18</v>
      </c>
      <c r="AN28" s="62"/>
      <c r="AO28" s="81">
        <f t="shared" si="3"/>
        <v>1</v>
      </c>
      <c r="AP28" s="33"/>
      <c r="AQ28" s="81" t="str">
        <f t="shared" si="4"/>
        <v/>
      </c>
      <c r="AR28" s="62"/>
      <c r="AS28" s="81">
        <f t="shared" si="5"/>
        <v>19</v>
      </c>
      <c r="AT28" s="33"/>
    </row>
    <row r="29" spans="1:47" ht="27.6" customHeight="1" x14ac:dyDescent="0.25">
      <c r="A29" s="33"/>
      <c r="B29" s="33"/>
      <c r="C29" s="117" t="s">
        <v>25</v>
      </c>
      <c r="D29" s="33"/>
      <c r="E29" s="288" t="str">
        <f>IFERROR(VLOOKUP(C29,'DATOS GRALES 1'!B7:E53,4,0),"")</f>
        <v>PEON</v>
      </c>
      <c r="F29" s="289"/>
      <c r="G29" s="72"/>
      <c r="H29" s="61"/>
      <c r="I29" s="61"/>
      <c r="J29" s="61"/>
      <c r="K29" s="61"/>
      <c r="L29" s="61"/>
      <c r="M29" s="61"/>
      <c r="N29" s="61"/>
      <c r="O29" s="61" t="s">
        <v>67</v>
      </c>
      <c r="P29" s="61" t="s">
        <v>67</v>
      </c>
      <c r="Q29" s="61" t="s">
        <v>67</v>
      </c>
      <c r="R29" s="61" t="s">
        <v>67</v>
      </c>
      <c r="S29" s="61" t="s">
        <v>67</v>
      </c>
      <c r="T29" s="61"/>
      <c r="U29" s="61" t="s">
        <v>78</v>
      </c>
      <c r="V29" s="61" t="s">
        <v>67</v>
      </c>
      <c r="W29" s="61" t="s">
        <v>67</v>
      </c>
      <c r="X29" s="61" t="s">
        <v>67</v>
      </c>
      <c r="Y29" s="61" t="s">
        <v>67</v>
      </c>
      <c r="Z29" s="61" t="s">
        <v>67</v>
      </c>
      <c r="AA29" s="61"/>
      <c r="AB29" s="61" t="s">
        <v>67</v>
      </c>
      <c r="AC29" s="61" t="s">
        <v>67</v>
      </c>
      <c r="AD29" s="61" t="s">
        <v>67</v>
      </c>
      <c r="AE29" s="61" t="s">
        <v>67</v>
      </c>
      <c r="AF29" s="61" t="s">
        <v>67</v>
      </c>
      <c r="AG29" s="61" t="s">
        <v>67</v>
      </c>
      <c r="AH29" s="61"/>
      <c r="AI29" s="61" t="s">
        <v>67</v>
      </c>
      <c r="AJ29" s="61" t="s">
        <v>67</v>
      </c>
      <c r="AK29" s="73"/>
      <c r="AL29" s="33"/>
      <c r="AM29" s="81">
        <f t="shared" si="2"/>
        <v>18</v>
      </c>
      <c r="AN29" s="62"/>
      <c r="AO29" s="81">
        <f t="shared" si="3"/>
        <v>1</v>
      </c>
      <c r="AP29" s="33"/>
      <c r="AQ29" s="81" t="str">
        <f t="shared" si="4"/>
        <v/>
      </c>
      <c r="AR29" s="62"/>
      <c r="AS29" s="81">
        <f t="shared" si="5"/>
        <v>19</v>
      </c>
      <c r="AT29" s="33"/>
    </row>
    <row r="30" spans="1:47" ht="27.6" customHeight="1" x14ac:dyDescent="0.25">
      <c r="A30" s="33"/>
      <c r="B30" s="33"/>
      <c r="C30" s="117" t="s">
        <v>19</v>
      </c>
      <c r="D30" s="33"/>
      <c r="E30" s="288" t="str">
        <f>IFERROR(VLOOKUP(C30,'DATOS GRALES 1'!B8:E54,4,0),"")</f>
        <v>OPERARIO/VOLQUETERO</v>
      </c>
      <c r="F30" s="289"/>
      <c r="G30" s="72"/>
      <c r="H30" s="61"/>
      <c r="I30" s="61"/>
      <c r="J30" s="61"/>
      <c r="K30" s="61"/>
      <c r="L30" s="61"/>
      <c r="M30" s="61"/>
      <c r="N30" s="61"/>
      <c r="O30" s="61" t="s">
        <v>67</v>
      </c>
      <c r="P30" s="61" t="s">
        <v>67</v>
      </c>
      <c r="Q30" s="61" t="s">
        <v>67</v>
      </c>
      <c r="R30" s="61" t="s">
        <v>67</v>
      </c>
      <c r="S30" s="61" t="s">
        <v>67</v>
      </c>
      <c r="T30" s="61"/>
      <c r="U30" s="61" t="s">
        <v>67</v>
      </c>
      <c r="V30" s="61" t="s">
        <v>67</v>
      </c>
      <c r="W30" s="61" t="s">
        <v>67</v>
      </c>
      <c r="X30" s="61" t="s">
        <v>67</v>
      </c>
      <c r="Y30" s="61" t="s">
        <v>67</v>
      </c>
      <c r="Z30" s="61" t="s">
        <v>67</v>
      </c>
      <c r="AA30" s="61"/>
      <c r="AB30" s="61" t="s">
        <v>67</v>
      </c>
      <c r="AC30" s="61" t="s">
        <v>67</v>
      </c>
      <c r="AD30" s="61" t="s">
        <v>67</v>
      </c>
      <c r="AE30" s="61" t="s">
        <v>67</v>
      </c>
      <c r="AF30" s="61" t="s">
        <v>67</v>
      </c>
      <c r="AG30" s="61" t="s">
        <v>67</v>
      </c>
      <c r="AH30" s="61"/>
      <c r="AI30" s="61" t="s">
        <v>67</v>
      </c>
      <c r="AJ30" s="61" t="s">
        <v>67</v>
      </c>
      <c r="AK30" s="73"/>
      <c r="AL30" s="33"/>
      <c r="AM30" s="81">
        <f t="shared" si="2"/>
        <v>19</v>
      </c>
      <c r="AN30" s="62"/>
      <c r="AO30" s="81" t="str">
        <f t="shared" si="3"/>
        <v/>
      </c>
      <c r="AP30" s="33"/>
      <c r="AQ30" s="81" t="str">
        <f t="shared" si="4"/>
        <v/>
      </c>
      <c r="AR30" s="62"/>
      <c r="AS30" s="81">
        <f t="shared" si="5"/>
        <v>19</v>
      </c>
      <c r="AT30" s="33"/>
      <c r="AU30" t="s">
        <v>136</v>
      </c>
    </row>
    <row r="31" spans="1:47" ht="27.6" customHeight="1" x14ac:dyDescent="0.25">
      <c r="A31" s="33"/>
      <c r="B31" s="33"/>
      <c r="C31" s="117" t="s">
        <v>26</v>
      </c>
      <c r="D31" s="33"/>
      <c r="E31" s="288" t="str">
        <f>IFERROR(VLOOKUP(C31,'DATOS GRALES 1'!B9:E55,4,0),"")</f>
        <v>PEON/CHOFER</v>
      </c>
      <c r="F31" s="289"/>
      <c r="G31" s="72"/>
      <c r="H31" s="61"/>
      <c r="I31" s="61"/>
      <c r="J31" s="61"/>
      <c r="K31" s="61"/>
      <c r="L31" s="61"/>
      <c r="M31" s="61"/>
      <c r="N31" s="61"/>
      <c r="O31" s="61" t="s">
        <v>67</v>
      </c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73"/>
      <c r="AL31" s="33"/>
      <c r="AM31" s="81">
        <f t="shared" si="2"/>
        <v>1</v>
      </c>
      <c r="AN31" s="62"/>
      <c r="AO31" s="81" t="str">
        <f t="shared" si="3"/>
        <v/>
      </c>
      <c r="AP31" s="33"/>
      <c r="AQ31" s="81" t="str">
        <f t="shared" si="4"/>
        <v/>
      </c>
      <c r="AR31" s="62"/>
      <c r="AS31" s="81">
        <f t="shared" si="5"/>
        <v>1</v>
      </c>
      <c r="AT31" s="33"/>
    </row>
    <row r="32" spans="1:47" ht="27.6" customHeight="1" x14ac:dyDescent="0.25">
      <c r="A32" s="33"/>
      <c r="B32" s="33"/>
      <c r="C32" s="117" t="s">
        <v>104</v>
      </c>
      <c r="D32" s="33"/>
      <c r="E32" s="288" t="str">
        <f>IFERROR(VLOOKUP(C32,'DATOS GRALES 1'!B10:E56,4,0),"")</f>
        <v>OPERARIO</v>
      </c>
      <c r="F32" s="289"/>
      <c r="G32" s="72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 t="s">
        <v>67</v>
      </c>
      <c r="V32" s="61" t="s">
        <v>67</v>
      </c>
      <c r="W32" s="61" t="s">
        <v>67</v>
      </c>
      <c r="X32" s="61" t="s">
        <v>67</v>
      </c>
      <c r="Y32" s="61" t="s">
        <v>67</v>
      </c>
      <c r="Z32" s="61" t="s">
        <v>67</v>
      </c>
      <c r="AA32" s="61"/>
      <c r="AB32" s="61" t="s">
        <v>67</v>
      </c>
      <c r="AC32" s="61" t="s">
        <v>67</v>
      </c>
      <c r="AD32" s="61" t="s">
        <v>67</v>
      </c>
      <c r="AE32" s="61" t="s">
        <v>67</v>
      </c>
      <c r="AF32" s="61" t="s">
        <v>67</v>
      </c>
      <c r="AG32" s="61" t="s">
        <v>67</v>
      </c>
      <c r="AH32" s="61"/>
      <c r="AI32" s="61" t="s">
        <v>67</v>
      </c>
      <c r="AJ32" s="61" t="s">
        <v>67</v>
      </c>
      <c r="AK32" s="73"/>
      <c r="AL32" s="33"/>
      <c r="AM32" s="81">
        <f t="shared" si="2"/>
        <v>14</v>
      </c>
      <c r="AN32" s="62"/>
      <c r="AO32" s="81" t="str">
        <f t="shared" si="3"/>
        <v/>
      </c>
      <c r="AP32" s="33"/>
      <c r="AQ32" s="81" t="str">
        <f t="shared" si="4"/>
        <v/>
      </c>
      <c r="AR32" s="62"/>
      <c r="AS32" s="81">
        <f t="shared" si="5"/>
        <v>14</v>
      </c>
      <c r="AT32" s="33"/>
    </row>
    <row r="33" spans="1:48" ht="27.6" customHeight="1" x14ac:dyDescent="0.25">
      <c r="A33" s="33"/>
      <c r="B33" s="33"/>
      <c r="C33" s="117" t="s">
        <v>106</v>
      </c>
      <c r="D33" s="33"/>
      <c r="E33" s="288" t="str">
        <f>IFERROR(VLOOKUP(C33,'DATOS GRALES 1'!B11:E57,4,0),"")</f>
        <v>PEON</v>
      </c>
      <c r="F33" s="289"/>
      <c r="G33" s="72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 t="s">
        <v>67</v>
      </c>
      <c r="V33" s="61" t="s">
        <v>67</v>
      </c>
      <c r="W33" s="61" t="s">
        <v>67</v>
      </c>
      <c r="X33" s="61" t="s">
        <v>67</v>
      </c>
      <c r="Y33" s="61" t="s">
        <v>67</v>
      </c>
      <c r="Z33" s="61" t="s">
        <v>67</v>
      </c>
      <c r="AA33" s="61"/>
      <c r="AB33" s="61" t="s">
        <v>67</v>
      </c>
      <c r="AC33" s="61" t="s">
        <v>67</v>
      </c>
      <c r="AD33" s="61" t="s">
        <v>67</v>
      </c>
      <c r="AE33" s="61" t="s">
        <v>67</v>
      </c>
      <c r="AF33" s="61" t="s">
        <v>67</v>
      </c>
      <c r="AG33" s="61" t="s">
        <v>67</v>
      </c>
      <c r="AH33" s="61"/>
      <c r="AI33" s="61" t="s">
        <v>67</v>
      </c>
      <c r="AJ33" s="61" t="s">
        <v>67</v>
      </c>
      <c r="AK33" s="73"/>
      <c r="AL33" s="33"/>
      <c r="AM33" s="81">
        <f t="shared" si="2"/>
        <v>14</v>
      </c>
      <c r="AN33" s="62"/>
      <c r="AO33" s="81" t="str">
        <f t="shared" si="3"/>
        <v/>
      </c>
      <c r="AP33" s="33"/>
      <c r="AQ33" s="81" t="str">
        <f t="shared" si="4"/>
        <v/>
      </c>
      <c r="AR33" s="62"/>
      <c r="AS33" s="81">
        <f t="shared" si="5"/>
        <v>14</v>
      </c>
      <c r="AT33" s="33"/>
    </row>
    <row r="34" spans="1:48" ht="27.6" customHeight="1" x14ac:dyDescent="0.25">
      <c r="A34" s="33"/>
      <c r="B34" s="33"/>
      <c r="C34" s="117" t="s">
        <v>107</v>
      </c>
      <c r="D34" s="33"/>
      <c r="E34" s="288" t="str">
        <f>IFERROR(VLOOKUP(C34,'DATOS GRALES 1'!B12:E58,4,0),"")</f>
        <v>OPERARIO</v>
      </c>
      <c r="F34" s="289"/>
      <c r="G34" s="72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 t="s">
        <v>67</v>
      </c>
      <c r="AC34" s="61" t="s">
        <v>67</v>
      </c>
      <c r="AD34" s="61" t="s">
        <v>67</v>
      </c>
      <c r="AE34" s="61" t="s">
        <v>67</v>
      </c>
      <c r="AF34" s="61" t="s">
        <v>67</v>
      </c>
      <c r="AG34" s="61" t="s">
        <v>67</v>
      </c>
      <c r="AH34" s="61"/>
      <c r="AI34" s="61" t="s">
        <v>78</v>
      </c>
      <c r="AJ34" s="61" t="s">
        <v>67</v>
      </c>
      <c r="AK34" s="73"/>
      <c r="AL34" s="33"/>
      <c r="AM34" s="81">
        <f t="shared" si="2"/>
        <v>7</v>
      </c>
      <c r="AN34" s="62"/>
      <c r="AO34" s="81">
        <f t="shared" si="3"/>
        <v>1</v>
      </c>
      <c r="AP34" s="33"/>
      <c r="AQ34" s="81" t="str">
        <f t="shared" si="4"/>
        <v/>
      </c>
      <c r="AR34" s="62"/>
      <c r="AS34" s="81">
        <f t="shared" si="5"/>
        <v>8</v>
      </c>
      <c r="AT34" s="33"/>
    </row>
    <row r="35" spans="1:48" ht="27.6" customHeight="1" x14ac:dyDescent="0.25">
      <c r="A35" s="33"/>
      <c r="B35" s="33"/>
      <c r="C35" s="117" t="s">
        <v>108</v>
      </c>
      <c r="D35" s="33"/>
      <c r="E35" s="288" t="str">
        <f>IFERROR(VLOOKUP(C35,'DATOS GRALES 1'!B13:E59,4,0),"")</f>
        <v>OPERARIO</v>
      </c>
      <c r="F35" s="289"/>
      <c r="G35" s="72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 t="s">
        <v>67</v>
      </c>
      <c r="AC35" s="61" t="s">
        <v>67</v>
      </c>
      <c r="AD35" s="61" t="s">
        <v>67</v>
      </c>
      <c r="AE35" s="61" t="s">
        <v>67</v>
      </c>
      <c r="AF35" s="61" t="s">
        <v>67</v>
      </c>
      <c r="AG35" s="61" t="s">
        <v>67</v>
      </c>
      <c r="AH35" s="61"/>
      <c r="AI35" s="61" t="s">
        <v>67</v>
      </c>
      <c r="AJ35" s="61" t="s">
        <v>67</v>
      </c>
      <c r="AK35" s="73"/>
      <c r="AL35" s="33"/>
      <c r="AM35" s="81">
        <f t="shared" si="2"/>
        <v>8</v>
      </c>
      <c r="AN35" s="62"/>
      <c r="AO35" s="81" t="str">
        <f t="shared" si="3"/>
        <v/>
      </c>
      <c r="AP35" s="33"/>
      <c r="AQ35" s="81" t="str">
        <f t="shared" si="4"/>
        <v/>
      </c>
      <c r="AR35" s="62"/>
      <c r="AS35" s="81">
        <f t="shared" si="5"/>
        <v>8</v>
      </c>
      <c r="AT35" s="33"/>
    </row>
    <row r="36" spans="1:48" ht="27.6" customHeight="1" x14ac:dyDescent="0.25">
      <c r="A36" s="33"/>
      <c r="B36" s="33"/>
      <c r="C36" s="117" t="s">
        <v>109</v>
      </c>
      <c r="D36" s="33"/>
      <c r="E36" s="288" t="str">
        <f>IFERROR(VLOOKUP(C36,'DATOS GRALES 1'!B14:E60,4,0),"")</f>
        <v>PEON</v>
      </c>
      <c r="F36" s="289"/>
      <c r="G36" s="72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 t="s">
        <v>67</v>
      </c>
      <c r="AC36" s="61" t="s">
        <v>67</v>
      </c>
      <c r="AD36" s="61" t="s">
        <v>67</v>
      </c>
      <c r="AE36" s="61" t="s">
        <v>67</v>
      </c>
      <c r="AF36" s="61" t="s">
        <v>67</v>
      </c>
      <c r="AG36" s="61" t="s">
        <v>67</v>
      </c>
      <c r="AH36" s="61"/>
      <c r="AI36" s="61" t="s">
        <v>67</v>
      </c>
      <c r="AJ36" s="61" t="s">
        <v>67</v>
      </c>
      <c r="AK36" s="73"/>
      <c r="AL36" s="33"/>
      <c r="AM36" s="81">
        <f t="shared" si="2"/>
        <v>8</v>
      </c>
      <c r="AN36" s="62"/>
      <c r="AO36" s="81" t="str">
        <f t="shared" si="3"/>
        <v/>
      </c>
      <c r="AP36" s="33"/>
      <c r="AQ36" s="81" t="str">
        <f t="shared" si="4"/>
        <v/>
      </c>
      <c r="AR36" s="62"/>
      <c r="AS36" s="81">
        <f t="shared" si="5"/>
        <v>8</v>
      </c>
      <c r="AT36" s="33"/>
    </row>
    <row r="37" spans="1:48" ht="27.6" customHeight="1" x14ac:dyDescent="0.25">
      <c r="A37" s="33"/>
      <c r="B37" s="33"/>
      <c r="C37" s="117" t="s">
        <v>112</v>
      </c>
      <c r="D37" s="33"/>
      <c r="E37" s="288" t="str">
        <f>IFERROR(VLOOKUP(C37,'DATOS GRALES 1'!B15:E61,4,0),"")</f>
        <v>OPERARIO MAQU.</v>
      </c>
      <c r="F37" s="289"/>
      <c r="G37" s="72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 t="s">
        <v>67</v>
      </c>
      <c r="AA37" s="61"/>
      <c r="AB37" s="61" t="s">
        <v>67</v>
      </c>
      <c r="AC37" s="61" t="s">
        <v>67</v>
      </c>
      <c r="AD37" s="61" t="s">
        <v>67</v>
      </c>
      <c r="AE37" s="61" t="s">
        <v>67</v>
      </c>
      <c r="AF37" s="61" t="s">
        <v>67</v>
      </c>
      <c r="AG37" s="61" t="s">
        <v>67</v>
      </c>
      <c r="AH37" s="61"/>
      <c r="AI37" s="61" t="s">
        <v>67</v>
      </c>
      <c r="AJ37" s="61" t="s">
        <v>67</v>
      </c>
      <c r="AK37" s="73"/>
      <c r="AL37" s="33"/>
      <c r="AM37" s="81">
        <f t="shared" si="2"/>
        <v>9</v>
      </c>
      <c r="AN37" s="62"/>
      <c r="AO37" s="81" t="str">
        <f t="shared" si="3"/>
        <v/>
      </c>
      <c r="AP37" s="33"/>
      <c r="AQ37" s="81" t="str">
        <f t="shared" si="4"/>
        <v/>
      </c>
      <c r="AR37" s="62"/>
      <c r="AS37" s="81">
        <f t="shared" si="5"/>
        <v>9</v>
      </c>
      <c r="AT37" s="33"/>
      <c r="AU37" t="s">
        <v>116</v>
      </c>
      <c r="AV37" t="s">
        <v>137</v>
      </c>
    </row>
    <row r="38" spans="1:48" ht="27.6" customHeight="1" x14ac:dyDescent="0.25">
      <c r="A38" s="33"/>
      <c r="B38" s="33"/>
      <c r="C38" s="117" t="s">
        <v>114</v>
      </c>
      <c r="D38" s="33"/>
      <c r="E38" s="288" t="str">
        <f>IFERROR(VLOOKUP(C38,'DATOS GRALES 1'!B16:E62,4,0),"")</f>
        <v>PEON</v>
      </c>
      <c r="F38" s="289"/>
      <c r="G38" s="72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 t="s">
        <v>78</v>
      </c>
      <c r="AC38" s="61" t="s">
        <v>67</v>
      </c>
      <c r="AD38" s="61" t="s">
        <v>67</v>
      </c>
      <c r="AE38" s="61" t="s">
        <v>67</v>
      </c>
      <c r="AF38" s="61" t="s">
        <v>67</v>
      </c>
      <c r="AG38" s="61" t="s">
        <v>67</v>
      </c>
      <c r="AH38" s="61"/>
      <c r="AI38" s="61" t="s">
        <v>67</v>
      </c>
      <c r="AJ38" s="61" t="s">
        <v>67</v>
      </c>
      <c r="AK38" s="73"/>
      <c r="AL38" s="33"/>
      <c r="AM38" s="81">
        <f t="shared" si="2"/>
        <v>7</v>
      </c>
      <c r="AN38" s="62"/>
      <c r="AO38" s="81">
        <f t="shared" si="3"/>
        <v>1</v>
      </c>
      <c r="AP38" s="33"/>
      <c r="AQ38" s="81" t="str">
        <f t="shared" si="4"/>
        <v/>
      </c>
      <c r="AR38" s="62"/>
      <c r="AS38" s="81">
        <f t="shared" si="5"/>
        <v>8</v>
      </c>
      <c r="AT38" s="33"/>
      <c r="AU38" s="110" t="s">
        <v>118</v>
      </c>
    </row>
    <row r="39" spans="1:48" ht="27.6" customHeight="1" x14ac:dyDescent="0.25">
      <c r="A39" s="33"/>
      <c r="B39" s="33"/>
      <c r="C39" s="117" t="s">
        <v>115</v>
      </c>
      <c r="D39" s="33"/>
      <c r="E39" s="288" t="str">
        <f>IFERROR(VLOOKUP(C39,'DATOS GRALES 1'!B17:E63,4,0),"")</f>
        <v>OPERARIO</v>
      </c>
      <c r="F39" s="289"/>
      <c r="G39" s="72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 t="s">
        <v>117</v>
      </c>
      <c r="AC39" s="61" t="s">
        <v>67</v>
      </c>
      <c r="AD39" s="61" t="s">
        <v>67</v>
      </c>
      <c r="AE39" s="61" t="s">
        <v>67</v>
      </c>
      <c r="AF39" s="61" t="s">
        <v>67</v>
      </c>
      <c r="AG39" s="61" t="s">
        <v>67</v>
      </c>
      <c r="AH39" s="61"/>
      <c r="AI39" s="61" t="s">
        <v>67</v>
      </c>
      <c r="AJ39" s="61" t="s">
        <v>67</v>
      </c>
      <c r="AK39" s="73"/>
      <c r="AL39" s="33"/>
      <c r="AM39" s="81">
        <f t="shared" si="2"/>
        <v>8</v>
      </c>
      <c r="AN39" s="62"/>
      <c r="AO39" s="81" t="str">
        <f t="shared" si="3"/>
        <v/>
      </c>
      <c r="AP39" s="33"/>
      <c r="AQ39" s="81" t="str">
        <f t="shared" si="4"/>
        <v/>
      </c>
      <c r="AR39" s="62"/>
      <c r="AS39" s="81">
        <f t="shared" si="5"/>
        <v>8</v>
      </c>
      <c r="AT39" s="33"/>
      <c r="AU39" t="s">
        <v>134</v>
      </c>
    </row>
    <row r="40" spans="1:48" ht="27.6" customHeight="1" x14ac:dyDescent="0.25">
      <c r="A40" s="33"/>
      <c r="B40" s="33"/>
      <c r="C40" s="117" t="s">
        <v>133</v>
      </c>
      <c r="D40" s="33"/>
      <c r="E40" s="288" t="str">
        <f>IFERROR(VLOOKUP(C40,'DATOS GRALES 1'!B18:E64,4,0),"")</f>
        <v>OPERARIO</v>
      </c>
      <c r="F40" s="289"/>
      <c r="G40" s="72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 t="s">
        <v>67</v>
      </c>
      <c r="AJ40" s="61" t="s">
        <v>67</v>
      </c>
      <c r="AK40" s="73"/>
      <c r="AL40" s="33"/>
      <c r="AM40" s="81">
        <f t="shared" si="2"/>
        <v>2</v>
      </c>
      <c r="AN40" s="62"/>
      <c r="AO40" s="81" t="str">
        <f t="shared" si="3"/>
        <v/>
      </c>
      <c r="AP40" s="33"/>
      <c r="AQ40" s="81" t="str">
        <f t="shared" si="4"/>
        <v/>
      </c>
      <c r="AR40" s="62"/>
      <c r="AS40" s="81">
        <f t="shared" si="5"/>
        <v>2</v>
      </c>
      <c r="AT40" s="33"/>
    </row>
    <row r="41" spans="1:48" ht="27.6" customHeight="1" x14ac:dyDescent="0.25">
      <c r="A41" s="33"/>
      <c r="B41" s="33"/>
      <c r="C41" s="117"/>
      <c r="D41" s="33"/>
      <c r="E41" s="288" t="str">
        <f>IFERROR(VLOOKUP(C41,'DATOS GRALES 1'!B19:E65,4,0),"")</f>
        <v/>
      </c>
      <c r="F41" s="289"/>
      <c r="G41" s="72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73"/>
      <c r="AL41" s="33"/>
      <c r="AM41" s="81" t="str">
        <f t="shared" si="2"/>
        <v/>
      </c>
      <c r="AN41" s="62"/>
      <c r="AO41" s="81" t="str">
        <f t="shared" si="3"/>
        <v/>
      </c>
      <c r="AP41" s="33"/>
      <c r="AQ41" s="81" t="str">
        <f t="shared" si="4"/>
        <v/>
      </c>
      <c r="AR41" s="62"/>
      <c r="AS41" s="81" t="str">
        <f t="shared" si="5"/>
        <v/>
      </c>
      <c r="AT41" s="33"/>
    </row>
    <row r="42" spans="1:48" ht="27.6" customHeight="1" x14ac:dyDescent="0.25">
      <c r="A42" s="33"/>
      <c r="B42" s="33"/>
      <c r="C42" s="117"/>
      <c r="D42" s="33"/>
      <c r="E42" s="288" t="str">
        <f>IFERROR(VLOOKUP(C42,'DATOS GRALES 1'!B20:E66,4,0),"")</f>
        <v/>
      </c>
      <c r="F42" s="289"/>
      <c r="G42" s="72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73"/>
      <c r="AL42" s="33"/>
      <c r="AM42" s="81" t="str">
        <f t="shared" si="2"/>
        <v/>
      </c>
      <c r="AN42" s="62"/>
      <c r="AO42" s="81" t="str">
        <f t="shared" si="3"/>
        <v/>
      </c>
      <c r="AP42" s="33"/>
      <c r="AQ42" s="81" t="str">
        <f t="shared" si="4"/>
        <v/>
      </c>
      <c r="AR42" s="62"/>
      <c r="AS42" s="81" t="str">
        <f t="shared" si="5"/>
        <v/>
      </c>
      <c r="AT42" s="33"/>
    </row>
    <row r="43" spans="1:48" ht="27.6" customHeight="1" x14ac:dyDescent="0.25">
      <c r="A43" s="33"/>
      <c r="B43" s="33"/>
      <c r="C43" s="117"/>
      <c r="D43" s="33"/>
      <c r="E43" s="288" t="str">
        <f>IFERROR(VLOOKUP(C43,'DATOS GRALES 1'!B21:E67,4,0),"")</f>
        <v/>
      </c>
      <c r="F43" s="289"/>
      <c r="G43" s="72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73"/>
      <c r="AL43" s="33"/>
      <c r="AM43" s="81" t="str">
        <f t="shared" si="2"/>
        <v/>
      </c>
      <c r="AN43" s="62"/>
      <c r="AO43" s="81" t="str">
        <f t="shared" si="3"/>
        <v/>
      </c>
      <c r="AP43" s="33"/>
      <c r="AQ43" s="81" t="str">
        <f t="shared" si="4"/>
        <v/>
      </c>
      <c r="AR43" s="62"/>
      <c r="AS43" s="81" t="str">
        <f t="shared" si="5"/>
        <v/>
      </c>
      <c r="AT43" s="33"/>
    </row>
    <row r="44" spans="1:48" ht="27.6" customHeight="1" x14ac:dyDescent="0.25">
      <c r="A44" s="33"/>
      <c r="B44" s="33"/>
      <c r="C44" s="117"/>
      <c r="D44" s="33"/>
      <c r="E44" s="288" t="str">
        <f>IFERROR(VLOOKUP(C44,'DATOS GRALES 1'!B22:E68,4,0),"")</f>
        <v/>
      </c>
      <c r="F44" s="289"/>
      <c r="G44" s="72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73"/>
      <c r="AL44" s="33"/>
      <c r="AM44" s="81" t="str">
        <f t="shared" si="2"/>
        <v/>
      </c>
      <c r="AN44" s="62"/>
      <c r="AO44" s="81" t="str">
        <f t="shared" si="3"/>
        <v/>
      </c>
      <c r="AP44" s="33"/>
      <c r="AQ44" s="81" t="str">
        <f t="shared" si="4"/>
        <v/>
      </c>
      <c r="AR44" s="62"/>
      <c r="AS44" s="81" t="str">
        <f t="shared" si="5"/>
        <v/>
      </c>
      <c r="AT44" s="33"/>
    </row>
    <row r="45" spans="1:48" ht="27.6" customHeight="1" x14ac:dyDescent="0.25">
      <c r="A45" s="33"/>
      <c r="B45" s="33"/>
      <c r="C45" s="117"/>
      <c r="D45" s="33"/>
      <c r="E45" s="288" t="str">
        <f>IFERROR(VLOOKUP(C45,'DATOS GRALES 1'!B23:E69,4,0),"")</f>
        <v/>
      </c>
      <c r="F45" s="289"/>
      <c r="G45" s="72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73"/>
      <c r="AL45" s="33"/>
      <c r="AM45" s="81" t="str">
        <f t="shared" si="2"/>
        <v/>
      </c>
      <c r="AN45" s="62"/>
      <c r="AO45" s="81" t="str">
        <f t="shared" si="3"/>
        <v/>
      </c>
      <c r="AP45" s="33"/>
      <c r="AQ45" s="81" t="str">
        <f t="shared" si="4"/>
        <v/>
      </c>
      <c r="AR45" s="62"/>
      <c r="AS45" s="81" t="str">
        <f t="shared" si="5"/>
        <v/>
      </c>
      <c r="AT45" s="33"/>
    </row>
    <row r="46" spans="1:48" ht="27.6" customHeight="1" x14ac:dyDescent="0.25">
      <c r="A46" s="33"/>
      <c r="B46" s="33"/>
      <c r="C46" s="117"/>
      <c r="D46" s="33"/>
      <c r="E46" s="288" t="str">
        <f>IFERROR(VLOOKUP(C46,'DATOS GRALES 1'!B24:E70,4,0),"")</f>
        <v/>
      </c>
      <c r="F46" s="289"/>
      <c r="G46" s="72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73"/>
      <c r="AL46" s="33"/>
      <c r="AM46" s="81" t="str">
        <f t="shared" si="2"/>
        <v/>
      </c>
      <c r="AN46" s="62"/>
      <c r="AO46" s="81" t="str">
        <f t="shared" si="3"/>
        <v/>
      </c>
      <c r="AP46" s="33"/>
      <c r="AQ46" s="81" t="str">
        <f t="shared" si="4"/>
        <v/>
      </c>
      <c r="AR46" s="62"/>
      <c r="AS46" s="81" t="str">
        <f t="shared" si="5"/>
        <v/>
      </c>
      <c r="AT46" s="33"/>
    </row>
    <row r="47" spans="1:48" ht="27.6" customHeight="1" x14ac:dyDescent="0.25">
      <c r="A47" s="33"/>
      <c r="B47" s="33"/>
      <c r="C47" s="117"/>
      <c r="D47" s="33"/>
      <c r="E47" s="288" t="str">
        <f>IFERROR(VLOOKUP(C47,'DATOS GRALES 1'!B25:E71,4,0),"")</f>
        <v/>
      </c>
      <c r="F47" s="289"/>
      <c r="G47" s="72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73"/>
      <c r="AL47" s="33"/>
      <c r="AM47" s="81" t="str">
        <f t="shared" si="2"/>
        <v/>
      </c>
      <c r="AN47" s="62"/>
      <c r="AO47" s="81" t="str">
        <f t="shared" si="3"/>
        <v/>
      </c>
      <c r="AP47" s="33"/>
      <c r="AQ47" s="81" t="str">
        <f t="shared" si="4"/>
        <v/>
      </c>
      <c r="AR47" s="62"/>
      <c r="AS47" s="81" t="str">
        <f t="shared" si="5"/>
        <v/>
      </c>
      <c r="AT47" s="33"/>
    </row>
    <row r="48" spans="1:48" ht="27.6" customHeight="1" x14ac:dyDescent="0.25">
      <c r="A48" s="33"/>
      <c r="B48" s="33"/>
      <c r="C48" s="117"/>
      <c r="D48" s="33"/>
      <c r="E48" s="288" t="str">
        <f>IFERROR(VLOOKUP(C48,'DATOS GRALES 1'!B26:E72,4,0),"")</f>
        <v/>
      </c>
      <c r="F48" s="289"/>
      <c r="G48" s="72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73"/>
      <c r="AL48" s="33"/>
      <c r="AM48" s="81" t="str">
        <f t="shared" si="2"/>
        <v/>
      </c>
      <c r="AN48" s="62"/>
      <c r="AO48" s="81" t="str">
        <f t="shared" si="3"/>
        <v/>
      </c>
      <c r="AP48" s="33"/>
      <c r="AQ48" s="81" t="str">
        <f t="shared" si="4"/>
        <v/>
      </c>
      <c r="AR48" s="62"/>
      <c r="AS48" s="81" t="str">
        <f t="shared" si="5"/>
        <v/>
      </c>
      <c r="AT48" s="33"/>
    </row>
    <row r="49" spans="1:46" ht="27.6" customHeight="1" x14ac:dyDescent="0.25">
      <c r="A49" s="33"/>
      <c r="B49" s="33"/>
      <c r="C49" s="117"/>
      <c r="D49" s="33"/>
      <c r="E49" s="288" t="str">
        <f>IFERROR(VLOOKUP(C49,'DATOS GRALES 1'!B27:E73,4,0),"")</f>
        <v/>
      </c>
      <c r="F49" s="289"/>
      <c r="G49" s="72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73"/>
      <c r="AL49" s="33"/>
      <c r="AM49" s="81" t="str">
        <f t="shared" si="2"/>
        <v/>
      </c>
      <c r="AN49" s="62"/>
      <c r="AO49" s="81" t="str">
        <f t="shared" si="3"/>
        <v/>
      </c>
      <c r="AP49" s="33"/>
      <c r="AQ49" s="81" t="str">
        <f t="shared" si="4"/>
        <v/>
      </c>
      <c r="AR49" s="62"/>
      <c r="AS49" s="81" t="str">
        <f t="shared" si="5"/>
        <v/>
      </c>
      <c r="AT49" s="33"/>
    </row>
    <row r="50" spans="1:46" ht="27.6" customHeight="1" x14ac:dyDescent="0.25">
      <c r="A50" s="33"/>
      <c r="B50" s="33"/>
      <c r="C50" s="117"/>
      <c r="D50" s="33"/>
      <c r="E50" s="288" t="str">
        <f>IFERROR(VLOOKUP(C50,'DATOS GRALES 1'!B28:E74,4,0),"")</f>
        <v/>
      </c>
      <c r="F50" s="289"/>
      <c r="G50" s="72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  <c r="AH50" s="61"/>
      <c r="AI50" s="61"/>
      <c r="AJ50" s="61"/>
      <c r="AK50" s="73"/>
      <c r="AL50" s="33"/>
      <c r="AM50" s="81" t="str">
        <f t="shared" si="2"/>
        <v/>
      </c>
      <c r="AN50" s="62"/>
      <c r="AO50" s="81" t="str">
        <f t="shared" si="3"/>
        <v/>
      </c>
      <c r="AP50" s="33"/>
      <c r="AQ50" s="81" t="str">
        <f t="shared" si="4"/>
        <v/>
      </c>
      <c r="AR50" s="62"/>
      <c r="AS50" s="81" t="str">
        <f t="shared" si="5"/>
        <v/>
      </c>
      <c r="AT50" s="33"/>
    </row>
    <row r="51" spans="1:46" ht="27.6" customHeight="1" thickBot="1" x14ac:dyDescent="0.3">
      <c r="A51" s="33"/>
      <c r="B51" s="33"/>
      <c r="C51" s="118"/>
      <c r="D51" s="33"/>
      <c r="E51" s="290" t="str">
        <f>IFERROR(VLOOKUP(C51,'DATOS GRALES 1'!B29:E75,4,0),"")</f>
        <v/>
      </c>
      <c r="F51" s="291"/>
      <c r="G51" s="74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5"/>
      <c r="AD51" s="75"/>
      <c r="AE51" s="75"/>
      <c r="AF51" s="75"/>
      <c r="AG51" s="75"/>
      <c r="AH51" s="75"/>
      <c r="AI51" s="75"/>
      <c r="AJ51" s="75"/>
      <c r="AK51" s="76"/>
      <c r="AL51" s="33"/>
      <c r="AM51" s="82" t="str">
        <f t="shared" si="2"/>
        <v/>
      </c>
      <c r="AN51" s="62"/>
      <c r="AO51" s="82" t="str">
        <f t="shared" si="3"/>
        <v/>
      </c>
      <c r="AP51" s="33"/>
      <c r="AQ51" s="82" t="str">
        <f t="shared" si="4"/>
        <v/>
      </c>
      <c r="AR51" s="62"/>
      <c r="AS51" s="87" t="str">
        <f t="shared" si="5"/>
        <v/>
      </c>
      <c r="AT51" s="33"/>
    </row>
  </sheetData>
  <mergeCells count="76">
    <mergeCell ref="E4:G4"/>
    <mergeCell ref="AD4:AE4"/>
    <mergeCell ref="AG4:AH4"/>
    <mergeCell ref="V5:AA6"/>
    <mergeCell ref="AD5:AF6"/>
    <mergeCell ref="AG5:AH6"/>
    <mergeCell ref="E6:G6"/>
    <mergeCell ref="R8:R11"/>
    <mergeCell ref="G8:G11"/>
    <mergeCell ref="H8:H11"/>
    <mergeCell ref="I8:I11"/>
    <mergeCell ref="J8:J11"/>
    <mergeCell ref="K8:K11"/>
    <mergeCell ref="L8:L11"/>
    <mergeCell ref="M8:M11"/>
    <mergeCell ref="N8:N11"/>
    <mergeCell ref="O8:O11"/>
    <mergeCell ref="P8:P11"/>
    <mergeCell ref="Q8:Q11"/>
    <mergeCell ref="AB8:AB11"/>
    <mergeCell ref="AC8:AC11"/>
    <mergeCell ref="AD8:AD11"/>
    <mergeCell ref="S8:S11"/>
    <mergeCell ref="T8:T11"/>
    <mergeCell ref="U8:U11"/>
    <mergeCell ref="V8:V11"/>
    <mergeCell ref="W8:W11"/>
    <mergeCell ref="X8:X11"/>
    <mergeCell ref="E24:F24"/>
    <mergeCell ref="AK8:AK11"/>
    <mergeCell ref="E13:F13"/>
    <mergeCell ref="E15:F15"/>
    <mergeCell ref="E16:F16"/>
    <mergeCell ref="E17:F17"/>
    <mergeCell ref="E18:F18"/>
    <mergeCell ref="AE8:AE11"/>
    <mergeCell ref="AF8:AF11"/>
    <mergeCell ref="AG8:AG11"/>
    <mergeCell ref="AH8:AH11"/>
    <mergeCell ref="AI8:AI11"/>
    <mergeCell ref="AJ8:AJ11"/>
    <mergeCell ref="Y8:Y11"/>
    <mergeCell ref="Z8:Z11"/>
    <mergeCell ref="AA8:AA11"/>
    <mergeCell ref="E19:F19"/>
    <mergeCell ref="E20:F20"/>
    <mergeCell ref="E21:F21"/>
    <mergeCell ref="E22:F22"/>
    <mergeCell ref="E23:F23"/>
    <mergeCell ref="E41:F41"/>
    <mergeCell ref="E40:F40"/>
    <mergeCell ref="E39:F39"/>
    <mergeCell ref="E38:F38"/>
    <mergeCell ref="E37:F37"/>
    <mergeCell ref="E31:F31"/>
    <mergeCell ref="E25:F25"/>
    <mergeCell ref="E26:F26"/>
    <mergeCell ref="E27:F27"/>
    <mergeCell ref="E28:F28"/>
    <mergeCell ref="E29:F29"/>
    <mergeCell ref="E42:F42"/>
    <mergeCell ref="E30:F30"/>
    <mergeCell ref="E51:F51"/>
    <mergeCell ref="E50:F50"/>
    <mergeCell ref="E49:F49"/>
    <mergeCell ref="E48:F48"/>
    <mergeCell ref="E47:F47"/>
    <mergeCell ref="E46:F46"/>
    <mergeCell ref="E45:F45"/>
    <mergeCell ref="E44:F44"/>
    <mergeCell ref="E43:F43"/>
    <mergeCell ref="E36:F36"/>
    <mergeCell ref="E35:F35"/>
    <mergeCell ref="E34:F34"/>
    <mergeCell ref="E33:F33"/>
    <mergeCell ref="E32:F32"/>
  </mergeCells>
  <conditionalFormatting sqref="D15:D51">
    <cfRule type="expression" dxfId="44" priority="4">
      <formula>AND(_HorasExtras="SI",OR(_Datos&gt;_PorEncimade))</formula>
    </cfRule>
  </conditionalFormatting>
  <conditionalFormatting sqref="G8:AK12">
    <cfRule type="expression" dxfId="43" priority="11">
      <formula>MONTH(_Fechainicial)&lt;&gt;MONTH($E$4&amp;1)</formula>
    </cfRule>
  </conditionalFormatting>
  <conditionalFormatting sqref="G12:AK12">
    <cfRule type="expression" dxfId="42" priority="7">
      <formula>OR(WEEKDAY(_Fechainicial,2)&gt;=7,ISNUMBER(MATCH(_Fechainicial,nFestivo,0)),MONTH(_Fechainicial)&lt;&gt;MONTH($E$4&amp;1))</formula>
    </cfRule>
    <cfRule type="expression" dxfId="41" priority="9">
      <formula>MONTH(_Fechainicial)=MONTH($E$4&amp;1)</formula>
    </cfRule>
  </conditionalFormatting>
  <conditionalFormatting sqref="G13:AK13">
    <cfRule type="expression" dxfId="40" priority="10">
      <formula>MONTH(_Fechainicial)&lt;&gt;MONTH($E$4&amp;1)</formula>
    </cfRule>
    <cfRule type="expression" dxfId="39" priority="13">
      <formula>WEEKDAY(_Fechainicial,2)&gt;WEEKDAY(_FechaSiguiente,2)</formula>
    </cfRule>
  </conditionalFormatting>
  <conditionalFormatting sqref="G15:AK51">
    <cfRule type="containsText" dxfId="38" priority="1" operator="containsText" text="MED">
      <formula>NOT(ISERROR(SEARCH("MED",G15)))</formula>
    </cfRule>
    <cfRule type="containsText" dxfId="37" priority="2" operator="containsText" text="NO">
      <formula>NOT(ISERROR(SEARCH("NO",G15)))</formula>
    </cfRule>
    <cfRule type="containsText" dxfId="36" priority="3" operator="containsText" text="SI">
      <formula>NOT(ISERROR(SEARCH("SI",G15)))</formula>
    </cfRule>
    <cfRule type="expression" dxfId="35" priority="8">
      <formula>OR(WEEKDAY(_Fechainicial,2)&gt;=7,ISNUMBER(MATCH(_Fechainicial,nFestivo,0)),MONTH(_Fechainicial)&lt;&gt;MONTH($E$4&amp;1))</formula>
    </cfRule>
    <cfRule type="expression" dxfId="34" priority="12">
      <formula>WEEKDAY(_Fechainicial,2)&gt;WEEKDAY(_FechaSiguiente,2)</formula>
    </cfRule>
  </conditionalFormatting>
  <conditionalFormatting sqref="AO4">
    <cfRule type="expression" dxfId="33" priority="6">
      <formula>_HorasExtras="NO"</formula>
    </cfRule>
  </conditionalFormatting>
  <conditionalFormatting sqref="AO6">
    <cfRule type="expression" dxfId="32" priority="5">
      <formula>_HorasExtras="NO"</formula>
    </cfRule>
  </conditionalFormatting>
  <dataValidations count="3">
    <dataValidation type="list" allowBlank="1" showInputMessage="1" showErrorMessage="1" sqref="AO6" xr:uid="{D286C82A-87F5-4119-8003-8B373B3EA9D1}">
      <formula1>"8, 9, 10"</formula1>
    </dataValidation>
    <dataValidation type="list" allowBlank="1" showInputMessage="1" showErrorMessage="1" sqref="AO4" xr:uid="{A3782E42-5810-4B22-B5DB-561C777C4957}">
      <formula1>"SI, NO"</formula1>
    </dataValidation>
    <dataValidation type="list" allowBlank="1" showInputMessage="1" showErrorMessage="1" sqref="E4:G4" xr:uid="{301752A1-0ADA-4E9C-B4BD-34DB642F1C8A}">
      <formula1>"Enero, Febrero, Marzo, Abril, Mayo, Junio, Julio, Agosto, Setiembre, Octubre, Noviembre, Diciembre"</formula1>
    </dataValidation>
  </dataValidations>
  <pageMargins left="0.21" right="0.2" top="0.31" bottom="0.27" header="0.3" footer="0.3"/>
  <pageSetup paperSize="9" scale="46" orientation="landscape" horizontalDpi="4294967293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7282A08-FF04-4A73-88E0-92FFF10AFF10}">
          <x14:formula1>
            <xm:f>'DATOS GRALES 1'!$B$2:$B$36</xm:f>
          </x14:formula1>
          <xm:sqref>C15:C22 C24:C51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E2DF2-98D6-413B-B207-11A1174F5C90}">
  <sheetPr codeName="Hoja9">
    <pageSetUpPr fitToPage="1"/>
  </sheetPr>
  <dimension ref="A1:BO52"/>
  <sheetViews>
    <sheetView zoomScale="80" zoomScaleNormal="80" workbookViewId="0">
      <pane xSplit="4" topLeftCell="E1" activePane="topRight" state="frozen"/>
      <selection activeCell="A5" sqref="A5"/>
      <selection pane="topRight" activeCell="BL15" sqref="BL15"/>
    </sheetView>
  </sheetViews>
  <sheetFormatPr baseColWidth="10" defaultColWidth="10.7109375" defaultRowHeight="15" x14ac:dyDescent="0.25"/>
  <cols>
    <col min="1" max="2" width="1.7109375" customWidth="1"/>
    <col min="3" max="3" width="39.28515625" customWidth="1"/>
    <col min="4" max="4" width="0.85546875" customWidth="1"/>
    <col min="5" max="6" width="10.7109375" customWidth="1"/>
    <col min="7" max="7" width="11.7109375" customWidth="1"/>
    <col min="8" max="39" width="4.85546875" customWidth="1"/>
    <col min="40" max="40" width="0.85546875" customWidth="1"/>
    <col min="41" max="41" width="13.5703125" customWidth="1"/>
    <col min="42" max="42" width="0.85546875" customWidth="1"/>
    <col min="43" max="43" width="13.5703125" customWidth="1"/>
    <col min="44" max="44" width="0.85546875" customWidth="1"/>
    <col min="45" max="45" width="16.140625" customWidth="1"/>
    <col min="46" max="46" width="0.85546875" customWidth="1"/>
    <col min="47" max="47" width="13.28515625" customWidth="1"/>
    <col min="48" max="48" width="1" customWidth="1"/>
    <col min="49" max="49" width="14.28515625" customWidth="1"/>
    <col min="51" max="51" width="12" customWidth="1"/>
    <col min="53" max="53" width="14.28515625" customWidth="1"/>
    <col min="55" max="55" width="12.7109375" customWidth="1"/>
    <col min="56" max="56" width="11.42578125" customWidth="1"/>
    <col min="57" max="57" width="12.7109375" customWidth="1"/>
    <col min="58" max="58" width="11.28515625" customWidth="1"/>
    <col min="59" max="59" width="12.7109375" customWidth="1"/>
    <col min="60" max="60" width="13.85546875" customWidth="1"/>
    <col min="61" max="61" width="15.7109375" customWidth="1"/>
    <col min="62" max="62" width="16.28515625" customWidth="1"/>
    <col min="63" max="63" width="13.28515625" customWidth="1"/>
    <col min="64" max="64" width="17" customWidth="1"/>
    <col min="65" max="65" width="16.28515625" customWidth="1"/>
    <col min="66" max="66" width="21.140625" customWidth="1"/>
    <col min="67" max="67" width="19" customWidth="1"/>
  </cols>
  <sheetData>
    <row r="1" spans="1:67" ht="30" customHeight="1" x14ac:dyDescent="0.25">
      <c r="A1" s="30"/>
      <c r="B1" s="30"/>
      <c r="C1" s="31" t="s">
        <v>84</v>
      </c>
      <c r="D1" s="32"/>
      <c r="E1" s="32"/>
      <c r="F1" s="32"/>
      <c r="G1" s="32"/>
      <c r="H1" s="32"/>
      <c r="I1" s="32"/>
      <c r="J1" s="32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</row>
    <row r="2" spans="1:67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BB2" s="166"/>
      <c r="BC2" s="166"/>
      <c r="BD2" s="166"/>
      <c r="BE2" s="166"/>
      <c r="BF2" s="166"/>
      <c r="BG2" s="166"/>
      <c r="BH2" s="166"/>
      <c r="BI2" s="166"/>
      <c r="BJ2" s="166"/>
      <c r="BK2" s="166"/>
      <c r="BL2" s="166"/>
      <c r="BM2" s="166"/>
      <c r="BN2" s="166"/>
      <c r="BO2" s="166"/>
    </row>
    <row r="3" spans="1:67" ht="4.9000000000000004" customHeight="1" thickBot="1" x14ac:dyDescent="0.3">
      <c r="A3" s="33"/>
      <c r="B3" s="36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8"/>
      <c r="O3" s="33"/>
      <c r="P3" s="36"/>
      <c r="Q3" s="37"/>
      <c r="R3" s="37"/>
      <c r="S3" s="37"/>
      <c r="T3" s="37"/>
      <c r="U3" s="37"/>
      <c r="V3" s="38"/>
      <c r="W3" s="33"/>
      <c r="X3" s="36"/>
      <c r="Y3" s="37"/>
      <c r="Z3" s="37"/>
      <c r="AA3" s="37"/>
      <c r="AB3" s="37"/>
      <c r="AC3" s="37"/>
      <c r="AD3" s="38"/>
      <c r="AE3" s="33"/>
      <c r="AF3" s="34"/>
      <c r="AG3" s="34"/>
      <c r="AH3" s="34"/>
      <c r="AI3" s="34"/>
      <c r="AJ3" s="34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BB3" s="166"/>
      <c r="BC3" s="166"/>
      <c r="BD3" s="166"/>
      <c r="BE3" s="166"/>
      <c r="BF3" s="166"/>
      <c r="BG3" s="166"/>
      <c r="BH3" s="166"/>
      <c r="BI3" s="166"/>
      <c r="BJ3" s="166"/>
      <c r="BK3" s="166"/>
      <c r="BL3" s="166"/>
      <c r="BM3" s="166"/>
      <c r="BN3" s="166"/>
      <c r="BO3" s="166"/>
    </row>
    <row r="4" spans="1:67" ht="15.75" thickBot="1" x14ac:dyDescent="0.3">
      <c r="A4" s="33"/>
      <c r="B4" s="39"/>
      <c r="C4" s="44" t="s">
        <v>48</v>
      </c>
      <c r="D4" s="34"/>
      <c r="E4" s="34"/>
      <c r="F4" s="34"/>
      <c r="G4" s="276" t="s">
        <v>53</v>
      </c>
      <c r="H4" s="277"/>
      <c r="I4" s="278"/>
      <c r="J4" s="116" t="s">
        <v>51</v>
      </c>
      <c r="K4" s="34"/>
      <c r="L4" s="34"/>
      <c r="M4" s="34"/>
      <c r="N4" s="40"/>
      <c r="O4" s="33"/>
      <c r="P4" s="53" t="s">
        <v>54</v>
      </c>
      <c r="Q4" s="50"/>
      <c r="R4" s="50"/>
      <c r="S4" s="51" t="s">
        <v>57</v>
      </c>
      <c r="T4" s="50"/>
      <c r="U4" s="50"/>
      <c r="V4" s="52"/>
      <c r="W4" s="33"/>
      <c r="X4" s="53" t="s">
        <v>60</v>
      </c>
      <c r="Y4" s="34"/>
      <c r="Z4" s="34"/>
      <c r="AA4" s="34"/>
      <c r="AB4" s="34"/>
      <c r="AC4" s="34"/>
      <c r="AD4" s="40"/>
      <c r="AE4" s="33"/>
      <c r="AF4" s="286" t="s">
        <v>61</v>
      </c>
      <c r="AG4" s="286"/>
      <c r="AH4" s="34"/>
      <c r="AI4" s="286" t="s">
        <v>62</v>
      </c>
      <c r="AJ4" s="286"/>
      <c r="AK4" s="33"/>
      <c r="AL4" s="33"/>
      <c r="AM4" s="33"/>
      <c r="AN4" s="33"/>
      <c r="AO4" s="56" t="s">
        <v>65</v>
      </c>
      <c r="AP4" s="33"/>
      <c r="AQ4" s="57" t="s">
        <v>78</v>
      </c>
      <c r="AR4" s="33"/>
      <c r="AS4" s="33"/>
      <c r="AT4" s="33"/>
      <c r="AU4" s="33"/>
      <c r="AV4" s="33"/>
      <c r="BB4" s="166"/>
      <c r="BC4" s="166"/>
      <c r="BD4" s="166"/>
      <c r="BE4" s="166"/>
      <c r="BF4" s="166"/>
      <c r="BG4" s="166"/>
      <c r="BH4" s="166"/>
      <c r="BI4" s="166"/>
      <c r="BJ4" s="166"/>
      <c r="BK4" s="166"/>
      <c r="BL4" s="166"/>
      <c r="BM4" s="166"/>
      <c r="BN4" s="166"/>
      <c r="BO4" s="166"/>
    </row>
    <row r="5" spans="1:67" ht="15.75" thickBot="1" x14ac:dyDescent="0.3">
      <c r="A5" s="33"/>
      <c r="B5" s="39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40"/>
      <c r="O5" s="33"/>
      <c r="P5" s="53" t="s">
        <v>55</v>
      </c>
      <c r="Q5" s="50"/>
      <c r="R5" s="50"/>
      <c r="S5" s="51" t="s">
        <v>58</v>
      </c>
      <c r="T5" s="50"/>
      <c r="U5" s="50"/>
      <c r="V5" s="52"/>
      <c r="W5" s="33"/>
      <c r="X5" s="284" t="str">
        <f>"Desde: "&amp;TEXT(DATE(G6,MONTH(G4&amp;1),1),"mmm-dd-yy")&amp;" Hasta "&amp;TEXT(EOMONTH(DATE(G6,MONTH(G4&amp;1),1),0),"mmm-dd-yy")</f>
        <v>Desde: Set-01-25 Hasta Set-30-25</v>
      </c>
      <c r="Y5" s="285"/>
      <c r="Z5" s="285"/>
      <c r="AA5" s="285"/>
      <c r="AB5" s="285"/>
      <c r="AC5" s="285"/>
      <c r="AD5" s="40"/>
      <c r="AE5" s="33"/>
      <c r="AF5" s="287" t="str">
        <f>G4</f>
        <v>Setiembre</v>
      </c>
      <c r="AG5" s="287"/>
      <c r="AH5" s="287"/>
      <c r="AI5" s="287">
        <f>G6</f>
        <v>2025</v>
      </c>
      <c r="AJ5" s="287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BB5" s="166"/>
      <c r="BC5" s="166"/>
      <c r="BD5" s="166"/>
      <c r="BE5" s="166"/>
      <c r="BF5" s="166"/>
      <c r="BG5" s="166"/>
      <c r="BH5" s="166"/>
      <c r="BI5" s="166"/>
      <c r="BJ5" s="166"/>
      <c r="BK5" s="166"/>
      <c r="BL5" s="166"/>
      <c r="BM5" s="166"/>
      <c r="BN5" s="166"/>
      <c r="BO5" s="166"/>
    </row>
    <row r="6" spans="1:67" ht="15.6" customHeight="1" thickBot="1" x14ac:dyDescent="0.3">
      <c r="A6" s="33"/>
      <c r="B6" s="39"/>
      <c r="C6" s="45" t="s">
        <v>49</v>
      </c>
      <c r="D6" s="34"/>
      <c r="E6" s="34"/>
      <c r="F6" s="34"/>
      <c r="G6" s="276">
        <v>2025</v>
      </c>
      <c r="H6" s="277"/>
      <c r="I6" s="278"/>
      <c r="J6" s="116" t="s">
        <v>50</v>
      </c>
      <c r="K6" s="34"/>
      <c r="L6" s="34"/>
      <c r="M6" s="34"/>
      <c r="N6" s="40"/>
      <c r="O6" s="33"/>
      <c r="P6" s="53" t="s">
        <v>56</v>
      </c>
      <c r="Q6" s="50"/>
      <c r="R6" s="50"/>
      <c r="S6" s="51" t="s">
        <v>59</v>
      </c>
      <c r="T6" s="50"/>
      <c r="U6" s="50"/>
      <c r="V6" s="52"/>
      <c r="W6" s="33"/>
      <c r="X6" s="284"/>
      <c r="Y6" s="285"/>
      <c r="Z6" s="285"/>
      <c r="AA6" s="285"/>
      <c r="AB6" s="285"/>
      <c r="AC6" s="285"/>
      <c r="AD6" s="40"/>
      <c r="AE6" s="33"/>
      <c r="AF6" s="287"/>
      <c r="AG6" s="287"/>
      <c r="AH6" s="287"/>
      <c r="AI6" s="287"/>
      <c r="AJ6" s="287"/>
      <c r="AK6" s="33"/>
      <c r="AL6" s="33"/>
      <c r="AM6" s="33"/>
      <c r="AN6" s="33"/>
      <c r="AO6" s="56" t="s">
        <v>66</v>
      </c>
      <c r="AP6" s="33"/>
      <c r="AQ6" s="57">
        <v>8</v>
      </c>
      <c r="AR6" s="33"/>
      <c r="AS6" s="33"/>
      <c r="AT6" s="33"/>
      <c r="AU6" s="33"/>
      <c r="AV6" s="33"/>
      <c r="BB6" s="166"/>
      <c r="BC6" s="166"/>
      <c r="BD6" s="166"/>
      <c r="BE6" s="166"/>
      <c r="BF6" s="166"/>
      <c r="BG6" s="166"/>
      <c r="BH6" s="166"/>
      <c r="BI6" s="166"/>
      <c r="BJ6" s="166"/>
      <c r="BK6" s="166"/>
      <c r="BL6" s="166"/>
      <c r="BM6" s="166"/>
      <c r="BN6" s="166"/>
      <c r="BO6" s="166"/>
    </row>
    <row r="7" spans="1:67" ht="9.6" customHeight="1" x14ac:dyDescent="0.25">
      <c r="A7" s="33"/>
      <c r="B7" s="41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3"/>
      <c r="O7" s="33"/>
      <c r="P7" s="41"/>
      <c r="Q7" s="42"/>
      <c r="R7" s="42"/>
      <c r="S7" s="42"/>
      <c r="T7" s="42"/>
      <c r="U7" s="42"/>
      <c r="V7" s="43"/>
      <c r="W7" s="33"/>
      <c r="X7" s="41"/>
      <c r="Y7" s="42"/>
      <c r="Z7" s="42"/>
      <c r="AA7" s="42"/>
      <c r="AB7" s="42"/>
      <c r="AC7" s="42"/>
      <c r="AD7" s="43"/>
      <c r="AE7" s="33"/>
      <c r="AF7" s="34"/>
      <c r="AG7" s="34"/>
      <c r="AH7" s="34"/>
      <c r="AI7" s="34"/>
      <c r="AJ7" s="34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BB7" s="166"/>
      <c r="BC7" s="166"/>
      <c r="BD7" s="166"/>
      <c r="BE7" s="166"/>
      <c r="BF7" s="166"/>
      <c r="BG7" s="166"/>
      <c r="BH7" s="166"/>
      <c r="BI7" s="166"/>
      <c r="BJ7" s="166"/>
      <c r="BK7" s="166"/>
      <c r="BL7" s="166"/>
      <c r="BM7" s="166"/>
      <c r="BN7" s="166"/>
      <c r="BO7" s="166"/>
    </row>
    <row r="8" spans="1:67" ht="19.149999999999999" customHeight="1" x14ac:dyDescent="0.25">
      <c r="A8" s="33"/>
      <c r="B8" s="33"/>
      <c r="C8" s="33"/>
      <c r="D8" s="33"/>
      <c r="E8" s="33"/>
      <c r="F8" s="33"/>
      <c r="G8" s="33"/>
      <c r="H8" s="33"/>
      <c r="I8" s="275">
        <v>45915</v>
      </c>
      <c r="J8" s="275">
        <f t="shared" ref="J8:AM8" si="0">I8+1</f>
        <v>45916</v>
      </c>
      <c r="K8" s="275">
        <f t="shared" si="0"/>
        <v>45917</v>
      </c>
      <c r="L8" s="275">
        <f t="shared" si="0"/>
        <v>45918</v>
      </c>
      <c r="M8" s="275">
        <f t="shared" si="0"/>
        <v>45919</v>
      </c>
      <c r="N8" s="275">
        <f t="shared" si="0"/>
        <v>45920</v>
      </c>
      <c r="O8" s="275">
        <f t="shared" si="0"/>
        <v>45921</v>
      </c>
      <c r="P8" s="275">
        <f t="shared" si="0"/>
        <v>45922</v>
      </c>
      <c r="Q8" s="275">
        <f t="shared" si="0"/>
        <v>45923</v>
      </c>
      <c r="R8" s="275">
        <f t="shared" si="0"/>
        <v>45924</v>
      </c>
      <c r="S8" s="275">
        <f t="shared" si="0"/>
        <v>45925</v>
      </c>
      <c r="T8" s="275">
        <f t="shared" si="0"/>
        <v>45926</v>
      </c>
      <c r="U8" s="275">
        <f t="shared" si="0"/>
        <v>45927</v>
      </c>
      <c r="V8" s="275">
        <f t="shared" si="0"/>
        <v>45928</v>
      </c>
      <c r="W8" s="275">
        <f t="shared" si="0"/>
        <v>45929</v>
      </c>
      <c r="X8" s="275">
        <f t="shared" si="0"/>
        <v>45930</v>
      </c>
      <c r="Y8" s="275">
        <f t="shared" si="0"/>
        <v>45931</v>
      </c>
      <c r="Z8" s="275">
        <f t="shared" si="0"/>
        <v>45932</v>
      </c>
      <c r="AA8" s="275">
        <f t="shared" si="0"/>
        <v>45933</v>
      </c>
      <c r="AB8" s="275">
        <f t="shared" si="0"/>
        <v>45934</v>
      </c>
      <c r="AC8" s="275">
        <f t="shared" si="0"/>
        <v>45935</v>
      </c>
      <c r="AD8" s="275">
        <f t="shared" si="0"/>
        <v>45936</v>
      </c>
      <c r="AE8" s="275">
        <f t="shared" si="0"/>
        <v>45937</v>
      </c>
      <c r="AF8" s="275">
        <f t="shared" si="0"/>
        <v>45938</v>
      </c>
      <c r="AG8" s="275">
        <f t="shared" si="0"/>
        <v>45939</v>
      </c>
      <c r="AH8" s="275">
        <f t="shared" si="0"/>
        <v>45940</v>
      </c>
      <c r="AI8" s="275">
        <f t="shared" si="0"/>
        <v>45941</v>
      </c>
      <c r="AJ8" s="275">
        <f t="shared" si="0"/>
        <v>45942</v>
      </c>
      <c r="AK8" s="275">
        <f t="shared" si="0"/>
        <v>45943</v>
      </c>
      <c r="AL8" s="275">
        <f t="shared" si="0"/>
        <v>45944</v>
      </c>
      <c r="AM8" s="275">
        <f t="shared" si="0"/>
        <v>45945</v>
      </c>
      <c r="AN8" s="58"/>
      <c r="AO8" s="33"/>
      <c r="AP8" s="33"/>
      <c r="AQ8" s="33"/>
      <c r="AR8" s="33"/>
      <c r="AS8" s="33"/>
      <c r="AT8" s="33"/>
      <c r="AU8" s="33"/>
      <c r="AV8" s="33"/>
      <c r="BB8" s="166"/>
      <c r="BC8" s="166"/>
      <c r="BD8" s="166"/>
      <c r="BE8" s="166"/>
      <c r="BF8" s="166"/>
      <c r="BG8" s="166"/>
      <c r="BH8" s="166"/>
      <c r="BI8" s="166"/>
      <c r="BJ8" s="166"/>
      <c r="BK8" s="166"/>
      <c r="BL8" s="166"/>
      <c r="BM8" s="166"/>
      <c r="BN8" s="166"/>
      <c r="BO8" s="166"/>
    </row>
    <row r="9" spans="1:67" x14ac:dyDescent="0.25">
      <c r="A9" s="33"/>
      <c r="B9" s="33"/>
      <c r="C9" s="33"/>
      <c r="D9" s="33"/>
      <c r="E9" s="33"/>
      <c r="F9" s="33"/>
      <c r="G9" s="33"/>
      <c r="H9" s="33"/>
      <c r="I9" s="275"/>
      <c r="J9" s="275"/>
      <c r="K9" s="275"/>
      <c r="L9" s="275"/>
      <c r="M9" s="275"/>
      <c r="N9" s="275"/>
      <c r="O9" s="275"/>
      <c r="P9" s="275"/>
      <c r="Q9" s="275"/>
      <c r="R9" s="275"/>
      <c r="S9" s="275"/>
      <c r="T9" s="275"/>
      <c r="U9" s="275"/>
      <c r="V9" s="275"/>
      <c r="W9" s="275"/>
      <c r="X9" s="275"/>
      <c r="Y9" s="275"/>
      <c r="Z9" s="275"/>
      <c r="AA9" s="275"/>
      <c r="AB9" s="275"/>
      <c r="AC9" s="275"/>
      <c r="AD9" s="275"/>
      <c r="AE9" s="275"/>
      <c r="AF9" s="275"/>
      <c r="AG9" s="275"/>
      <c r="AH9" s="275"/>
      <c r="AI9" s="275"/>
      <c r="AJ9" s="275"/>
      <c r="AK9" s="275"/>
      <c r="AL9" s="275"/>
      <c r="AM9" s="275"/>
      <c r="AN9" s="58"/>
      <c r="AO9" s="33"/>
      <c r="AP9" s="33"/>
      <c r="AQ9" s="33"/>
      <c r="AR9" s="33"/>
      <c r="AS9" s="33"/>
      <c r="AT9" s="33"/>
      <c r="AU9" s="33"/>
      <c r="AV9" s="33" t="s">
        <v>68</v>
      </c>
      <c r="AW9" s="134" t="s">
        <v>119</v>
      </c>
      <c r="AX9" s="134" t="s">
        <v>205</v>
      </c>
      <c r="AY9" s="134" t="s">
        <v>207</v>
      </c>
      <c r="AZ9" s="134" t="s">
        <v>209</v>
      </c>
      <c r="BA9" s="134" t="s">
        <v>211</v>
      </c>
      <c r="BB9" s="168" t="s">
        <v>212</v>
      </c>
      <c r="BC9" s="168" t="s">
        <v>214</v>
      </c>
      <c r="BD9" s="168" t="s">
        <v>215</v>
      </c>
      <c r="BE9" s="168" t="s">
        <v>217</v>
      </c>
      <c r="BF9" s="168" t="s">
        <v>218</v>
      </c>
      <c r="BG9" s="168" t="s">
        <v>219</v>
      </c>
      <c r="BH9" s="168" t="s">
        <v>220</v>
      </c>
      <c r="BI9" s="168" t="s">
        <v>224</v>
      </c>
      <c r="BJ9" s="168" t="s">
        <v>225</v>
      </c>
      <c r="BK9" s="168" t="s">
        <v>228</v>
      </c>
      <c r="BL9" s="168" t="s">
        <v>229</v>
      </c>
      <c r="BM9" s="168" t="s">
        <v>232</v>
      </c>
      <c r="BN9" s="168" t="s">
        <v>233</v>
      </c>
      <c r="BO9" s="168" t="s">
        <v>235</v>
      </c>
    </row>
    <row r="10" spans="1:67" x14ac:dyDescent="0.25">
      <c r="A10" s="33"/>
      <c r="B10" s="33"/>
      <c r="C10" s="33"/>
      <c r="D10" s="33"/>
      <c r="E10" s="33"/>
      <c r="F10" s="33"/>
      <c r="G10" s="33"/>
      <c r="H10" s="33"/>
      <c r="I10" s="275"/>
      <c r="J10" s="275"/>
      <c r="K10" s="275"/>
      <c r="L10" s="275"/>
      <c r="M10" s="275"/>
      <c r="N10" s="275"/>
      <c r="O10" s="275"/>
      <c r="P10" s="275"/>
      <c r="Q10" s="275"/>
      <c r="R10" s="275"/>
      <c r="S10" s="275"/>
      <c r="T10" s="275"/>
      <c r="U10" s="275"/>
      <c r="V10" s="275"/>
      <c r="W10" s="275"/>
      <c r="X10" s="275"/>
      <c r="Y10" s="275"/>
      <c r="Z10" s="275"/>
      <c r="AA10" s="275"/>
      <c r="AB10" s="275"/>
      <c r="AC10" s="275"/>
      <c r="AD10" s="275"/>
      <c r="AE10" s="275"/>
      <c r="AF10" s="275"/>
      <c r="AG10" s="275"/>
      <c r="AH10" s="275"/>
      <c r="AI10" s="275"/>
      <c r="AJ10" s="275"/>
      <c r="AK10" s="275"/>
      <c r="AL10" s="275"/>
      <c r="AM10" s="275"/>
      <c r="AN10" s="58"/>
      <c r="AO10" s="33"/>
      <c r="AP10" s="33"/>
      <c r="AQ10" s="33"/>
      <c r="AR10" s="33"/>
      <c r="AS10" s="33"/>
      <c r="AT10" s="33"/>
      <c r="AU10" s="33"/>
      <c r="AV10" s="58">
        <v>45658</v>
      </c>
      <c r="AW10" s="131"/>
      <c r="AX10" s="133"/>
      <c r="AY10" s="133"/>
      <c r="AZ10" s="133"/>
      <c r="BA10" s="133"/>
      <c r="BB10" s="167"/>
      <c r="BC10" s="167"/>
      <c r="BD10" s="167"/>
      <c r="BE10" s="167"/>
      <c r="BF10" s="167"/>
      <c r="BG10" s="167"/>
      <c r="BH10" s="167"/>
      <c r="BI10" s="167"/>
      <c r="BJ10" s="167"/>
      <c r="BK10" s="167"/>
      <c r="BL10" s="167"/>
      <c r="BM10" s="167"/>
      <c r="BN10" s="167"/>
      <c r="BO10" s="167"/>
    </row>
    <row r="11" spans="1:67" x14ac:dyDescent="0.25">
      <c r="A11" s="33"/>
      <c r="B11" s="33"/>
      <c r="C11" s="33"/>
      <c r="D11" s="33"/>
      <c r="E11" s="33"/>
      <c r="F11" s="33"/>
      <c r="G11" s="33"/>
      <c r="H11" s="33"/>
      <c r="I11" s="275"/>
      <c r="J11" s="275"/>
      <c r="K11" s="275"/>
      <c r="L11" s="275"/>
      <c r="M11" s="275"/>
      <c r="N11" s="275"/>
      <c r="O11" s="275"/>
      <c r="P11" s="275"/>
      <c r="Q11" s="275"/>
      <c r="R11" s="275"/>
      <c r="S11" s="275"/>
      <c r="T11" s="275"/>
      <c r="U11" s="275"/>
      <c r="V11" s="275"/>
      <c r="W11" s="275"/>
      <c r="X11" s="275"/>
      <c r="Y11" s="275"/>
      <c r="Z11" s="275"/>
      <c r="AA11" s="275"/>
      <c r="AB11" s="275"/>
      <c r="AC11" s="275"/>
      <c r="AD11" s="275"/>
      <c r="AE11" s="275"/>
      <c r="AF11" s="275"/>
      <c r="AG11" s="275"/>
      <c r="AH11" s="275"/>
      <c r="AI11" s="275"/>
      <c r="AJ11" s="275"/>
      <c r="AK11" s="275"/>
      <c r="AL11" s="275"/>
      <c r="AM11" s="275"/>
      <c r="AN11" s="58"/>
      <c r="AO11" s="33"/>
      <c r="AP11" s="33"/>
      <c r="AQ11" s="33"/>
      <c r="AR11" s="33"/>
      <c r="AS11" s="33"/>
      <c r="AT11" s="33"/>
      <c r="AU11" s="33"/>
      <c r="AV11" s="58">
        <v>45866</v>
      </c>
      <c r="AW11" s="131"/>
      <c r="AX11" s="133"/>
      <c r="AY11" s="133"/>
      <c r="AZ11" s="133"/>
      <c r="BA11" s="133"/>
      <c r="BB11" s="167"/>
      <c r="BC11" s="167"/>
      <c r="BD11" s="167"/>
      <c r="BE11" s="167"/>
      <c r="BF11" s="167"/>
      <c r="BG11" s="167"/>
      <c r="BH11" s="167"/>
      <c r="BI11" s="167"/>
      <c r="BJ11" s="167"/>
      <c r="BK11" s="167"/>
      <c r="BL11" s="167"/>
      <c r="BM11" s="167"/>
      <c r="BN11" s="167"/>
      <c r="BO11" s="167"/>
    </row>
    <row r="12" spans="1:67" ht="6" customHeight="1" thickBot="1" x14ac:dyDescent="0.3">
      <c r="A12" s="33"/>
      <c r="B12" s="33"/>
      <c r="C12" s="33"/>
      <c r="D12" s="33"/>
      <c r="E12" s="33"/>
      <c r="F12" s="33"/>
      <c r="G12" s="33"/>
      <c r="H12" s="33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33"/>
      <c r="AO12" s="33"/>
      <c r="AP12" s="33"/>
      <c r="AQ12" s="33"/>
      <c r="AR12" s="33"/>
      <c r="AS12" s="33"/>
      <c r="AT12" s="33"/>
      <c r="AU12" s="33"/>
      <c r="AV12" s="58">
        <v>45867</v>
      </c>
      <c r="AW12" s="131"/>
      <c r="AX12" s="133"/>
      <c r="AY12" s="133"/>
      <c r="AZ12" s="133"/>
      <c r="BA12" s="133"/>
      <c r="BB12" s="133"/>
      <c r="BC12" s="133"/>
      <c r="BD12" s="133"/>
      <c r="BE12" s="133"/>
      <c r="BF12" s="133"/>
      <c r="BG12" s="133"/>
      <c r="BH12" s="133"/>
      <c r="BI12" s="133"/>
      <c r="BJ12" s="133"/>
      <c r="BK12" s="133"/>
      <c r="BL12" s="133"/>
      <c r="BM12" s="133"/>
      <c r="BN12" s="133"/>
      <c r="BO12" s="133"/>
    </row>
    <row r="13" spans="1:67" ht="33" customHeight="1" thickBot="1" x14ac:dyDescent="0.3">
      <c r="A13" s="33"/>
      <c r="B13" s="33"/>
      <c r="C13" s="33" t="s">
        <v>47</v>
      </c>
      <c r="D13" s="33"/>
      <c r="E13" s="62" t="s">
        <v>200</v>
      </c>
      <c r="F13" s="77" t="s">
        <v>201</v>
      </c>
      <c r="G13" s="281" t="s">
        <v>52</v>
      </c>
      <c r="H13" s="281"/>
      <c r="I13" s="46" t="str">
        <f t="shared" ref="I13:AM13" si="1">PROPER(LEFT(TEXT(I8,"dddd"),3))</f>
        <v>Lun</v>
      </c>
      <c r="J13" s="46" t="str">
        <f t="shared" si="1"/>
        <v>Mar</v>
      </c>
      <c r="K13" s="46" t="str">
        <f t="shared" si="1"/>
        <v>Mié</v>
      </c>
      <c r="L13" s="46" t="str">
        <f t="shared" si="1"/>
        <v>Jue</v>
      </c>
      <c r="M13" s="46" t="str">
        <f t="shared" si="1"/>
        <v>Vie</v>
      </c>
      <c r="N13" s="46" t="str">
        <f t="shared" si="1"/>
        <v>Sáb</v>
      </c>
      <c r="O13" s="46" t="str">
        <f t="shared" si="1"/>
        <v>Dom</v>
      </c>
      <c r="P13" s="46" t="str">
        <f t="shared" si="1"/>
        <v>Lun</v>
      </c>
      <c r="Q13" s="46" t="str">
        <f t="shared" si="1"/>
        <v>Mar</v>
      </c>
      <c r="R13" s="46" t="str">
        <f t="shared" si="1"/>
        <v>Mié</v>
      </c>
      <c r="S13" s="46" t="str">
        <f t="shared" si="1"/>
        <v>Jue</v>
      </c>
      <c r="T13" s="46" t="str">
        <f t="shared" si="1"/>
        <v>Vie</v>
      </c>
      <c r="U13" s="46" t="str">
        <f t="shared" si="1"/>
        <v>Sáb</v>
      </c>
      <c r="V13" s="46" t="str">
        <f t="shared" si="1"/>
        <v>Dom</v>
      </c>
      <c r="W13" s="46" t="str">
        <f t="shared" si="1"/>
        <v>Lun</v>
      </c>
      <c r="X13" s="46" t="str">
        <f t="shared" si="1"/>
        <v>Mar</v>
      </c>
      <c r="Y13" s="46" t="str">
        <f t="shared" si="1"/>
        <v>Mié</v>
      </c>
      <c r="Z13" s="46" t="str">
        <f t="shared" si="1"/>
        <v>Jue</v>
      </c>
      <c r="AA13" s="46" t="str">
        <f t="shared" si="1"/>
        <v>Vie</v>
      </c>
      <c r="AB13" s="46" t="str">
        <f t="shared" si="1"/>
        <v>Sáb</v>
      </c>
      <c r="AC13" s="46" t="str">
        <f t="shared" si="1"/>
        <v>Dom</v>
      </c>
      <c r="AD13" s="46" t="str">
        <f t="shared" si="1"/>
        <v>Lun</v>
      </c>
      <c r="AE13" s="46" t="str">
        <f t="shared" si="1"/>
        <v>Mar</v>
      </c>
      <c r="AF13" s="46" t="str">
        <f t="shared" si="1"/>
        <v>Mié</v>
      </c>
      <c r="AG13" s="46" t="str">
        <f t="shared" si="1"/>
        <v>Jue</v>
      </c>
      <c r="AH13" s="46" t="str">
        <f t="shared" si="1"/>
        <v>Vie</v>
      </c>
      <c r="AI13" s="46" t="str">
        <f t="shared" si="1"/>
        <v>Sáb</v>
      </c>
      <c r="AJ13" s="46" t="str">
        <f t="shared" si="1"/>
        <v>Dom</v>
      </c>
      <c r="AK13" s="46" t="str">
        <f t="shared" si="1"/>
        <v>Lun</v>
      </c>
      <c r="AL13" s="46" t="str">
        <f t="shared" si="1"/>
        <v>Mar</v>
      </c>
      <c r="AM13" s="46" t="str">
        <f t="shared" si="1"/>
        <v>Mié</v>
      </c>
      <c r="AN13" s="33"/>
      <c r="AO13" s="83" t="s">
        <v>80</v>
      </c>
      <c r="AP13" s="77"/>
      <c r="AQ13" s="84" t="s">
        <v>81</v>
      </c>
      <c r="AR13" s="78"/>
      <c r="AS13" s="120" t="s">
        <v>82</v>
      </c>
      <c r="AT13" s="79"/>
      <c r="AU13" s="86" t="s">
        <v>7</v>
      </c>
      <c r="AV13" s="58">
        <v>45962</v>
      </c>
      <c r="AW13" s="139" t="s">
        <v>203</v>
      </c>
      <c r="AX13" s="140" t="s">
        <v>204</v>
      </c>
      <c r="AY13" s="141" t="s">
        <v>206</v>
      </c>
      <c r="AZ13" s="142" t="s">
        <v>208</v>
      </c>
      <c r="BA13" s="142" t="s">
        <v>210</v>
      </c>
      <c r="BB13" s="142" t="s">
        <v>208</v>
      </c>
      <c r="BC13" s="142" t="s">
        <v>213</v>
      </c>
      <c r="BD13" s="142" t="s">
        <v>208</v>
      </c>
      <c r="BE13" s="142" t="s">
        <v>216</v>
      </c>
      <c r="BF13" s="142" t="s">
        <v>208</v>
      </c>
      <c r="BG13" s="144" t="s">
        <v>221</v>
      </c>
      <c r="BH13" s="143" t="s">
        <v>222</v>
      </c>
      <c r="BI13" s="147" t="s">
        <v>223</v>
      </c>
      <c r="BJ13" s="143" t="s">
        <v>226</v>
      </c>
      <c r="BK13" s="143" t="s">
        <v>227</v>
      </c>
      <c r="BL13" s="153" t="s">
        <v>230</v>
      </c>
      <c r="BM13" s="143" t="s">
        <v>231</v>
      </c>
      <c r="BN13" s="147" t="s">
        <v>236</v>
      </c>
      <c r="BO13" s="143" t="s">
        <v>234</v>
      </c>
    </row>
    <row r="14" spans="1:67" ht="6" customHeight="1" thickBot="1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58">
        <v>46016</v>
      </c>
      <c r="AW14" s="131"/>
      <c r="AX14" s="133"/>
      <c r="AY14" s="133"/>
      <c r="AZ14" s="133"/>
      <c r="BA14" s="133"/>
      <c r="BB14" s="133"/>
      <c r="BC14" s="133"/>
      <c r="BD14" s="133"/>
      <c r="BE14" s="133"/>
      <c r="BF14" s="133"/>
      <c r="BG14" s="133"/>
      <c r="BH14" s="150"/>
      <c r="BI14" s="133"/>
      <c r="BJ14" s="133"/>
      <c r="BK14" s="133"/>
      <c r="BL14" s="133"/>
      <c r="BM14" s="150"/>
      <c r="BN14" s="133"/>
      <c r="BO14" s="133"/>
    </row>
    <row r="15" spans="1:67" ht="27.6" customHeight="1" x14ac:dyDescent="0.25">
      <c r="A15" s="33"/>
      <c r="B15" s="33"/>
      <c r="C15" s="63" t="s">
        <v>18</v>
      </c>
      <c r="D15" s="33"/>
      <c r="E15" s="160">
        <v>3300</v>
      </c>
      <c r="F15" s="163">
        <f>E15/30</f>
        <v>110</v>
      </c>
      <c r="G15" s="301" t="str">
        <f>IFERROR(VLOOKUP(C15,'DATOS GRALES 1'!$B$2:$E$50,4,0),"")</f>
        <v>PEON</v>
      </c>
      <c r="H15" s="302"/>
      <c r="I15" s="69"/>
      <c r="J15" s="70"/>
      <c r="K15" s="70"/>
      <c r="L15" s="70"/>
      <c r="M15" s="70"/>
      <c r="N15" s="70"/>
      <c r="O15" s="70"/>
      <c r="P15" s="70" t="s">
        <v>67</v>
      </c>
      <c r="Q15" s="70" t="s">
        <v>67</v>
      </c>
      <c r="R15" s="70" t="s">
        <v>67</v>
      </c>
      <c r="S15" s="70" t="s">
        <v>67</v>
      </c>
      <c r="T15" s="70" t="s">
        <v>67</v>
      </c>
      <c r="U15" s="70" t="s">
        <v>67</v>
      </c>
      <c r="V15" s="70" t="s">
        <v>67</v>
      </c>
      <c r="W15" s="70" t="s">
        <v>67</v>
      </c>
      <c r="X15" s="70" t="s">
        <v>67</v>
      </c>
      <c r="Y15" s="70" t="s">
        <v>67</v>
      </c>
      <c r="Z15" s="70" t="s">
        <v>67</v>
      </c>
      <c r="AA15" s="70" t="s">
        <v>67</v>
      </c>
      <c r="AB15" s="70" t="s">
        <v>67</v>
      </c>
      <c r="AC15" s="70" t="s">
        <v>67</v>
      </c>
      <c r="AD15" s="70" t="s">
        <v>67</v>
      </c>
      <c r="AE15" s="70" t="s">
        <v>67</v>
      </c>
      <c r="AF15" s="70" t="s">
        <v>67</v>
      </c>
      <c r="AG15" s="70" t="s">
        <v>67</v>
      </c>
      <c r="AH15" s="70" t="s">
        <v>67</v>
      </c>
      <c r="AI15" s="70" t="s">
        <v>67</v>
      </c>
      <c r="AJ15" s="70" t="s">
        <v>67</v>
      </c>
      <c r="AK15" s="70" t="s">
        <v>78</v>
      </c>
      <c r="AL15" s="70"/>
      <c r="AM15" s="71"/>
      <c r="AN15" s="33"/>
      <c r="AO15" s="80">
        <f>COUNTIF(I15:AM15,"SI")</f>
        <v>21</v>
      </c>
      <c r="AP15" s="62"/>
      <c r="AQ15" s="80">
        <f t="shared" ref="AQ15:AQ23" si="2">IF(COUNTIF(I15:AM15,"NO")=0,"",COUNTIF(I15:AM15,"NO"))</f>
        <v>1</v>
      </c>
      <c r="AR15" s="33"/>
      <c r="AS15" s="80">
        <f>COUNTIF(I15:AM15,"MED")</f>
        <v>0</v>
      </c>
      <c r="AT15" s="62"/>
      <c r="AU15" s="80">
        <f t="shared" ref="AU15:AU23" si="3">IF(SUM(AO15:AS15)=0,"",SUM(AO15:AS15))</f>
        <v>22</v>
      </c>
      <c r="AV15" s="58">
        <v>46022</v>
      </c>
      <c r="AW15" s="135">
        <f>(F15/2*AS15)+(AO15*F15)</f>
        <v>2310</v>
      </c>
      <c r="AX15" s="169">
        <v>8</v>
      </c>
      <c r="AY15" s="136">
        <f>F15/8*tFestivos46[[#This Row],[Columna2]]</f>
        <v>110</v>
      </c>
      <c r="AZ15" s="171">
        <v>45910</v>
      </c>
      <c r="BA15" s="136">
        <v>520</v>
      </c>
      <c r="BB15" s="171">
        <v>45911</v>
      </c>
      <c r="BC15" s="136">
        <v>350</v>
      </c>
      <c r="BD15" s="169"/>
      <c r="BE15" s="136">
        <v>250</v>
      </c>
      <c r="BF15" s="169"/>
      <c r="BG15" s="145">
        <v>150</v>
      </c>
      <c r="BH15" s="151">
        <f>tFestivos46[[#This Row],[Columna5]]+tFestivos46[[#This Row],[Columna7]]+tFestivos46[[#This Row],[Columna9]]+tFestivos46[[#This Row],[Columna11]]</f>
        <v>1270</v>
      </c>
      <c r="BI15" s="148">
        <f>(E15*13%)/2</f>
        <v>214.5</v>
      </c>
      <c r="BJ15" s="136">
        <f>(E15*2%)/2</f>
        <v>33</v>
      </c>
      <c r="BK15" s="136">
        <f>(E15*13%)/2</f>
        <v>214.5</v>
      </c>
      <c r="BL15" s="145">
        <f>(E15*2%)/2</f>
        <v>33</v>
      </c>
      <c r="BM15" s="154">
        <f>tFestivos46[[#This Row],[Columna13]]+tFestivos46[[#This Row],[Columna14]]+tFestivos46[[#This Row],[Columna15]]+tFestivos46[[#This Row],[Columna16]]</f>
        <v>495</v>
      </c>
      <c r="BN15" s="156">
        <f>tFestivos46[[#This Row],[Columna12]]+tFestivos46[[#This Row],[Columna17]]</f>
        <v>1765</v>
      </c>
      <c r="BO15" s="158">
        <f>tFestivos46[[#This Row],[Columna1]]-tFestivos46[[#This Row],[Columna18]]</f>
        <v>545</v>
      </c>
    </row>
    <row r="16" spans="1:67" ht="27.6" customHeight="1" thickBot="1" x14ac:dyDescent="0.3">
      <c r="A16" s="33"/>
      <c r="B16" s="33"/>
      <c r="C16" s="64" t="s">
        <v>16</v>
      </c>
      <c r="D16" s="33"/>
      <c r="E16" s="161">
        <v>3300</v>
      </c>
      <c r="F16" s="164">
        <f t="shared" ref="F16:F51" si="4">E16/30</f>
        <v>110</v>
      </c>
      <c r="G16" s="299" t="str">
        <f>IFERROR(VLOOKUP(C16,'DATOS GRALES 1'!$B$2:$E$50,4,0),"")</f>
        <v>PEON</v>
      </c>
      <c r="H16" s="300"/>
      <c r="I16" s="72"/>
      <c r="J16" s="61"/>
      <c r="K16" s="61"/>
      <c r="L16" s="61"/>
      <c r="M16" s="61"/>
      <c r="N16" s="61"/>
      <c r="O16" s="61"/>
      <c r="P16" s="61" t="s">
        <v>67</v>
      </c>
      <c r="Q16" s="61" t="s">
        <v>67</v>
      </c>
      <c r="R16" s="61" t="s">
        <v>67</v>
      </c>
      <c r="S16" s="61" t="s">
        <v>67</v>
      </c>
      <c r="T16" s="61" t="s">
        <v>67</v>
      </c>
      <c r="U16" s="61" t="s">
        <v>67</v>
      </c>
      <c r="V16" s="61" t="s">
        <v>67</v>
      </c>
      <c r="W16" s="61" t="s">
        <v>67</v>
      </c>
      <c r="X16" s="61" t="s">
        <v>67</v>
      </c>
      <c r="Y16" s="61" t="s">
        <v>67</v>
      </c>
      <c r="Z16" s="61" t="s">
        <v>67</v>
      </c>
      <c r="AA16" s="61" t="s">
        <v>67</v>
      </c>
      <c r="AB16" s="61" t="s">
        <v>67</v>
      </c>
      <c r="AC16" s="61" t="s">
        <v>67</v>
      </c>
      <c r="AD16" s="61" t="s">
        <v>67</v>
      </c>
      <c r="AE16" s="61" t="s">
        <v>67</v>
      </c>
      <c r="AF16" s="61" t="s">
        <v>67</v>
      </c>
      <c r="AG16" s="61" t="s">
        <v>67</v>
      </c>
      <c r="AH16" s="61" t="s">
        <v>67</v>
      </c>
      <c r="AI16" s="61" t="s">
        <v>67</v>
      </c>
      <c r="AJ16" s="61" t="s">
        <v>67</v>
      </c>
      <c r="AK16" s="61" t="s">
        <v>78</v>
      </c>
      <c r="AL16" s="61"/>
      <c r="AM16" s="73"/>
      <c r="AN16" s="33"/>
      <c r="AO16" s="81">
        <f>COUNTIF(I16:AM16,"SI")</f>
        <v>21</v>
      </c>
      <c r="AP16" s="62"/>
      <c r="AQ16" s="81">
        <f t="shared" si="2"/>
        <v>1</v>
      </c>
      <c r="AR16" s="33"/>
      <c r="AS16" s="81">
        <f>COUNTIF(I16:AM16,"MED")</f>
        <v>0</v>
      </c>
      <c r="AT16" s="62"/>
      <c r="AU16" s="81">
        <f t="shared" si="3"/>
        <v>22</v>
      </c>
      <c r="AV16" s="58"/>
      <c r="AW16" s="137">
        <f t="shared" ref="AW16:AW51" si="5">(F16/2*AS16)+(AO16*F16)</f>
        <v>2310</v>
      </c>
      <c r="AX16" s="170">
        <v>7</v>
      </c>
      <c r="AY16" s="138">
        <f>F16/8*tFestivos46[[#This Row],[Columna2]]</f>
        <v>96.25</v>
      </c>
      <c r="AZ16" s="170"/>
      <c r="BA16" s="138"/>
      <c r="BB16" s="170"/>
      <c r="BC16" s="138"/>
      <c r="BD16" s="170"/>
      <c r="BE16" s="138"/>
      <c r="BF16" s="170"/>
      <c r="BG16" s="146"/>
      <c r="BH16" s="152">
        <f>tFestivos46[[#This Row],[Columna5]]+tFestivos46[[#This Row],[Columna7]]+tFestivos46[[#This Row],[Columna9]]+tFestivos46[[#This Row],[Columna11]]</f>
        <v>0</v>
      </c>
      <c r="BI16" s="149">
        <f t="shared" ref="BI16:BI51" si="6">(E16*13%)/2</f>
        <v>214.5</v>
      </c>
      <c r="BJ16" s="138">
        <f t="shared" ref="BJ16:BJ51" si="7">(E16*2%)/2</f>
        <v>33</v>
      </c>
      <c r="BK16" s="138">
        <f t="shared" ref="BK16:BK51" si="8">(E16*13%)/2</f>
        <v>214.5</v>
      </c>
      <c r="BL16" s="146">
        <f t="shared" ref="BL16:BL51" si="9">(E16*2%)/2</f>
        <v>33</v>
      </c>
      <c r="BM16" s="155">
        <f>tFestivos46[[#This Row],[Columna13]]+tFestivos46[[#This Row],[Columna14]]+tFestivos46[[#This Row],[Columna15]]+tFestivos46[[#This Row],[Columna16]]</f>
        <v>495</v>
      </c>
      <c r="BN16" s="157">
        <f>tFestivos46[[#This Row],[Columna12]]+tFestivos46[[#This Row],[Columna17]]</f>
        <v>495</v>
      </c>
      <c r="BO16" s="159">
        <f>tFestivos46[[#This Row],[Columna1]]-tFestivos46[[#This Row],[Columna18]]</f>
        <v>1815</v>
      </c>
    </row>
    <row r="17" spans="1:67" ht="27.6" customHeight="1" x14ac:dyDescent="0.25">
      <c r="A17" s="33"/>
      <c r="B17" s="33"/>
      <c r="C17" s="64" t="s">
        <v>17</v>
      </c>
      <c r="D17" s="33"/>
      <c r="E17" s="161">
        <v>3300</v>
      </c>
      <c r="F17" s="164">
        <f t="shared" si="4"/>
        <v>110</v>
      </c>
      <c r="G17" s="299" t="str">
        <f>IFERROR(VLOOKUP(C17,'DATOS GRALES 1'!$B$2:$E$50,4,0),"")</f>
        <v>PEON</v>
      </c>
      <c r="H17" s="300"/>
      <c r="I17" s="72"/>
      <c r="J17" s="61"/>
      <c r="K17" s="61"/>
      <c r="L17" s="61"/>
      <c r="M17" s="61"/>
      <c r="N17" s="61"/>
      <c r="O17" s="61"/>
      <c r="P17" s="61" t="s">
        <v>67</v>
      </c>
      <c r="Q17" s="70" t="s">
        <v>67</v>
      </c>
      <c r="R17" s="61" t="s">
        <v>67</v>
      </c>
      <c r="S17" s="61" t="s">
        <v>67</v>
      </c>
      <c r="T17" s="61" t="s">
        <v>67</v>
      </c>
      <c r="U17" s="61" t="s">
        <v>67</v>
      </c>
      <c r="V17" s="61" t="s">
        <v>67</v>
      </c>
      <c r="W17" s="61" t="s">
        <v>67</v>
      </c>
      <c r="X17" s="61" t="s">
        <v>67</v>
      </c>
      <c r="Y17" s="61" t="s">
        <v>67</v>
      </c>
      <c r="Z17" s="61" t="s">
        <v>67</v>
      </c>
      <c r="AA17" s="61" t="s">
        <v>67</v>
      </c>
      <c r="AB17" s="61" t="s">
        <v>67</v>
      </c>
      <c r="AC17" s="61" t="s">
        <v>67</v>
      </c>
      <c r="AD17" s="61" t="s">
        <v>67</v>
      </c>
      <c r="AE17" s="61" t="s">
        <v>67</v>
      </c>
      <c r="AF17" s="61" t="s">
        <v>67</v>
      </c>
      <c r="AG17" s="61" t="s">
        <v>67</v>
      </c>
      <c r="AH17" s="61" t="s">
        <v>67</v>
      </c>
      <c r="AI17" s="61" t="s">
        <v>67</v>
      </c>
      <c r="AJ17" s="61" t="s">
        <v>67</v>
      </c>
      <c r="AK17" s="61" t="s">
        <v>78</v>
      </c>
      <c r="AL17" s="61"/>
      <c r="AM17" s="73"/>
      <c r="AN17" s="33"/>
      <c r="AO17" s="81">
        <f t="shared" ref="AO17:AO51" si="10">COUNTIF(I17:AM17,"SI")</f>
        <v>21</v>
      </c>
      <c r="AP17" s="62"/>
      <c r="AQ17" s="81">
        <f t="shared" si="2"/>
        <v>1</v>
      </c>
      <c r="AR17" s="33"/>
      <c r="AS17" s="81">
        <f t="shared" ref="AS17:AS51" si="11">COUNTIF(I17:AM17,"MED")</f>
        <v>0</v>
      </c>
      <c r="AT17" s="62"/>
      <c r="AU17" s="81">
        <f t="shared" si="3"/>
        <v>22</v>
      </c>
      <c r="AV17" s="58"/>
      <c r="AW17" s="137">
        <f t="shared" si="5"/>
        <v>2310</v>
      </c>
      <c r="AX17" s="170"/>
      <c r="AY17" s="138">
        <f>F17/8*tFestivos46[[#This Row],[Columna2]]</f>
        <v>0</v>
      </c>
      <c r="AZ17" s="170"/>
      <c r="BA17" s="138"/>
      <c r="BB17" s="170"/>
      <c r="BC17" s="138"/>
      <c r="BD17" s="170"/>
      <c r="BE17" s="138"/>
      <c r="BF17" s="170"/>
      <c r="BG17" s="146"/>
      <c r="BH17" s="152">
        <f>tFestivos46[[#This Row],[Columna5]]+tFestivos46[[#This Row],[Columna7]]+tFestivos46[[#This Row],[Columna9]]+tFestivos46[[#This Row],[Columna11]]</f>
        <v>0</v>
      </c>
      <c r="BI17" s="149">
        <f t="shared" si="6"/>
        <v>214.5</v>
      </c>
      <c r="BJ17" s="138">
        <f t="shared" si="7"/>
        <v>33</v>
      </c>
      <c r="BK17" s="138">
        <f t="shared" si="8"/>
        <v>214.5</v>
      </c>
      <c r="BL17" s="146">
        <f t="shared" si="9"/>
        <v>33</v>
      </c>
      <c r="BM17" s="155">
        <f>tFestivos46[[#This Row],[Columna13]]+tFestivos46[[#This Row],[Columna14]]+tFestivos46[[#This Row],[Columna15]]+tFestivos46[[#This Row],[Columna16]]</f>
        <v>495</v>
      </c>
      <c r="BN17" s="157">
        <f>tFestivos46[[#This Row],[Columna12]]+tFestivos46[[#This Row],[Columna17]]</f>
        <v>495</v>
      </c>
      <c r="BO17" s="159">
        <f>tFestivos46[[#This Row],[Columna1]]-tFestivos46[[#This Row],[Columna18]]</f>
        <v>1815</v>
      </c>
    </row>
    <row r="18" spans="1:67" ht="27.6" customHeight="1" thickBot="1" x14ac:dyDescent="0.3">
      <c r="A18" s="33"/>
      <c r="B18" s="33"/>
      <c r="C18" s="64" t="s">
        <v>22</v>
      </c>
      <c r="D18" s="33"/>
      <c r="E18" s="161">
        <v>3300</v>
      </c>
      <c r="F18" s="164">
        <f t="shared" si="4"/>
        <v>110</v>
      </c>
      <c r="G18" s="299" t="str">
        <f>IFERROR(VLOOKUP(C18,'DATOS GRALES 1'!$B$2:$E$50,4,0),"")</f>
        <v>PEON</v>
      </c>
      <c r="H18" s="300"/>
      <c r="I18" s="72"/>
      <c r="J18" s="61"/>
      <c r="K18" s="61"/>
      <c r="L18" s="61"/>
      <c r="M18" s="61"/>
      <c r="N18" s="61"/>
      <c r="O18" s="61"/>
      <c r="P18" s="61" t="s">
        <v>67</v>
      </c>
      <c r="Q18" s="61" t="s">
        <v>67</v>
      </c>
      <c r="R18" s="61" t="s">
        <v>67</v>
      </c>
      <c r="S18" s="61" t="s">
        <v>67</v>
      </c>
      <c r="T18" s="61" t="s">
        <v>67</v>
      </c>
      <c r="U18" s="61" t="s">
        <v>67</v>
      </c>
      <c r="V18" s="61" t="s">
        <v>67</v>
      </c>
      <c r="W18" s="61" t="s">
        <v>67</v>
      </c>
      <c r="X18" s="61" t="s">
        <v>67</v>
      </c>
      <c r="Y18" s="61" t="s">
        <v>67</v>
      </c>
      <c r="Z18" s="61" t="s">
        <v>67</v>
      </c>
      <c r="AA18" s="61" t="s">
        <v>67</v>
      </c>
      <c r="AB18" s="61" t="s">
        <v>67</v>
      </c>
      <c r="AC18" s="61" t="s">
        <v>67</v>
      </c>
      <c r="AD18" s="61" t="s">
        <v>67</v>
      </c>
      <c r="AE18" s="61" t="s">
        <v>67</v>
      </c>
      <c r="AF18" s="61" t="s">
        <v>67</v>
      </c>
      <c r="AG18" s="61" t="s">
        <v>67</v>
      </c>
      <c r="AH18" s="61" t="s">
        <v>67</v>
      </c>
      <c r="AI18" s="61" t="s">
        <v>67</v>
      </c>
      <c r="AJ18" s="61" t="s">
        <v>67</v>
      </c>
      <c r="AK18" s="61" t="s">
        <v>78</v>
      </c>
      <c r="AL18" s="61"/>
      <c r="AM18" s="73"/>
      <c r="AN18" s="33"/>
      <c r="AO18" s="81">
        <f t="shared" si="10"/>
        <v>21</v>
      </c>
      <c r="AP18" s="62"/>
      <c r="AQ18" s="81">
        <f t="shared" si="2"/>
        <v>1</v>
      </c>
      <c r="AR18" s="33"/>
      <c r="AS18" s="81">
        <f t="shared" si="11"/>
        <v>0</v>
      </c>
      <c r="AT18" s="62"/>
      <c r="AU18" s="81">
        <f t="shared" si="3"/>
        <v>22</v>
      </c>
      <c r="AV18" s="58"/>
      <c r="AW18" s="137">
        <f t="shared" si="5"/>
        <v>2310</v>
      </c>
      <c r="AX18" s="170"/>
      <c r="AY18" s="138">
        <f>F18/8*tFestivos46[[#This Row],[Columna2]]</f>
        <v>0</v>
      </c>
      <c r="AZ18" s="170"/>
      <c r="BA18" s="138"/>
      <c r="BB18" s="170"/>
      <c r="BC18" s="138"/>
      <c r="BD18" s="170"/>
      <c r="BE18" s="138"/>
      <c r="BF18" s="170"/>
      <c r="BG18" s="146"/>
      <c r="BH18" s="152">
        <f>tFestivos46[[#This Row],[Columna5]]+tFestivos46[[#This Row],[Columna7]]+tFestivos46[[#This Row],[Columna9]]+tFestivos46[[#This Row],[Columna11]]</f>
        <v>0</v>
      </c>
      <c r="BI18" s="149">
        <f t="shared" si="6"/>
        <v>214.5</v>
      </c>
      <c r="BJ18" s="138">
        <f t="shared" si="7"/>
        <v>33</v>
      </c>
      <c r="BK18" s="138">
        <f t="shared" si="8"/>
        <v>214.5</v>
      </c>
      <c r="BL18" s="146">
        <f t="shared" si="9"/>
        <v>33</v>
      </c>
      <c r="BM18" s="155">
        <f>tFestivos46[[#This Row],[Columna13]]+tFestivos46[[#This Row],[Columna14]]+tFestivos46[[#This Row],[Columna15]]+tFestivos46[[#This Row],[Columna16]]</f>
        <v>495</v>
      </c>
      <c r="BN18" s="157">
        <f>tFestivos46[[#This Row],[Columna12]]+tFestivos46[[#This Row],[Columna17]]</f>
        <v>495</v>
      </c>
      <c r="BO18" s="159">
        <f>tFestivos46[[#This Row],[Columna1]]-tFestivos46[[#This Row],[Columna18]]</f>
        <v>1815</v>
      </c>
    </row>
    <row r="19" spans="1:67" ht="27.6" customHeight="1" x14ac:dyDescent="0.25">
      <c r="A19" s="33"/>
      <c r="B19" s="33"/>
      <c r="C19" s="64" t="s">
        <v>21</v>
      </c>
      <c r="D19" s="33"/>
      <c r="E19" s="161">
        <v>4200</v>
      </c>
      <c r="F19" s="164">
        <f t="shared" si="4"/>
        <v>140</v>
      </c>
      <c r="G19" s="299" t="str">
        <f>IFERROR(VLOOKUP(C19,'DATOS GRALES 1'!$B$2:$E$50,4,0),"")</f>
        <v>OPERARIO</v>
      </c>
      <c r="H19" s="300"/>
      <c r="I19" s="72"/>
      <c r="J19" s="61"/>
      <c r="K19" s="61"/>
      <c r="L19" s="61"/>
      <c r="M19" s="61"/>
      <c r="N19" s="61"/>
      <c r="O19" s="61"/>
      <c r="P19" s="61" t="s">
        <v>67</v>
      </c>
      <c r="Q19" s="70" t="s">
        <v>67</v>
      </c>
      <c r="R19" s="61" t="s">
        <v>67</v>
      </c>
      <c r="S19" s="61" t="s">
        <v>67</v>
      </c>
      <c r="T19" s="61" t="s">
        <v>67</v>
      </c>
      <c r="U19" s="61" t="s">
        <v>67</v>
      </c>
      <c r="V19" s="61" t="s">
        <v>67</v>
      </c>
      <c r="W19" s="61" t="s">
        <v>78</v>
      </c>
      <c r="X19" s="61" t="s">
        <v>67</v>
      </c>
      <c r="Y19" s="61" t="s">
        <v>67</v>
      </c>
      <c r="Z19" s="61" t="s">
        <v>67</v>
      </c>
      <c r="AA19" s="61" t="s">
        <v>67</v>
      </c>
      <c r="AB19" s="61" t="s">
        <v>67</v>
      </c>
      <c r="AC19" s="61" t="s">
        <v>78</v>
      </c>
      <c r="AD19" s="61" t="s">
        <v>67</v>
      </c>
      <c r="AE19" s="61" t="s">
        <v>67</v>
      </c>
      <c r="AF19" s="61" t="s">
        <v>67</v>
      </c>
      <c r="AG19" s="61" t="s">
        <v>67</v>
      </c>
      <c r="AH19" s="61" t="s">
        <v>67</v>
      </c>
      <c r="AI19" s="61" t="s">
        <v>67</v>
      </c>
      <c r="AJ19" s="61" t="s">
        <v>67</v>
      </c>
      <c r="AK19" s="61" t="s">
        <v>78</v>
      </c>
      <c r="AL19" s="61"/>
      <c r="AM19" s="73"/>
      <c r="AN19" s="33"/>
      <c r="AO19" s="81">
        <f t="shared" si="10"/>
        <v>19</v>
      </c>
      <c r="AP19" s="62"/>
      <c r="AQ19" s="81">
        <f t="shared" si="2"/>
        <v>3</v>
      </c>
      <c r="AR19" s="33"/>
      <c r="AS19" s="81">
        <f t="shared" si="11"/>
        <v>0</v>
      </c>
      <c r="AT19" s="62"/>
      <c r="AU19" s="81">
        <f t="shared" si="3"/>
        <v>22</v>
      </c>
      <c r="AV19" s="58"/>
      <c r="AW19" s="137">
        <f t="shared" si="5"/>
        <v>2660</v>
      </c>
      <c r="AX19" s="170"/>
      <c r="AY19" s="138">
        <f>F19/8*tFestivos46[[#This Row],[Columna2]]</f>
        <v>0</v>
      </c>
      <c r="AZ19" s="170"/>
      <c r="BA19" s="138"/>
      <c r="BB19" s="170"/>
      <c r="BC19" s="138"/>
      <c r="BD19" s="170"/>
      <c r="BE19" s="138"/>
      <c r="BF19" s="170"/>
      <c r="BG19" s="146"/>
      <c r="BH19" s="152">
        <f>tFestivos46[[#This Row],[Columna5]]+tFestivos46[[#This Row],[Columna7]]+tFestivos46[[#This Row],[Columna9]]+tFestivos46[[#This Row],[Columna11]]</f>
        <v>0</v>
      </c>
      <c r="BI19" s="149">
        <f t="shared" si="6"/>
        <v>273</v>
      </c>
      <c r="BJ19" s="138">
        <f t="shared" si="7"/>
        <v>42</v>
      </c>
      <c r="BK19" s="138">
        <f t="shared" si="8"/>
        <v>273</v>
      </c>
      <c r="BL19" s="146">
        <f t="shared" si="9"/>
        <v>42</v>
      </c>
      <c r="BM19" s="155">
        <f>tFestivos46[[#This Row],[Columna13]]+tFestivos46[[#This Row],[Columna14]]+tFestivos46[[#This Row],[Columna15]]+tFestivos46[[#This Row],[Columna16]]</f>
        <v>630</v>
      </c>
      <c r="BN19" s="157">
        <f>tFestivos46[[#This Row],[Columna12]]+tFestivos46[[#This Row],[Columna17]]</f>
        <v>630</v>
      </c>
      <c r="BO19" s="159">
        <f>tFestivos46[[#This Row],[Columna1]]-tFestivos46[[#This Row],[Columna18]]</f>
        <v>2030</v>
      </c>
    </row>
    <row r="20" spans="1:67" ht="27.6" customHeight="1" thickBot="1" x14ac:dyDescent="0.3">
      <c r="A20" s="33"/>
      <c r="B20" s="33"/>
      <c r="C20" s="64" t="s">
        <v>25</v>
      </c>
      <c r="D20" s="33"/>
      <c r="E20" s="161">
        <v>3300</v>
      </c>
      <c r="F20" s="164">
        <f t="shared" si="4"/>
        <v>110</v>
      </c>
      <c r="G20" s="299" t="str">
        <f>IFERROR(VLOOKUP(C20,'DATOS GRALES 1'!$B$2:$E$50,4,0),"")</f>
        <v>PEON</v>
      </c>
      <c r="H20" s="300"/>
      <c r="I20" s="72"/>
      <c r="J20" s="61"/>
      <c r="K20" s="61"/>
      <c r="L20" s="61"/>
      <c r="M20" s="61"/>
      <c r="N20" s="61"/>
      <c r="O20" s="61"/>
      <c r="P20" s="61" t="s">
        <v>67</v>
      </c>
      <c r="Q20" s="61" t="s">
        <v>67</v>
      </c>
      <c r="R20" s="61" t="s">
        <v>67</v>
      </c>
      <c r="S20" s="61" t="s">
        <v>67</v>
      </c>
      <c r="T20" s="61" t="s">
        <v>67</v>
      </c>
      <c r="U20" s="61" t="s">
        <v>67</v>
      </c>
      <c r="V20" s="61" t="s">
        <v>67</v>
      </c>
      <c r="W20" s="61" t="s">
        <v>67</v>
      </c>
      <c r="X20" s="61" t="s">
        <v>67</v>
      </c>
      <c r="Y20" s="61" t="s">
        <v>67</v>
      </c>
      <c r="Z20" s="61" t="s">
        <v>67</v>
      </c>
      <c r="AA20" s="61" t="s">
        <v>67</v>
      </c>
      <c r="AB20" s="61" t="s">
        <v>67</v>
      </c>
      <c r="AC20" s="61" t="s">
        <v>67</v>
      </c>
      <c r="AD20" s="61" t="s">
        <v>67</v>
      </c>
      <c r="AE20" s="61" t="s">
        <v>67</v>
      </c>
      <c r="AF20" s="61" t="s">
        <v>67</v>
      </c>
      <c r="AG20" s="61" t="s">
        <v>67</v>
      </c>
      <c r="AH20" s="61" t="s">
        <v>67</v>
      </c>
      <c r="AI20" s="61" t="s">
        <v>67</v>
      </c>
      <c r="AJ20" s="61" t="s">
        <v>67</v>
      </c>
      <c r="AK20" s="61" t="s">
        <v>78</v>
      </c>
      <c r="AL20" s="61"/>
      <c r="AM20" s="73"/>
      <c r="AN20" s="33"/>
      <c r="AO20" s="81">
        <f t="shared" si="10"/>
        <v>21</v>
      </c>
      <c r="AP20" s="62"/>
      <c r="AQ20" s="81">
        <f t="shared" si="2"/>
        <v>1</v>
      </c>
      <c r="AR20" s="33"/>
      <c r="AS20" s="81">
        <f t="shared" si="11"/>
        <v>0</v>
      </c>
      <c r="AT20" s="62"/>
      <c r="AU20" s="81">
        <f t="shared" si="3"/>
        <v>22</v>
      </c>
      <c r="AV20" s="58"/>
      <c r="AW20" s="137">
        <f t="shared" si="5"/>
        <v>2310</v>
      </c>
      <c r="AX20" s="170"/>
      <c r="AY20" s="138">
        <f>F20/8*tFestivos46[[#This Row],[Columna2]]</f>
        <v>0</v>
      </c>
      <c r="AZ20" s="170"/>
      <c r="BA20" s="138"/>
      <c r="BB20" s="170"/>
      <c r="BC20" s="138"/>
      <c r="BD20" s="170"/>
      <c r="BE20" s="138"/>
      <c r="BF20" s="170"/>
      <c r="BG20" s="146"/>
      <c r="BH20" s="152">
        <f>tFestivos46[[#This Row],[Columna5]]+tFestivos46[[#This Row],[Columna7]]+tFestivos46[[#This Row],[Columna9]]+tFestivos46[[#This Row],[Columna11]]</f>
        <v>0</v>
      </c>
      <c r="BI20" s="149">
        <f t="shared" si="6"/>
        <v>214.5</v>
      </c>
      <c r="BJ20" s="138">
        <f t="shared" si="7"/>
        <v>33</v>
      </c>
      <c r="BK20" s="138">
        <f t="shared" si="8"/>
        <v>214.5</v>
      </c>
      <c r="BL20" s="146">
        <f t="shared" si="9"/>
        <v>33</v>
      </c>
      <c r="BM20" s="155">
        <f>tFestivos46[[#This Row],[Columna13]]+tFestivos46[[#This Row],[Columna14]]+tFestivos46[[#This Row],[Columna15]]+tFestivos46[[#This Row],[Columna16]]</f>
        <v>495</v>
      </c>
      <c r="BN20" s="157">
        <f>tFestivos46[[#This Row],[Columna12]]+tFestivos46[[#This Row],[Columna17]]</f>
        <v>495</v>
      </c>
      <c r="BO20" s="159">
        <f>tFestivos46[[#This Row],[Columna1]]-tFestivos46[[#This Row],[Columna18]]</f>
        <v>1815</v>
      </c>
    </row>
    <row r="21" spans="1:67" ht="27.6" customHeight="1" x14ac:dyDescent="0.25">
      <c r="A21" s="33"/>
      <c r="B21" s="33"/>
      <c r="C21" s="64" t="s">
        <v>19</v>
      </c>
      <c r="D21" s="33"/>
      <c r="E21" s="161">
        <v>4200</v>
      </c>
      <c r="F21" s="164">
        <f t="shared" si="4"/>
        <v>140</v>
      </c>
      <c r="G21" s="299" t="str">
        <f>IFERROR(VLOOKUP(C21,'DATOS GRALES 1'!$B$2:$E$50,4,0),"")</f>
        <v>OPERARIO/VOLQUETERO</v>
      </c>
      <c r="H21" s="300"/>
      <c r="I21" s="72"/>
      <c r="J21" s="61"/>
      <c r="K21" s="61"/>
      <c r="L21" s="61"/>
      <c r="M21" s="61"/>
      <c r="N21" s="61"/>
      <c r="O21" s="61"/>
      <c r="P21" s="61" t="s">
        <v>67</v>
      </c>
      <c r="Q21" s="70" t="s">
        <v>67</v>
      </c>
      <c r="R21" s="61" t="s">
        <v>67</v>
      </c>
      <c r="S21" s="61" t="s">
        <v>67</v>
      </c>
      <c r="T21" s="61" t="s">
        <v>67</v>
      </c>
      <c r="U21" s="61" t="s">
        <v>67</v>
      </c>
      <c r="V21" s="61" t="s">
        <v>67</v>
      </c>
      <c r="W21" s="61" t="s">
        <v>67</v>
      </c>
      <c r="X21" s="61" t="s">
        <v>67</v>
      </c>
      <c r="Y21" s="61" t="s">
        <v>67</v>
      </c>
      <c r="Z21" s="61" t="s">
        <v>67</v>
      </c>
      <c r="AA21" s="61" t="s">
        <v>132</v>
      </c>
      <c r="AB21" s="61" t="s">
        <v>67</v>
      </c>
      <c r="AC21" s="61" t="s">
        <v>67</v>
      </c>
      <c r="AD21" s="61" t="s">
        <v>67</v>
      </c>
      <c r="AE21" s="61" t="s">
        <v>67</v>
      </c>
      <c r="AF21" s="61" t="s">
        <v>67</v>
      </c>
      <c r="AG21" s="61" t="s">
        <v>67</v>
      </c>
      <c r="AH21" s="61" t="s">
        <v>132</v>
      </c>
      <c r="AI21" s="61" t="s">
        <v>67</v>
      </c>
      <c r="AJ21" s="61" t="s">
        <v>67</v>
      </c>
      <c r="AK21" s="61" t="s">
        <v>78</v>
      </c>
      <c r="AL21" s="61"/>
      <c r="AM21" s="73"/>
      <c r="AN21" s="33"/>
      <c r="AO21" s="81">
        <f t="shared" si="10"/>
        <v>19</v>
      </c>
      <c r="AP21" s="62"/>
      <c r="AQ21" s="81">
        <f t="shared" si="2"/>
        <v>1</v>
      </c>
      <c r="AR21" s="33"/>
      <c r="AS21" s="81">
        <f t="shared" si="11"/>
        <v>2</v>
      </c>
      <c r="AT21" s="62"/>
      <c r="AU21" s="81">
        <f t="shared" si="3"/>
        <v>22</v>
      </c>
      <c r="AV21" s="58"/>
      <c r="AW21" s="137">
        <f t="shared" si="5"/>
        <v>2800</v>
      </c>
      <c r="AX21" s="170"/>
      <c r="AY21" s="138">
        <f>F21/8*tFestivos46[[#This Row],[Columna2]]</f>
        <v>0</v>
      </c>
      <c r="AZ21" s="170"/>
      <c r="BA21" s="138"/>
      <c r="BB21" s="170"/>
      <c r="BC21" s="138"/>
      <c r="BD21" s="170"/>
      <c r="BE21" s="138"/>
      <c r="BF21" s="170"/>
      <c r="BG21" s="146"/>
      <c r="BH21" s="152">
        <f>tFestivos46[[#This Row],[Columna5]]+tFestivos46[[#This Row],[Columna7]]+tFestivos46[[#This Row],[Columna9]]+tFestivos46[[#This Row],[Columna11]]</f>
        <v>0</v>
      </c>
      <c r="BI21" s="149">
        <f t="shared" si="6"/>
        <v>273</v>
      </c>
      <c r="BJ21" s="138">
        <f t="shared" si="7"/>
        <v>42</v>
      </c>
      <c r="BK21" s="138">
        <f t="shared" si="8"/>
        <v>273</v>
      </c>
      <c r="BL21" s="146">
        <f t="shared" si="9"/>
        <v>42</v>
      </c>
      <c r="BM21" s="155">
        <f>tFestivos46[[#This Row],[Columna13]]+tFestivos46[[#This Row],[Columna14]]+tFestivos46[[#This Row],[Columna15]]+tFestivos46[[#This Row],[Columna16]]</f>
        <v>630</v>
      </c>
      <c r="BN21" s="157">
        <f>tFestivos46[[#This Row],[Columna12]]+tFestivos46[[#This Row],[Columna17]]</f>
        <v>630</v>
      </c>
      <c r="BO21" s="159">
        <f>tFestivos46[[#This Row],[Columna1]]-tFestivos46[[#This Row],[Columna18]]</f>
        <v>2170</v>
      </c>
    </row>
    <row r="22" spans="1:67" ht="27.6" customHeight="1" x14ac:dyDescent="0.25">
      <c r="A22" s="33"/>
      <c r="B22" s="33"/>
      <c r="C22" s="64" t="s">
        <v>104</v>
      </c>
      <c r="D22" s="33"/>
      <c r="E22" s="161">
        <v>4200</v>
      </c>
      <c r="F22" s="164">
        <f t="shared" si="4"/>
        <v>140</v>
      </c>
      <c r="G22" s="299" t="str">
        <f>IFERROR(VLOOKUP(C22,'DATOS GRALES 1'!$B$2:$E$50,4,0),"")</f>
        <v>OPERARIO</v>
      </c>
      <c r="H22" s="300"/>
      <c r="I22" s="72" t="s">
        <v>67</v>
      </c>
      <c r="J22" s="61" t="s">
        <v>67</v>
      </c>
      <c r="K22" s="61" t="s">
        <v>67</v>
      </c>
      <c r="L22" s="61" t="s">
        <v>67</v>
      </c>
      <c r="M22" s="61" t="s">
        <v>67</v>
      </c>
      <c r="N22" s="61" t="s">
        <v>67</v>
      </c>
      <c r="O22" s="61" t="s">
        <v>67</v>
      </c>
      <c r="P22" s="61" t="s">
        <v>67</v>
      </c>
      <c r="Q22" s="61" t="s">
        <v>67</v>
      </c>
      <c r="R22" s="61" t="s">
        <v>67</v>
      </c>
      <c r="S22" s="61" t="s">
        <v>67</v>
      </c>
      <c r="T22" s="61" t="s">
        <v>67</v>
      </c>
      <c r="U22" s="61" t="s">
        <v>67</v>
      </c>
      <c r="V22" s="61" t="s">
        <v>67</v>
      </c>
      <c r="W22" s="61" t="s">
        <v>67</v>
      </c>
      <c r="X22" s="61" t="s">
        <v>67</v>
      </c>
      <c r="Y22" s="61" t="s">
        <v>67</v>
      </c>
      <c r="Z22" s="61" t="s">
        <v>67</v>
      </c>
      <c r="AA22" s="61" t="s">
        <v>67</v>
      </c>
      <c r="AB22" s="61" t="s">
        <v>67</v>
      </c>
      <c r="AC22" s="61" t="s">
        <v>67</v>
      </c>
      <c r="AD22" s="61" t="s">
        <v>67</v>
      </c>
      <c r="AE22" s="61" t="s">
        <v>67</v>
      </c>
      <c r="AF22" s="61" t="s">
        <v>67</v>
      </c>
      <c r="AG22" s="61" t="s">
        <v>67</v>
      </c>
      <c r="AH22" s="61" t="s">
        <v>67</v>
      </c>
      <c r="AI22" s="61" t="s">
        <v>67</v>
      </c>
      <c r="AJ22" s="61" t="s">
        <v>67</v>
      </c>
      <c r="AK22" s="61" t="s">
        <v>67</v>
      </c>
      <c r="AL22" s="61"/>
      <c r="AM22" s="73"/>
      <c r="AN22" s="33"/>
      <c r="AO22" s="81">
        <f t="shared" si="10"/>
        <v>29</v>
      </c>
      <c r="AP22" s="62"/>
      <c r="AQ22" s="81" t="str">
        <f t="shared" si="2"/>
        <v/>
      </c>
      <c r="AR22" s="33"/>
      <c r="AS22" s="81">
        <f t="shared" si="11"/>
        <v>0</v>
      </c>
      <c r="AT22" s="62"/>
      <c r="AU22" s="81">
        <f t="shared" si="3"/>
        <v>29</v>
      </c>
      <c r="AV22" s="58"/>
      <c r="AW22" s="137">
        <f t="shared" si="5"/>
        <v>4060</v>
      </c>
      <c r="AX22" s="170"/>
      <c r="AY22" s="138">
        <f>F22/8*tFestivos46[[#This Row],[Columna2]]</f>
        <v>0</v>
      </c>
      <c r="AZ22" s="170"/>
      <c r="BA22" s="138"/>
      <c r="BB22" s="170"/>
      <c r="BC22" s="138"/>
      <c r="BD22" s="170"/>
      <c r="BE22" s="138"/>
      <c r="BF22" s="170"/>
      <c r="BG22" s="146"/>
      <c r="BH22" s="152">
        <f>tFestivos46[[#This Row],[Columna5]]+tFestivos46[[#This Row],[Columna7]]+tFestivos46[[#This Row],[Columna9]]+tFestivos46[[#This Row],[Columna11]]</f>
        <v>0</v>
      </c>
      <c r="BI22" s="149">
        <f t="shared" si="6"/>
        <v>273</v>
      </c>
      <c r="BJ22" s="138">
        <f t="shared" si="7"/>
        <v>42</v>
      </c>
      <c r="BK22" s="138">
        <f t="shared" si="8"/>
        <v>273</v>
      </c>
      <c r="BL22" s="146">
        <f t="shared" si="9"/>
        <v>42</v>
      </c>
      <c r="BM22" s="155">
        <f>tFestivos46[[#This Row],[Columna13]]+tFestivos46[[#This Row],[Columna14]]+tFestivos46[[#This Row],[Columna15]]+tFestivos46[[#This Row],[Columna16]]</f>
        <v>630</v>
      </c>
      <c r="BN22" s="157">
        <f>tFestivos46[[#This Row],[Columna12]]+tFestivos46[[#This Row],[Columna17]]</f>
        <v>630</v>
      </c>
      <c r="BO22" s="159">
        <f>tFestivos46[[#This Row],[Columna1]]-tFestivos46[[#This Row],[Columna18]]</f>
        <v>3430</v>
      </c>
    </row>
    <row r="23" spans="1:67" ht="27.6" customHeight="1" x14ac:dyDescent="0.25">
      <c r="A23" s="33"/>
      <c r="B23" s="33"/>
      <c r="C23" s="64" t="s">
        <v>106</v>
      </c>
      <c r="D23" s="33"/>
      <c r="E23" s="161">
        <v>3300</v>
      </c>
      <c r="F23" s="164">
        <f t="shared" si="4"/>
        <v>110</v>
      </c>
      <c r="G23" s="299" t="str">
        <f>IFERROR(VLOOKUP(C23,'DATOS GRALES 1'!$B$2:$E$50,4,0),"")</f>
        <v>PEON</v>
      </c>
      <c r="H23" s="300"/>
      <c r="I23" s="72" t="s">
        <v>67</v>
      </c>
      <c r="J23" s="61" t="s">
        <v>67</v>
      </c>
      <c r="K23" s="132" t="s">
        <v>67</v>
      </c>
      <c r="L23" s="61" t="s">
        <v>67</v>
      </c>
      <c r="M23" s="61" t="s">
        <v>67</v>
      </c>
      <c r="N23" s="61" t="s">
        <v>67</v>
      </c>
      <c r="O23" s="61" t="s">
        <v>67</v>
      </c>
      <c r="P23" s="61" t="s">
        <v>67</v>
      </c>
      <c r="Q23" s="61" t="s">
        <v>67</v>
      </c>
      <c r="R23" s="61" t="s">
        <v>67</v>
      </c>
      <c r="S23" s="61" t="s">
        <v>67</v>
      </c>
      <c r="T23" s="61" t="s">
        <v>67</v>
      </c>
      <c r="U23" s="61" t="s">
        <v>67</v>
      </c>
      <c r="V23" s="61" t="s">
        <v>67</v>
      </c>
      <c r="W23" s="61" t="s">
        <v>67</v>
      </c>
      <c r="X23" s="61" t="s">
        <v>67</v>
      </c>
      <c r="Y23" s="61" t="s">
        <v>67</v>
      </c>
      <c r="Z23" s="61" t="s">
        <v>67</v>
      </c>
      <c r="AA23" s="61" t="s">
        <v>67</v>
      </c>
      <c r="AB23" s="61" t="s">
        <v>67</v>
      </c>
      <c r="AC23" s="61" t="s">
        <v>67</v>
      </c>
      <c r="AD23" s="61" t="s">
        <v>67</v>
      </c>
      <c r="AE23" s="61" t="s">
        <v>67</v>
      </c>
      <c r="AF23" s="61" t="s">
        <v>67</v>
      </c>
      <c r="AG23" s="61" t="s">
        <v>67</v>
      </c>
      <c r="AH23" s="61" t="s">
        <v>67</v>
      </c>
      <c r="AI23" s="61" t="s">
        <v>67</v>
      </c>
      <c r="AJ23" s="61" t="s">
        <v>67</v>
      </c>
      <c r="AK23" s="61" t="s">
        <v>67</v>
      </c>
      <c r="AL23" s="61"/>
      <c r="AM23" s="73"/>
      <c r="AN23" s="33"/>
      <c r="AO23" s="81">
        <f t="shared" si="10"/>
        <v>29</v>
      </c>
      <c r="AP23" s="62"/>
      <c r="AQ23" s="81" t="str">
        <f t="shared" si="2"/>
        <v/>
      </c>
      <c r="AR23" s="59"/>
      <c r="AS23" s="81">
        <f t="shared" si="11"/>
        <v>0</v>
      </c>
      <c r="AT23" s="62"/>
      <c r="AU23" s="81">
        <f t="shared" si="3"/>
        <v>29</v>
      </c>
      <c r="AV23" s="58"/>
      <c r="AW23" s="137">
        <f t="shared" si="5"/>
        <v>3190</v>
      </c>
      <c r="AX23" s="170"/>
      <c r="AY23" s="138">
        <f>F23/8*tFestivos46[[#This Row],[Columna2]]</f>
        <v>0</v>
      </c>
      <c r="AZ23" s="170"/>
      <c r="BA23" s="138"/>
      <c r="BB23" s="170"/>
      <c r="BC23" s="138"/>
      <c r="BD23" s="170"/>
      <c r="BE23" s="138"/>
      <c r="BF23" s="170"/>
      <c r="BG23" s="146"/>
      <c r="BH23" s="152">
        <f>tFestivos46[[#This Row],[Columna5]]+tFestivos46[[#This Row],[Columna7]]+tFestivos46[[#This Row],[Columna9]]+tFestivos46[[#This Row],[Columna11]]</f>
        <v>0</v>
      </c>
      <c r="BI23" s="149">
        <f t="shared" si="6"/>
        <v>214.5</v>
      </c>
      <c r="BJ23" s="138">
        <f t="shared" si="7"/>
        <v>33</v>
      </c>
      <c r="BK23" s="138">
        <f t="shared" si="8"/>
        <v>214.5</v>
      </c>
      <c r="BL23" s="146">
        <f t="shared" si="9"/>
        <v>33</v>
      </c>
      <c r="BM23" s="155">
        <f>tFestivos46[[#This Row],[Columna13]]+tFestivos46[[#This Row],[Columna14]]+tFestivos46[[#This Row],[Columna15]]+tFestivos46[[#This Row],[Columna16]]</f>
        <v>495</v>
      </c>
      <c r="BN23" s="157">
        <f>tFestivos46[[#This Row],[Columna12]]+tFestivos46[[#This Row],[Columna17]]</f>
        <v>495</v>
      </c>
      <c r="BO23" s="159">
        <f>tFestivos46[[#This Row],[Columna1]]-tFestivos46[[#This Row],[Columna18]]</f>
        <v>2695</v>
      </c>
    </row>
    <row r="24" spans="1:67" ht="27.6" customHeight="1" x14ac:dyDescent="0.25">
      <c r="A24" s="33"/>
      <c r="B24" s="33"/>
      <c r="C24" s="64" t="s">
        <v>107</v>
      </c>
      <c r="D24" s="33"/>
      <c r="E24" s="161">
        <v>4200</v>
      </c>
      <c r="F24" s="164">
        <f t="shared" si="4"/>
        <v>140</v>
      </c>
      <c r="G24" s="299" t="str">
        <f>IFERROR(VLOOKUP(C24,'DATOS GRALES 1'!B2:E50,4,0),"")</f>
        <v>OPERARIO</v>
      </c>
      <c r="H24" s="300"/>
      <c r="I24" s="72"/>
      <c r="J24" s="61"/>
      <c r="K24" s="61"/>
      <c r="L24" s="61"/>
      <c r="M24" s="61"/>
      <c r="N24" s="61"/>
      <c r="O24" s="61"/>
      <c r="P24" s="61" t="s">
        <v>67</v>
      </c>
      <c r="Q24" s="61" t="s">
        <v>67</v>
      </c>
      <c r="R24" s="61" t="s">
        <v>67</v>
      </c>
      <c r="S24" s="61" t="s">
        <v>67</v>
      </c>
      <c r="T24" s="61" t="s">
        <v>67</v>
      </c>
      <c r="U24" s="61" t="s">
        <v>67</v>
      </c>
      <c r="V24" s="61" t="s">
        <v>67</v>
      </c>
      <c r="W24" s="61" t="s">
        <v>78</v>
      </c>
      <c r="X24" s="61" t="s">
        <v>67</v>
      </c>
      <c r="Y24" s="61" t="s">
        <v>67</v>
      </c>
      <c r="Z24" s="61" t="s">
        <v>67</v>
      </c>
      <c r="AA24" s="61" t="s">
        <v>67</v>
      </c>
      <c r="AB24" s="61" t="s">
        <v>67</v>
      </c>
      <c r="AC24" s="61" t="s">
        <v>78</v>
      </c>
      <c r="AD24" s="61" t="s">
        <v>67</v>
      </c>
      <c r="AE24" s="61" t="s">
        <v>67</v>
      </c>
      <c r="AF24" s="61" t="s">
        <v>67</v>
      </c>
      <c r="AG24" s="61" t="s">
        <v>67</v>
      </c>
      <c r="AH24" s="61" t="s">
        <v>67</v>
      </c>
      <c r="AI24" s="61" t="s">
        <v>67</v>
      </c>
      <c r="AJ24" s="61" t="s">
        <v>67</v>
      </c>
      <c r="AK24" s="61" t="s">
        <v>78</v>
      </c>
      <c r="AL24" s="61"/>
      <c r="AM24" s="73"/>
      <c r="AN24" s="33"/>
      <c r="AO24" s="81">
        <f t="shared" si="10"/>
        <v>19</v>
      </c>
      <c r="AP24" s="62"/>
      <c r="AQ24" s="81">
        <f t="shared" ref="AQ24:AQ51" si="12">IF(COUNTIF(I24:AM24,"NO")=0,"",COUNTIF(I24:AM24,"NO"))</f>
        <v>3</v>
      </c>
      <c r="AR24" s="33"/>
      <c r="AS24" s="81">
        <f t="shared" si="11"/>
        <v>0</v>
      </c>
      <c r="AT24" s="62"/>
      <c r="AU24" s="81">
        <f t="shared" ref="AU24:AU51" si="13">IF(SUM(AO24:AS24)=0,"",SUM(AO24:AS24))</f>
        <v>22</v>
      </c>
      <c r="AV24" s="58"/>
      <c r="AW24" s="137">
        <f t="shared" si="5"/>
        <v>2660</v>
      </c>
      <c r="AX24" s="170"/>
      <c r="AY24" s="138">
        <f>F24/8*tFestivos46[[#This Row],[Columna2]]</f>
        <v>0</v>
      </c>
      <c r="AZ24" s="170"/>
      <c r="BA24" s="138"/>
      <c r="BB24" s="170"/>
      <c r="BC24" s="138"/>
      <c r="BD24" s="170"/>
      <c r="BE24" s="138"/>
      <c r="BF24" s="170"/>
      <c r="BG24" s="146"/>
      <c r="BH24" s="152">
        <f>tFestivos46[[#This Row],[Columna5]]+tFestivos46[[#This Row],[Columna7]]+tFestivos46[[#This Row],[Columna9]]+tFestivos46[[#This Row],[Columna11]]</f>
        <v>0</v>
      </c>
      <c r="BI24" s="149">
        <f t="shared" si="6"/>
        <v>273</v>
      </c>
      <c r="BJ24" s="138">
        <f t="shared" si="7"/>
        <v>42</v>
      </c>
      <c r="BK24" s="138">
        <f t="shared" si="8"/>
        <v>273</v>
      </c>
      <c r="BL24" s="146">
        <f t="shared" si="9"/>
        <v>42</v>
      </c>
      <c r="BM24" s="155">
        <f>tFestivos46[[#This Row],[Columna13]]+tFestivos46[[#This Row],[Columna14]]+tFestivos46[[#This Row],[Columna15]]+tFestivos46[[#This Row],[Columna16]]</f>
        <v>630</v>
      </c>
      <c r="BN24" s="157">
        <f>tFestivos46[[#This Row],[Columna12]]+tFestivos46[[#This Row],[Columna17]]</f>
        <v>630</v>
      </c>
      <c r="BO24" s="159">
        <f>tFestivos46[[#This Row],[Columna1]]-tFestivos46[[#This Row],[Columna18]]</f>
        <v>2030</v>
      </c>
    </row>
    <row r="25" spans="1:67" ht="27.6" customHeight="1" x14ac:dyDescent="0.25">
      <c r="A25" s="33"/>
      <c r="B25" s="33"/>
      <c r="C25" s="64" t="s">
        <v>108</v>
      </c>
      <c r="D25" s="33"/>
      <c r="E25" s="161">
        <v>4200</v>
      </c>
      <c r="F25" s="164">
        <f t="shared" si="4"/>
        <v>140</v>
      </c>
      <c r="G25" s="303" t="str">
        <f>IFERROR(VLOOKUP(C25,'DATOS GRALES 1'!B3:E47,4,0),"")</f>
        <v>OPERARIO</v>
      </c>
      <c r="H25" s="300"/>
      <c r="I25" s="72"/>
      <c r="J25" s="61"/>
      <c r="K25" s="61"/>
      <c r="L25" s="61"/>
      <c r="M25" s="61"/>
      <c r="N25" s="61"/>
      <c r="O25" s="61"/>
      <c r="P25" s="61" t="s">
        <v>67</v>
      </c>
      <c r="Q25" s="61" t="s">
        <v>67</v>
      </c>
      <c r="R25" s="61" t="s">
        <v>67</v>
      </c>
      <c r="S25" s="61" t="s">
        <v>67</v>
      </c>
      <c r="T25" s="61" t="s">
        <v>67</v>
      </c>
      <c r="U25" s="61" t="s">
        <v>67</v>
      </c>
      <c r="V25" s="61" t="s">
        <v>67</v>
      </c>
      <c r="W25" s="61" t="s">
        <v>67</v>
      </c>
      <c r="X25" s="61" t="s">
        <v>67</v>
      </c>
      <c r="Y25" s="61" t="s">
        <v>67</v>
      </c>
      <c r="Z25" s="61" t="s">
        <v>67</v>
      </c>
      <c r="AA25" s="61" t="s">
        <v>67</v>
      </c>
      <c r="AB25" s="61" t="s">
        <v>67</v>
      </c>
      <c r="AC25" s="61" t="s">
        <v>67</v>
      </c>
      <c r="AD25" s="61" t="s">
        <v>67</v>
      </c>
      <c r="AE25" s="61" t="s">
        <v>67</v>
      </c>
      <c r="AF25" s="61" t="s">
        <v>67</v>
      </c>
      <c r="AG25" s="61" t="s">
        <v>67</v>
      </c>
      <c r="AH25" s="61" t="s">
        <v>67</v>
      </c>
      <c r="AI25" s="61" t="s">
        <v>67</v>
      </c>
      <c r="AJ25" s="61" t="s">
        <v>67</v>
      </c>
      <c r="AK25" s="61" t="s">
        <v>78</v>
      </c>
      <c r="AL25" s="61"/>
      <c r="AM25" s="73"/>
      <c r="AN25" s="33"/>
      <c r="AO25" s="81">
        <f t="shared" si="10"/>
        <v>21</v>
      </c>
      <c r="AP25" s="62"/>
      <c r="AQ25" s="81">
        <f t="shared" si="12"/>
        <v>1</v>
      </c>
      <c r="AR25" s="33"/>
      <c r="AS25" s="81">
        <f t="shared" si="11"/>
        <v>0</v>
      </c>
      <c r="AT25" s="62"/>
      <c r="AU25" s="81">
        <f t="shared" si="13"/>
        <v>22</v>
      </c>
      <c r="AV25" s="58"/>
      <c r="AW25" s="137">
        <f t="shared" si="5"/>
        <v>2940</v>
      </c>
      <c r="AX25" s="170"/>
      <c r="AY25" s="138">
        <f>F25/8*tFestivos46[[#This Row],[Columna2]]</f>
        <v>0</v>
      </c>
      <c r="AZ25" s="170"/>
      <c r="BA25" s="138"/>
      <c r="BB25" s="170"/>
      <c r="BC25" s="138"/>
      <c r="BD25" s="170"/>
      <c r="BE25" s="138"/>
      <c r="BF25" s="170"/>
      <c r="BG25" s="146"/>
      <c r="BH25" s="152">
        <f>tFestivos46[[#This Row],[Columna5]]+tFestivos46[[#This Row],[Columna7]]+tFestivos46[[#This Row],[Columna9]]+tFestivos46[[#This Row],[Columna11]]</f>
        <v>0</v>
      </c>
      <c r="BI25" s="149">
        <f t="shared" si="6"/>
        <v>273</v>
      </c>
      <c r="BJ25" s="138">
        <f t="shared" si="7"/>
        <v>42</v>
      </c>
      <c r="BK25" s="138">
        <f t="shared" si="8"/>
        <v>273</v>
      </c>
      <c r="BL25" s="146">
        <f t="shared" si="9"/>
        <v>42</v>
      </c>
      <c r="BM25" s="155">
        <f>tFestivos46[[#This Row],[Columna13]]+tFestivos46[[#This Row],[Columna14]]+tFestivos46[[#This Row],[Columna15]]+tFestivos46[[#This Row],[Columna16]]</f>
        <v>630</v>
      </c>
      <c r="BN25" s="157">
        <f>tFestivos46[[#This Row],[Columna12]]+tFestivos46[[#This Row],[Columna17]]</f>
        <v>630</v>
      </c>
      <c r="BO25" s="159">
        <f>tFestivos46[[#This Row],[Columna1]]-tFestivos46[[#This Row],[Columna18]]</f>
        <v>2310</v>
      </c>
    </row>
    <row r="26" spans="1:67" ht="27.6" customHeight="1" x14ac:dyDescent="0.25">
      <c r="A26" s="33"/>
      <c r="B26" s="33"/>
      <c r="C26" s="64" t="s">
        <v>109</v>
      </c>
      <c r="D26" s="33"/>
      <c r="E26" s="161">
        <v>3300</v>
      </c>
      <c r="F26" s="164">
        <f t="shared" si="4"/>
        <v>110</v>
      </c>
      <c r="G26" s="303" t="str">
        <f>IFERROR(VLOOKUP(C26,'DATOS GRALES 1'!B4:E47,4,0),"")</f>
        <v>PEON</v>
      </c>
      <c r="H26" s="300"/>
      <c r="I26" s="72"/>
      <c r="J26" s="61"/>
      <c r="K26" s="61"/>
      <c r="L26" s="61"/>
      <c r="M26" s="61"/>
      <c r="N26" s="61"/>
      <c r="O26" s="61"/>
      <c r="P26" s="61" t="s">
        <v>67</v>
      </c>
      <c r="Q26" s="61" t="s">
        <v>67</v>
      </c>
      <c r="R26" s="61" t="s">
        <v>67</v>
      </c>
      <c r="S26" s="61" t="s">
        <v>67</v>
      </c>
      <c r="T26" s="61" t="s">
        <v>67</v>
      </c>
      <c r="U26" s="61" t="s">
        <v>67</v>
      </c>
      <c r="V26" s="61" t="s">
        <v>67</v>
      </c>
      <c r="W26" s="61" t="s">
        <v>67</v>
      </c>
      <c r="X26" s="61" t="s">
        <v>67</v>
      </c>
      <c r="Y26" s="61" t="s">
        <v>67</v>
      </c>
      <c r="Z26" s="61" t="s">
        <v>67</v>
      </c>
      <c r="AA26" s="61" t="s">
        <v>67</v>
      </c>
      <c r="AB26" s="61" t="s">
        <v>67</v>
      </c>
      <c r="AC26" s="61" t="s">
        <v>67</v>
      </c>
      <c r="AD26" s="61" t="s">
        <v>67</v>
      </c>
      <c r="AE26" s="61" t="s">
        <v>67</v>
      </c>
      <c r="AF26" s="61" t="s">
        <v>67</v>
      </c>
      <c r="AG26" s="61" t="s">
        <v>67</v>
      </c>
      <c r="AH26" s="61" t="s">
        <v>67</v>
      </c>
      <c r="AI26" s="61" t="s">
        <v>67</v>
      </c>
      <c r="AJ26" s="61" t="s">
        <v>67</v>
      </c>
      <c r="AK26" s="61" t="s">
        <v>67</v>
      </c>
      <c r="AL26" s="61"/>
      <c r="AM26" s="73"/>
      <c r="AN26" s="33"/>
      <c r="AO26" s="81">
        <f t="shared" si="10"/>
        <v>22</v>
      </c>
      <c r="AP26" s="62"/>
      <c r="AQ26" s="81" t="str">
        <f t="shared" si="12"/>
        <v/>
      </c>
      <c r="AR26" s="33"/>
      <c r="AS26" s="81">
        <f t="shared" si="11"/>
        <v>0</v>
      </c>
      <c r="AT26" s="62"/>
      <c r="AU26" s="81">
        <f t="shared" si="13"/>
        <v>22</v>
      </c>
      <c r="AV26" s="58"/>
      <c r="AW26" s="137">
        <f t="shared" si="5"/>
        <v>2420</v>
      </c>
      <c r="AX26" s="170"/>
      <c r="AY26" s="138">
        <f>F26/8*tFestivos46[[#This Row],[Columna2]]</f>
        <v>0</v>
      </c>
      <c r="AZ26" s="170"/>
      <c r="BA26" s="138"/>
      <c r="BB26" s="170"/>
      <c r="BC26" s="138"/>
      <c r="BD26" s="170"/>
      <c r="BE26" s="138"/>
      <c r="BF26" s="170"/>
      <c r="BG26" s="146"/>
      <c r="BH26" s="152">
        <f>tFestivos46[[#This Row],[Columna5]]+tFestivos46[[#This Row],[Columna7]]+tFestivos46[[#This Row],[Columna9]]+tFestivos46[[#This Row],[Columna11]]</f>
        <v>0</v>
      </c>
      <c r="BI26" s="149">
        <f t="shared" si="6"/>
        <v>214.5</v>
      </c>
      <c r="BJ26" s="138">
        <f t="shared" si="7"/>
        <v>33</v>
      </c>
      <c r="BK26" s="138">
        <f t="shared" si="8"/>
        <v>214.5</v>
      </c>
      <c r="BL26" s="146">
        <f t="shared" si="9"/>
        <v>33</v>
      </c>
      <c r="BM26" s="155">
        <f>tFestivos46[[#This Row],[Columna13]]+tFestivos46[[#This Row],[Columna14]]+tFestivos46[[#This Row],[Columna15]]+tFestivos46[[#This Row],[Columna16]]</f>
        <v>495</v>
      </c>
      <c r="BN26" s="157">
        <f>tFestivos46[[#This Row],[Columna12]]+tFestivos46[[#This Row],[Columna17]]</f>
        <v>495</v>
      </c>
      <c r="BO26" s="159">
        <f>tFestivos46[[#This Row],[Columna1]]-tFestivos46[[#This Row],[Columna18]]</f>
        <v>1925</v>
      </c>
    </row>
    <row r="27" spans="1:67" ht="27.6" customHeight="1" x14ac:dyDescent="0.25">
      <c r="A27" s="33"/>
      <c r="B27" s="33"/>
      <c r="C27" s="64" t="s">
        <v>114</v>
      </c>
      <c r="D27" s="33"/>
      <c r="E27" s="161">
        <v>3300</v>
      </c>
      <c r="F27" s="164">
        <f t="shared" si="4"/>
        <v>110</v>
      </c>
      <c r="G27" s="303" t="str">
        <f>IFERROR(VLOOKUP(C27,'DATOS GRALES 1'!B5:E48,4,0),"")</f>
        <v>PEON</v>
      </c>
      <c r="H27" s="300"/>
      <c r="I27" s="72"/>
      <c r="J27" s="61"/>
      <c r="K27" s="61"/>
      <c r="L27" s="61"/>
      <c r="M27" s="61"/>
      <c r="N27" s="61"/>
      <c r="O27" s="61"/>
      <c r="P27" s="61" t="s">
        <v>78</v>
      </c>
      <c r="Q27" s="61" t="s">
        <v>67</v>
      </c>
      <c r="R27" s="61" t="s">
        <v>67</v>
      </c>
      <c r="S27" s="61" t="s">
        <v>67</v>
      </c>
      <c r="T27" s="61" t="s">
        <v>67</v>
      </c>
      <c r="U27" s="61" t="s">
        <v>67</v>
      </c>
      <c r="V27" s="61" t="s">
        <v>78</v>
      </c>
      <c r="W27" s="61" t="s">
        <v>67</v>
      </c>
      <c r="X27" s="61" t="s">
        <v>67</v>
      </c>
      <c r="Y27" s="61" t="s">
        <v>67</v>
      </c>
      <c r="Z27" s="61" t="s">
        <v>67</v>
      </c>
      <c r="AA27" s="61" t="s">
        <v>67</v>
      </c>
      <c r="AB27" s="61" t="s">
        <v>67</v>
      </c>
      <c r="AC27" s="61" t="s">
        <v>67</v>
      </c>
      <c r="AD27" s="61" t="s">
        <v>67</v>
      </c>
      <c r="AE27" s="61" t="s">
        <v>67</v>
      </c>
      <c r="AF27" s="61" t="s">
        <v>67</v>
      </c>
      <c r="AG27" s="61" t="s">
        <v>67</v>
      </c>
      <c r="AH27" s="61" t="s">
        <v>67</v>
      </c>
      <c r="AI27" s="61" t="s">
        <v>67</v>
      </c>
      <c r="AJ27" s="61" t="s">
        <v>67</v>
      </c>
      <c r="AK27" s="61" t="s">
        <v>78</v>
      </c>
      <c r="AL27" s="61"/>
      <c r="AM27" s="73"/>
      <c r="AN27" s="33"/>
      <c r="AO27" s="81">
        <f t="shared" si="10"/>
        <v>19</v>
      </c>
      <c r="AP27" s="62"/>
      <c r="AQ27" s="81">
        <f t="shared" si="12"/>
        <v>3</v>
      </c>
      <c r="AR27" s="33"/>
      <c r="AS27" s="81">
        <f t="shared" si="11"/>
        <v>0</v>
      </c>
      <c r="AT27" s="62"/>
      <c r="AU27" s="81">
        <f t="shared" si="13"/>
        <v>22</v>
      </c>
      <c r="AV27" s="58"/>
      <c r="AW27" s="137">
        <f t="shared" si="5"/>
        <v>2090</v>
      </c>
      <c r="AX27" s="170"/>
      <c r="AY27" s="138">
        <f>F27/8*tFestivos46[[#This Row],[Columna2]]</f>
        <v>0</v>
      </c>
      <c r="AZ27" s="170"/>
      <c r="BA27" s="138"/>
      <c r="BB27" s="170"/>
      <c r="BC27" s="138"/>
      <c r="BD27" s="170"/>
      <c r="BE27" s="138"/>
      <c r="BF27" s="170"/>
      <c r="BG27" s="146"/>
      <c r="BH27" s="152">
        <f>tFestivos46[[#This Row],[Columna5]]+tFestivos46[[#This Row],[Columna7]]+tFestivos46[[#This Row],[Columna9]]+tFestivos46[[#This Row],[Columna11]]</f>
        <v>0</v>
      </c>
      <c r="BI27" s="149">
        <f t="shared" si="6"/>
        <v>214.5</v>
      </c>
      <c r="BJ27" s="138">
        <f t="shared" si="7"/>
        <v>33</v>
      </c>
      <c r="BK27" s="138">
        <f t="shared" si="8"/>
        <v>214.5</v>
      </c>
      <c r="BL27" s="146">
        <f t="shared" si="9"/>
        <v>33</v>
      </c>
      <c r="BM27" s="155">
        <f>tFestivos46[[#This Row],[Columna13]]+tFestivos46[[#This Row],[Columna14]]+tFestivos46[[#This Row],[Columna15]]+tFestivos46[[#This Row],[Columna16]]</f>
        <v>495</v>
      </c>
      <c r="BN27" s="157">
        <f>tFestivos46[[#This Row],[Columna12]]+tFestivos46[[#This Row],[Columna17]]</f>
        <v>495</v>
      </c>
      <c r="BO27" s="159">
        <f>tFestivos46[[#This Row],[Columna1]]-tFestivos46[[#This Row],[Columna18]]</f>
        <v>1595</v>
      </c>
    </row>
    <row r="28" spans="1:67" ht="27.6" customHeight="1" x14ac:dyDescent="0.25">
      <c r="A28" s="33"/>
      <c r="B28" s="33"/>
      <c r="C28" s="64" t="s">
        <v>115</v>
      </c>
      <c r="D28" s="33"/>
      <c r="E28" s="161">
        <v>4200</v>
      </c>
      <c r="F28" s="164">
        <f t="shared" si="4"/>
        <v>140</v>
      </c>
      <c r="G28" s="303" t="str">
        <f>IFERROR(VLOOKUP(C28,'DATOS GRALES 1'!B6:E52,4,0),"")</f>
        <v>OPERARIO</v>
      </c>
      <c r="H28" s="300"/>
      <c r="I28" s="72"/>
      <c r="J28" s="61"/>
      <c r="K28" s="61"/>
      <c r="L28" s="61"/>
      <c r="M28" s="61"/>
      <c r="N28" s="61"/>
      <c r="O28" s="61"/>
      <c r="P28" s="61" t="s">
        <v>67</v>
      </c>
      <c r="Q28" s="61" t="s">
        <v>67</v>
      </c>
      <c r="R28" s="61" t="s">
        <v>67</v>
      </c>
      <c r="S28" s="61" t="s">
        <v>67</v>
      </c>
      <c r="T28" s="61" t="s">
        <v>67</v>
      </c>
      <c r="U28" s="61" t="s">
        <v>67</v>
      </c>
      <c r="V28" s="61" t="s">
        <v>67</v>
      </c>
      <c r="W28" s="61" t="s">
        <v>67</v>
      </c>
      <c r="X28" s="61" t="s">
        <v>67</v>
      </c>
      <c r="Y28" s="61" t="s">
        <v>67</v>
      </c>
      <c r="Z28" s="61" t="s">
        <v>67</v>
      </c>
      <c r="AA28" s="61" t="s">
        <v>67</v>
      </c>
      <c r="AB28" s="61" t="s">
        <v>67</v>
      </c>
      <c r="AC28" s="61" t="s">
        <v>67</v>
      </c>
      <c r="AD28" s="61" t="s">
        <v>67</v>
      </c>
      <c r="AE28" s="61" t="s">
        <v>67</v>
      </c>
      <c r="AF28" s="61" t="s">
        <v>67</v>
      </c>
      <c r="AG28" s="61" t="s">
        <v>67</v>
      </c>
      <c r="AH28" s="61" t="s">
        <v>67</v>
      </c>
      <c r="AI28" s="61" t="s">
        <v>67</v>
      </c>
      <c r="AJ28" s="61" t="s">
        <v>67</v>
      </c>
      <c r="AK28" s="61" t="s">
        <v>78</v>
      </c>
      <c r="AL28" s="61"/>
      <c r="AM28" s="73"/>
      <c r="AN28" s="33"/>
      <c r="AO28" s="81">
        <f t="shared" si="10"/>
        <v>21</v>
      </c>
      <c r="AP28" s="62"/>
      <c r="AQ28" s="81">
        <f t="shared" si="12"/>
        <v>1</v>
      </c>
      <c r="AR28" s="33"/>
      <c r="AS28" s="81">
        <f t="shared" si="11"/>
        <v>0</v>
      </c>
      <c r="AT28" s="62"/>
      <c r="AU28" s="81">
        <f t="shared" si="13"/>
        <v>22</v>
      </c>
      <c r="AV28" s="58"/>
      <c r="AW28" s="137">
        <f t="shared" si="5"/>
        <v>2940</v>
      </c>
      <c r="AX28" s="170"/>
      <c r="AY28" s="138">
        <f>F28/8*tFestivos46[[#This Row],[Columna2]]</f>
        <v>0</v>
      </c>
      <c r="AZ28" s="170"/>
      <c r="BA28" s="138"/>
      <c r="BB28" s="170"/>
      <c r="BC28" s="138"/>
      <c r="BD28" s="170"/>
      <c r="BE28" s="138"/>
      <c r="BF28" s="170"/>
      <c r="BG28" s="146"/>
      <c r="BH28" s="152">
        <f>tFestivos46[[#This Row],[Columna5]]+tFestivos46[[#This Row],[Columna7]]+tFestivos46[[#This Row],[Columna9]]+tFestivos46[[#This Row],[Columna11]]</f>
        <v>0</v>
      </c>
      <c r="BI28" s="149">
        <f t="shared" si="6"/>
        <v>273</v>
      </c>
      <c r="BJ28" s="138">
        <f t="shared" si="7"/>
        <v>42</v>
      </c>
      <c r="BK28" s="138">
        <f t="shared" si="8"/>
        <v>273</v>
      </c>
      <c r="BL28" s="146">
        <f t="shared" si="9"/>
        <v>42</v>
      </c>
      <c r="BM28" s="155">
        <f>tFestivos46[[#This Row],[Columna13]]+tFestivos46[[#This Row],[Columna14]]+tFestivos46[[#This Row],[Columna15]]+tFestivos46[[#This Row],[Columna16]]</f>
        <v>630</v>
      </c>
      <c r="BN28" s="157">
        <f>tFestivos46[[#This Row],[Columna12]]+tFestivos46[[#This Row],[Columna17]]</f>
        <v>630</v>
      </c>
      <c r="BO28" s="159">
        <f>tFestivos46[[#This Row],[Columna1]]-tFestivos46[[#This Row],[Columna18]]</f>
        <v>2310</v>
      </c>
    </row>
    <row r="29" spans="1:67" ht="27.6" customHeight="1" x14ac:dyDescent="0.25">
      <c r="A29" s="33"/>
      <c r="B29" s="33"/>
      <c r="C29" s="64" t="s">
        <v>133</v>
      </c>
      <c r="D29" s="33"/>
      <c r="E29" s="161">
        <v>4200</v>
      </c>
      <c r="F29" s="164">
        <f t="shared" si="4"/>
        <v>140</v>
      </c>
      <c r="G29" s="303" t="str">
        <f>IFERROR(VLOOKUP(C29,'DATOS GRALES 1'!B7:E53,4,0),"")</f>
        <v>OPERARIO</v>
      </c>
      <c r="H29" s="300"/>
      <c r="I29" s="72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 t="s">
        <v>67</v>
      </c>
      <c r="X29" s="61" t="s">
        <v>67</v>
      </c>
      <c r="Y29" s="61" t="s">
        <v>67</v>
      </c>
      <c r="Z29" s="61" t="s">
        <v>67</v>
      </c>
      <c r="AA29" s="61" t="s">
        <v>67</v>
      </c>
      <c r="AB29" s="61" t="s">
        <v>67</v>
      </c>
      <c r="AC29" s="61" t="s">
        <v>67</v>
      </c>
      <c r="AD29" s="61" t="s">
        <v>67</v>
      </c>
      <c r="AE29" s="61" t="s">
        <v>67</v>
      </c>
      <c r="AF29" s="61" t="s">
        <v>67</v>
      </c>
      <c r="AG29" s="61" t="s">
        <v>67</v>
      </c>
      <c r="AH29" s="61" t="s">
        <v>67</v>
      </c>
      <c r="AI29" s="61" t="s">
        <v>67</v>
      </c>
      <c r="AJ29" s="61" t="s">
        <v>67</v>
      </c>
      <c r="AK29" s="61" t="s">
        <v>67</v>
      </c>
      <c r="AL29" s="61"/>
      <c r="AM29" s="73"/>
      <c r="AN29" s="33"/>
      <c r="AO29" s="81">
        <f t="shared" si="10"/>
        <v>15</v>
      </c>
      <c r="AP29" s="62"/>
      <c r="AQ29" s="81" t="str">
        <f t="shared" si="12"/>
        <v/>
      </c>
      <c r="AR29" s="33"/>
      <c r="AS29" s="81">
        <f t="shared" si="11"/>
        <v>0</v>
      </c>
      <c r="AT29" s="62"/>
      <c r="AU29" s="81">
        <f t="shared" si="13"/>
        <v>15</v>
      </c>
      <c r="AV29" s="58"/>
      <c r="AW29" s="137">
        <f t="shared" si="5"/>
        <v>2100</v>
      </c>
      <c r="AX29" s="170"/>
      <c r="AY29" s="138">
        <f>F29/8*tFestivos46[[#This Row],[Columna2]]</f>
        <v>0</v>
      </c>
      <c r="AZ29" s="170"/>
      <c r="BA29" s="138"/>
      <c r="BB29" s="170"/>
      <c r="BC29" s="138"/>
      <c r="BD29" s="170"/>
      <c r="BE29" s="138"/>
      <c r="BF29" s="170"/>
      <c r="BG29" s="146"/>
      <c r="BH29" s="152">
        <f>tFestivos46[[#This Row],[Columna5]]+tFestivos46[[#This Row],[Columna7]]+tFestivos46[[#This Row],[Columna9]]+tFestivos46[[#This Row],[Columna11]]</f>
        <v>0</v>
      </c>
      <c r="BI29" s="149">
        <f t="shared" si="6"/>
        <v>273</v>
      </c>
      <c r="BJ29" s="138">
        <f t="shared" si="7"/>
        <v>42</v>
      </c>
      <c r="BK29" s="138">
        <f t="shared" si="8"/>
        <v>273</v>
      </c>
      <c r="BL29" s="146">
        <f t="shared" si="9"/>
        <v>42</v>
      </c>
      <c r="BM29" s="155">
        <f>tFestivos46[[#This Row],[Columna13]]+tFestivos46[[#This Row],[Columna14]]+tFestivos46[[#This Row],[Columna15]]+tFestivos46[[#This Row],[Columna16]]</f>
        <v>630</v>
      </c>
      <c r="BN29" s="157">
        <f>tFestivos46[[#This Row],[Columna12]]+tFestivos46[[#This Row],[Columna17]]</f>
        <v>630</v>
      </c>
      <c r="BO29" s="159">
        <f>tFestivos46[[#This Row],[Columna1]]-tFestivos46[[#This Row],[Columna18]]</f>
        <v>1470</v>
      </c>
    </row>
    <row r="30" spans="1:67" ht="27.6" customHeight="1" x14ac:dyDescent="0.25">
      <c r="A30" s="33"/>
      <c r="B30" s="33"/>
      <c r="C30" s="64" t="s">
        <v>202</v>
      </c>
      <c r="D30" s="33"/>
      <c r="E30" s="161">
        <v>3300</v>
      </c>
      <c r="F30" s="164">
        <f t="shared" si="4"/>
        <v>110</v>
      </c>
      <c r="G30" s="303" t="str">
        <f>IFERROR(VLOOKUP(C30,'DATOS GRALES 1'!B8:E54,4,0),"")</f>
        <v>PEÓN</v>
      </c>
      <c r="H30" s="300"/>
      <c r="I30" s="72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 t="s">
        <v>67</v>
      </c>
      <c r="AE30" s="61" t="s">
        <v>67</v>
      </c>
      <c r="AF30" s="61" t="s">
        <v>67</v>
      </c>
      <c r="AG30" s="61" t="s">
        <v>67</v>
      </c>
      <c r="AH30" s="61" t="s">
        <v>67</v>
      </c>
      <c r="AI30" s="61" t="s">
        <v>67</v>
      </c>
      <c r="AJ30" s="61" t="s">
        <v>67</v>
      </c>
      <c r="AK30" s="61" t="s">
        <v>67</v>
      </c>
      <c r="AL30" s="61"/>
      <c r="AM30" s="73"/>
      <c r="AN30" s="33"/>
      <c r="AO30" s="81">
        <f t="shared" si="10"/>
        <v>8</v>
      </c>
      <c r="AP30" s="62"/>
      <c r="AQ30" s="81" t="str">
        <f t="shared" si="12"/>
        <v/>
      </c>
      <c r="AR30" s="33"/>
      <c r="AS30" s="81">
        <f t="shared" si="11"/>
        <v>0</v>
      </c>
      <c r="AT30" s="62"/>
      <c r="AU30" s="81">
        <f t="shared" si="13"/>
        <v>8</v>
      </c>
      <c r="AV30" s="58"/>
      <c r="AW30" s="137">
        <f t="shared" si="5"/>
        <v>880</v>
      </c>
      <c r="AX30" s="170"/>
      <c r="AY30" s="138">
        <f>F30/8*tFestivos46[[#This Row],[Columna2]]</f>
        <v>0</v>
      </c>
      <c r="AZ30" s="170"/>
      <c r="BA30" s="138"/>
      <c r="BB30" s="170"/>
      <c r="BC30" s="138"/>
      <c r="BD30" s="170"/>
      <c r="BE30" s="138"/>
      <c r="BF30" s="170"/>
      <c r="BG30" s="146"/>
      <c r="BH30" s="152">
        <f>tFestivos46[[#This Row],[Columna5]]+tFestivos46[[#This Row],[Columna7]]+tFestivos46[[#This Row],[Columna9]]+tFestivos46[[#This Row],[Columna11]]</f>
        <v>0</v>
      </c>
      <c r="BI30" s="149">
        <f t="shared" si="6"/>
        <v>214.5</v>
      </c>
      <c r="BJ30" s="138">
        <f t="shared" si="7"/>
        <v>33</v>
      </c>
      <c r="BK30" s="138">
        <f t="shared" si="8"/>
        <v>214.5</v>
      </c>
      <c r="BL30" s="146">
        <f t="shared" si="9"/>
        <v>33</v>
      </c>
      <c r="BM30" s="155">
        <f>tFestivos46[[#This Row],[Columna13]]+tFestivos46[[#This Row],[Columna14]]+tFestivos46[[#This Row],[Columna15]]+tFestivos46[[#This Row],[Columna16]]</f>
        <v>495</v>
      </c>
      <c r="BN30" s="157">
        <f>tFestivos46[[#This Row],[Columna12]]+tFestivos46[[#This Row],[Columna17]]</f>
        <v>495</v>
      </c>
      <c r="BO30" s="159">
        <f>tFestivos46[[#This Row],[Columna1]]-tFestivos46[[#This Row],[Columna18]]</f>
        <v>385</v>
      </c>
    </row>
    <row r="31" spans="1:67" ht="27.6" customHeight="1" x14ac:dyDescent="0.25">
      <c r="A31" s="33"/>
      <c r="B31" s="33"/>
      <c r="C31" s="64" t="s">
        <v>171</v>
      </c>
      <c r="D31" s="33"/>
      <c r="E31" s="161">
        <v>3300</v>
      </c>
      <c r="F31" s="164">
        <f t="shared" si="4"/>
        <v>110</v>
      </c>
      <c r="G31" s="303" t="str">
        <f>IFERROR(VLOOKUP(C31,'DATOS GRALES 1'!B9:E55,4,0),"")</f>
        <v xml:space="preserve">PEÓN </v>
      </c>
      <c r="H31" s="300"/>
      <c r="I31" s="72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 t="s">
        <v>67</v>
      </c>
      <c r="AE31" s="61" t="s">
        <v>67</v>
      </c>
      <c r="AF31" s="61" t="s">
        <v>67</v>
      </c>
      <c r="AG31" s="61" t="s">
        <v>67</v>
      </c>
      <c r="AH31" s="61" t="s">
        <v>67</v>
      </c>
      <c r="AI31" s="61" t="s">
        <v>67</v>
      </c>
      <c r="AJ31" s="61" t="s">
        <v>67</v>
      </c>
      <c r="AK31" s="61" t="s">
        <v>78</v>
      </c>
      <c r="AL31" s="61"/>
      <c r="AM31" s="73"/>
      <c r="AN31" s="33"/>
      <c r="AO31" s="81">
        <f t="shared" si="10"/>
        <v>7</v>
      </c>
      <c r="AP31" s="62"/>
      <c r="AQ31" s="81">
        <f t="shared" si="12"/>
        <v>1</v>
      </c>
      <c r="AR31" s="33"/>
      <c r="AS31" s="81">
        <f t="shared" si="11"/>
        <v>0</v>
      </c>
      <c r="AT31" s="62"/>
      <c r="AU31" s="81">
        <f t="shared" si="13"/>
        <v>8</v>
      </c>
      <c r="AV31" s="58"/>
      <c r="AW31" s="137">
        <f t="shared" si="5"/>
        <v>770</v>
      </c>
      <c r="AX31" s="170"/>
      <c r="AY31" s="138">
        <f>F31/8*tFestivos46[[#This Row],[Columna2]]</f>
        <v>0</v>
      </c>
      <c r="AZ31" s="170"/>
      <c r="BA31" s="138"/>
      <c r="BB31" s="170"/>
      <c r="BC31" s="138"/>
      <c r="BD31" s="170"/>
      <c r="BE31" s="138"/>
      <c r="BF31" s="170"/>
      <c r="BG31" s="146"/>
      <c r="BH31" s="152">
        <f>tFestivos46[[#This Row],[Columna5]]+tFestivos46[[#This Row],[Columna7]]+tFestivos46[[#This Row],[Columna9]]+tFestivos46[[#This Row],[Columna11]]</f>
        <v>0</v>
      </c>
      <c r="BI31" s="149">
        <f t="shared" si="6"/>
        <v>214.5</v>
      </c>
      <c r="BJ31" s="138">
        <f t="shared" si="7"/>
        <v>33</v>
      </c>
      <c r="BK31" s="138">
        <f t="shared" si="8"/>
        <v>214.5</v>
      </c>
      <c r="BL31" s="146">
        <f t="shared" si="9"/>
        <v>33</v>
      </c>
      <c r="BM31" s="155">
        <f>tFestivos46[[#This Row],[Columna13]]+tFestivos46[[#This Row],[Columna14]]+tFestivos46[[#This Row],[Columna15]]+tFestivos46[[#This Row],[Columna16]]</f>
        <v>495</v>
      </c>
      <c r="BN31" s="157">
        <f>tFestivos46[[#This Row],[Columna12]]+tFestivos46[[#This Row],[Columna17]]</f>
        <v>495</v>
      </c>
      <c r="BO31" s="159">
        <f>tFestivos46[[#This Row],[Columna1]]-tFestivos46[[#This Row],[Columna18]]</f>
        <v>275</v>
      </c>
    </row>
    <row r="32" spans="1:67" ht="27.6" customHeight="1" x14ac:dyDescent="0.25">
      <c r="A32" s="33"/>
      <c r="B32" s="33"/>
      <c r="C32" s="64" t="s">
        <v>184</v>
      </c>
      <c r="D32" s="33"/>
      <c r="E32" s="161">
        <v>4200</v>
      </c>
      <c r="F32" s="164">
        <f t="shared" si="4"/>
        <v>140</v>
      </c>
      <c r="G32" s="303" t="str">
        <f>IFERROR(VLOOKUP(C32,'DATOS GRALES 1'!B10:E56,4,0),"")</f>
        <v>OPERARIO</v>
      </c>
      <c r="H32" s="300"/>
      <c r="I32" s="72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 t="s">
        <v>67</v>
      </c>
      <c r="AE32" s="61" t="s">
        <v>67</v>
      </c>
      <c r="AF32" s="61" t="s">
        <v>67</v>
      </c>
      <c r="AG32" s="61" t="s">
        <v>67</v>
      </c>
      <c r="AH32" s="61" t="s">
        <v>67</v>
      </c>
      <c r="AI32" s="61" t="s">
        <v>67</v>
      </c>
      <c r="AJ32" s="61" t="s">
        <v>67</v>
      </c>
      <c r="AK32" s="61" t="s">
        <v>78</v>
      </c>
      <c r="AL32" s="61"/>
      <c r="AM32" s="73"/>
      <c r="AN32" s="33"/>
      <c r="AO32" s="81">
        <f t="shared" si="10"/>
        <v>7</v>
      </c>
      <c r="AP32" s="62"/>
      <c r="AQ32" s="81">
        <f t="shared" si="12"/>
        <v>1</v>
      </c>
      <c r="AR32" s="33"/>
      <c r="AS32" s="81">
        <f t="shared" si="11"/>
        <v>0</v>
      </c>
      <c r="AT32" s="62"/>
      <c r="AU32" s="81">
        <f t="shared" si="13"/>
        <v>8</v>
      </c>
      <c r="AV32" s="58"/>
      <c r="AW32" s="137">
        <f t="shared" si="5"/>
        <v>980</v>
      </c>
      <c r="AX32" s="170"/>
      <c r="AY32" s="138">
        <f>F32/8*tFestivos46[[#This Row],[Columna2]]</f>
        <v>0</v>
      </c>
      <c r="AZ32" s="170"/>
      <c r="BA32" s="138"/>
      <c r="BB32" s="170"/>
      <c r="BC32" s="138"/>
      <c r="BD32" s="170"/>
      <c r="BE32" s="138"/>
      <c r="BF32" s="170"/>
      <c r="BG32" s="146"/>
      <c r="BH32" s="152">
        <f>tFestivos46[[#This Row],[Columna5]]+tFestivos46[[#This Row],[Columna7]]+tFestivos46[[#This Row],[Columna9]]+tFestivos46[[#This Row],[Columna11]]</f>
        <v>0</v>
      </c>
      <c r="BI32" s="149">
        <f t="shared" si="6"/>
        <v>273</v>
      </c>
      <c r="BJ32" s="138">
        <f t="shared" si="7"/>
        <v>42</v>
      </c>
      <c r="BK32" s="138">
        <f t="shared" si="8"/>
        <v>273</v>
      </c>
      <c r="BL32" s="146">
        <f t="shared" si="9"/>
        <v>42</v>
      </c>
      <c r="BM32" s="155">
        <f>tFestivos46[[#This Row],[Columna13]]+tFestivos46[[#This Row],[Columna14]]+tFestivos46[[#This Row],[Columna15]]+tFestivos46[[#This Row],[Columna16]]</f>
        <v>630</v>
      </c>
      <c r="BN32" s="157">
        <f>tFestivos46[[#This Row],[Columna12]]+tFestivos46[[#This Row],[Columna17]]</f>
        <v>630</v>
      </c>
      <c r="BO32" s="159">
        <f>tFestivos46[[#This Row],[Columna1]]-tFestivos46[[#This Row],[Columna18]]</f>
        <v>350</v>
      </c>
    </row>
    <row r="33" spans="1:67" ht="27.6" customHeight="1" x14ac:dyDescent="0.25">
      <c r="A33" s="33"/>
      <c r="B33" s="33"/>
      <c r="C33" s="64" t="s">
        <v>196</v>
      </c>
      <c r="D33" s="33"/>
      <c r="E33" s="161">
        <v>4200</v>
      </c>
      <c r="F33" s="164">
        <f t="shared" si="4"/>
        <v>140</v>
      </c>
      <c r="G33" s="303" t="str">
        <f>IFERROR(VLOOKUP(C33,'DATOS GRALES 1'!B11:E57,4,0),"")</f>
        <v>OPERARIO</v>
      </c>
      <c r="H33" s="300"/>
      <c r="I33" s="72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 t="s">
        <v>67</v>
      </c>
      <c r="AL33" s="61"/>
      <c r="AM33" s="73"/>
      <c r="AN33" s="33"/>
      <c r="AO33" s="81">
        <f t="shared" si="10"/>
        <v>1</v>
      </c>
      <c r="AP33" s="62"/>
      <c r="AQ33" s="81" t="str">
        <f t="shared" si="12"/>
        <v/>
      </c>
      <c r="AR33" s="33"/>
      <c r="AS33" s="81">
        <f t="shared" si="11"/>
        <v>0</v>
      </c>
      <c r="AT33" s="62"/>
      <c r="AU33" s="81">
        <f t="shared" si="13"/>
        <v>1</v>
      </c>
      <c r="AV33" s="58"/>
      <c r="AW33" s="137">
        <f t="shared" si="5"/>
        <v>140</v>
      </c>
      <c r="AX33" s="170"/>
      <c r="AY33" s="138">
        <f>F33/8*tFestivos46[[#This Row],[Columna2]]</f>
        <v>0</v>
      </c>
      <c r="AZ33" s="170"/>
      <c r="BA33" s="138"/>
      <c r="BB33" s="170"/>
      <c r="BC33" s="138"/>
      <c r="BD33" s="170"/>
      <c r="BE33" s="138"/>
      <c r="BF33" s="170"/>
      <c r="BG33" s="146"/>
      <c r="BH33" s="152">
        <f>tFestivos46[[#This Row],[Columna5]]+tFestivos46[[#This Row],[Columna7]]+tFestivos46[[#This Row],[Columna9]]+tFestivos46[[#This Row],[Columna11]]</f>
        <v>0</v>
      </c>
      <c r="BI33" s="149">
        <f t="shared" si="6"/>
        <v>273</v>
      </c>
      <c r="BJ33" s="138">
        <f t="shared" si="7"/>
        <v>42</v>
      </c>
      <c r="BK33" s="138">
        <f t="shared" si="8"/>
        <v>273</v>
      </c>
      <c r="BL33" s="146">
        <f t="shared" si="9"/>
        <v>42</v>
      </c>
      <c r="BM33" s="155">
        <f>tFestivos46[[#This Row],[Columna13]]+tFestivos46[[#This Row],[Columna14]]+tFestivos46[[#This Row],[Columna15]]+tFestivos46[[#This Row],[Columna16]]</f>
        <v>630</v>
      </c>
      <c r="BN33" s="157">
        <f>tFestivos46[[#This Row],[Columna12]]+tFestivos46[[#This Row],[Columna17]]</f>
        <v>630</v>
      </c>
      <c r="BO33" s="159">
        <f>tFestivos46[[#This Row],[Columna1]]-tFestivos46[[#This Row],[Columna18]]</f>
        <v>-490</v>
      </c>
    </row>
    <row r="34" spans="1:67" ht="27.6" customHeight="1" x14ac:dyDescent="0.25">
      <c r="A34" s="33"/>
      <c r="B34" s="33"/>
      <c r="C34" s="64"/>
      <c r="D34" s="33"/>
      <c r="E34" s="161"/>
      <c r="F34" s="164">
        <f t="shared" si="4"/>
        <v>0</v>
      </c>
      <c r="G34" s="303" t="str">
        <f>IFERROR(VLOOKUP(C34,'DATOS GRALES 1'!B12:E58,4,0),"")</f>
        <v/>
      </c>
      <c r="H34" s="300"/>
      <c r="I34" s="72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73"/>
      <c r="AN34" s="33"/>
      <c r="AO34" s="81">
        <f t="shared" si="10"/>
        <v>0</v>
      </c>
      <c r="AP34" s="62"/>
      <c r="AQ34" s="81" t="str">
        <f t="shared" si="12"/>
        <v/>
      </c>
      <c r="AR34" s="33"/>
      <c r="AS34" s="81">
        <f t="shared" si="11"/>
        <v>0</v>
      </c>
      <c r="AT34" s="62"/>
      <c r="AU34" s="81" t="str">
        <f t="shared" si="13"/>
        <v/>
      </c>
      <c r="AV34" s="58"/>
      <c r="AW34" s="137">
        <f t="shared" si="5"/>
        <v>0</v>
      </c>
      <c r="AX34" s="170"/>
      <c r="AY34" s="138">
        <f>F34/8*tFestivos46[[#This Row],[Columna2]]</f>
        <v>0</v>
      </c>
      <c r="AZ34" s="170"/>
      <c r="BA34" s="138"/>
      <c r="BB34" s="170"/>
      <c r="BC34" s="138"/>
      <c r="BD34" s="170"/>
      <c r="BE34" s="138"/>
      <c r="BF34" s="170"/>
      <c r="BG34" s="146"/>
      <c r="BH34" s="152">
        <f>tFestivos46[[#This Row],[Columna5]]+tFestivos46[[#This Row],[Columna7]]+tFestivos46[[#This Row],[Columna9]]+tFestivos46[[#This Row],[Columna11]]</f>
        <v>0</v>
      </c>
      <c r="BI34" s="149">
        <f t="shared" si="6"/>
        <v>0</v>
      </c>
      <c r="BJ34" s="138">
        <f t="shared" si="7"/>
        <v>0</v>
      </c>
      <c r="BK34" s="138">
        <f t="shared" si="8"/>
        <v>0</v>
      </c>
      <c r="BL34" s="146">
        <f t="shared" si="9"/>
        <v>0</v>
      </c>
      <c r="BM34" s="155">
        <f>tFestivos46[[#This Row],[Columna13]]+tFestivos46[[#This Row],[Columna14]]+tFestivos46[[#This Row],[Columna15]]+tFestivos46[[#This Row],[Columna16]]</f>
        <v>0</v>
      </c>
      <c r="BN34" s="157">
        <f>tFestivos46[[#This Row],[Columna12]]+tFestivos46[[#This Row],[Columna17]]</f>
        <v>0</v>
      </c>
      <c r="BO34" s="159">
        <f>tFestivos46[[#This Row],[Columna1]]-tFestivos46[[#This Row],[Columna18]]</f>
        <v>0</v>
      </c>
    </row>
    <row r="35" spans="1:67" ht="27.6" customHeight="1" x14ac:dyDescent="0.25">
      <c r="A35" s="33"/>
      <c r="B35" s="33"/>
      <c r="C35" s="64"/>
      <c r="D35" s="33"/>
      <c r="E35" s="161"/>
      <c r="F35" s="164">
        <f t="shared" si="4"/>
        <v>0</v>
      </c>
      <c r="G35" s="303" t="str">
        <f>IFERROR(VLOOKUP(C35,'DATOS GRALES 1'!B13:E59,4,0),"")</f>
        <v/>
      </c>
      <c r="H35" s="300"/>
      <c r="I35" s="72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73"/>
      <c r="AN35" s="33"/>
      <c r="AO35" s="81">
        <f t="shared" si="10"/>
        <v>0</v>
      </c>
      <c r="AP35" s="62"/>
      <c r="AQ35" s="81" t="str">
        <f t="shared" si="12"/>
        <v/>
      </c>
      <c r="AR35" s="33"/>
      <c r="AS35" s="81">
        <f t="shared" si="11"/>
        <v>0</v>
      </c>
      <c r="AT35" s="62"/>
      <c r="AU35" s="81" t="str">
        <f t="shared" si="13"/>
        <v/>
      </c>
      <c r="AV35" s="58"/>
      <c r="AW35" s="137">
        <f t="shared" si="5"/>
        <v>0</v>
      </c>
      <c r="AX35" s="170"/>
      <c r="AY35" s="138">
        <f>F35/8*tFestivos46[[#This Row],[Columna2]]</f>
        <v>0</v>
      </c>
      <c r="AZ35" s="170"/>
      <c r="BA35" s="138"/>
      <c r="BB35" s="170"/>
      <c r="BC35" s="138"/>
      <c r="BD35" s="170"/>
      <c r="BE35" s="138"/>
      <c r="BF35" s="170"/>
      <c r="BG35" s="146"/>
      <c r="BH35" s="152">
        <f>tFestivos46[[#This Row],[Columna5]]+tFestivos46[[#This Row],[Columna7]]+tFestivos46[[#This Row],[Columna9]]+tFestivos46[[#This Row],[Columna11]]</f>
        <v>0</v>
      </c>
      <c r="BI35" s="149">
        <f t="shared" si="6"/>
        <v>0</v>
      </c>
      <c r="BJ35" s="138">
        <f t="shared" si="7"/>
        <v>0</v>
      </c>
      <c r="BK35" s="138">
        <f t="shared" si="8"/>
        <v>0</v>
      </c>
      <c r="BL35" s="146">
        <f t="shared" si="9"/>
        <v>0</v>
      </c>
      <c r="BM35" s="155">
        <f>tFestivos46[[#This Row],[Columna13]]+tFestivos46[[#This Row],[Columna14]]+tFestivos46[[#This Row],[Columna15]]+tFestivos46[[#This Row],[Columna16]]</f>
        <v>0</v>
      </c>
      <c r="BN35" s="157">
        <f>tFestivos46[[#This Row],[Columna12]]+tFestivos46[[#This Row],[Columna17]]</f>
        <v>0</v>
      </c>
      <c r="BO35" s="159">
        <f>tFestivos46[[#This Row],[Columna1]]-tFestivos46[[#This Row],[Columna18]]</f>
        <v>0</v>
      </c>
    </row>
    <row r="36" spans="1:67" ht="27.6" customHeight="1" x14ac:dyDescent="0.25">
      <c r="A36" s="33"/>
      <c r="B36" s="33"/>
      <c r="C36" s="64"/>
      <c r="D36" s="33"/>
      <c r="E36" s="161"/>
      <c r="F36" s="164">
        <f t="shared" si="4"/>
        <v>0</v>
      </c>
      <c r="G36" s="303" t="str">
        <f>IFERROR(VLOOKUP(C36,'DATOS GRALES 1'!B14:E60,4,0),"")</f>
        <v/>
      </c>
      <c r="H36" s="300"/>
      <c r="I36" s="72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73"/>
      <c r="AN36" s="33"/>
      <c r="AO36" s="81">
        <f t="shared" si="10"/>
        <v>0</v>
      </c>
      <c r="AP36" s="62"/>
      <c r="AQ36" s="81" t="str">
        <f t="shared" si="12"/>
        <v/>
      </c>
      <c r="AR36" s="33"/>
      <c r="AS36" s="81">
        <f t="shared" si="11"/>
        <v>0</v>
      </c>
      <c r="AT36" s="62"/>
      <c r="AU36" s="81" t="str">
        <f t="shared" si="13"/>
        <v/>
      </c>
      <c r="AV36" s="58"/>
      <c r="AW36" s="137">
        <f t="shared" si="5"/>
        <v>0</v>
      </c>
      <c r="AX36" s="170"/>
      <c r="AY36" s="138">
        <f>F36/8*tFestivos46[[#This Row],[Columna2]]</f>
        <v>0</v>
      </c>
      <c r="AZ36" s="170"/>
      <c r="BA36" s="138"/>
      <c r="BB36" s="170"/>
      <c r="BC36" s="138"/>
      <c r="BD36" s="170"/>
      <c r="BE36" s="138"/>
      <c r="BF36" s="170"/>
      <c r="BG36" s="146"/>
      <c r="BH36" s="152">
        <f>tFestivos46[[#This Row],[Columna5]]+tFestivos46[[#This Row],[Columna7]]+tFestivos46[[#This Row],[Columna9]]+tFestivos46[[#This Row],[Columna11]]</f>
        <v>0</v>
      </c>
      <c r="BI36" s="149">
        <f t="shared" si="6"/>
        <v>0</v>
      </c>
      <c r="BJ36" s="138">
        <f t="shared" si="7"/>
        <v>0</v>
      </c>
      <c r="BK36" s="138">
        <f t="shared" si="8"/>
        <v>0</v>
      </c>
      <c r="BL36" s="146">
        <f t="shared" si="9"/>
        <v>0</v>
      </c>
      <c r="BM36" s="155">
        <f>tFestivos46[[#This Row],[Columna13]]+tFestivos46[[#This Row],[Columna14]]+tFestivos46[[#This Row],[Columna15]]+tFestivos46[[#This Row],[Columna16]]</f>
        <v>0</v>
      </c>
      <c r="BN36" s="157">
        <f>tFestivos46[[#This Row],[Columna12]]+tFestivos46[[#This Row],[Columna17]]</f>
        <v>0</v>
      </c>
      <c r="BO36" s="159">
        <f>tFestivos46[[#This Row],[Columna1]]-tFestivos46[[#This Row],[Columna18]]</f>
        <v>0</v>
      </c>
    </row>
    <row r="37" spans="1:67" ht="27.6" customHeight="1" x14ac:dyDescent="0.25">
      <c r="A37" s="33"/>
      <c r="B37" s="33"/>
      <c r="C37" s="64"/>
      <c r="D37" s="33"/>
      <c r="E37" s="161"/>
      <c r="F37" s="164">
        <f t="shared" si="4"/>
        <v>0</v>
      </c>
      <c r="G37" s="303" t="str">
        <f>IFERROR(VLOOKUP(C37,'DATOS GRALES 1'!B15:E61,4,0),"")</f>
        <v/>
      </c>
      <c r="H37" s="300"/>
      <c r="I37" s="72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73"/>
      <c r="AN37" s="33"/>
      <c r="AO37" s="81">
        <f t="shared" si="10"/>
        <v>0</v>
      </c>
      <c r="AP37" s="62"/>
      <c r="AQ37" s="81" t="str">
        <f t="shared" si="12"/>
        <v/>
      </c>
      <c r="AR37" s="33"/>
      <c r="AS37" s="81">
        <f t="shared" si="11"/>
        <v>0</v>
      </c>
      <c r="AT37" s="62"/>
      <c r="AU37" s="81" t="str">
        <f t="shared" si="13"/>
        <v/>
      </c>
      <c r="AV37" s="58"/>
      <c r="AW37" s="137">
        <f t="shared" si="5"/>
        <v>0</v>
      </c>
      <c r="AX37" s="170"/>
      <c r="AY37" s="138">
        <f>F37/8*tFestivos46[[#This Row],[Columna2]]</f>
        <v>0</v>
      </c>
      <c r="AZ37" s="170"/>
      <c r="BA37" s="138"/>
      <c r="BB37" s="170"/>
      <c r="BC37" s="138"/>
      <c r="BD37" s="170"/>
      <c r="BE37" s="138"/>
      <c r="BF37" s="170"/>
      <c r="BG37" s="146"/>
      <c r="BH37" s="152">
        <f>tFestivos46[[#This Row],[Columna5]]+tFestivos46[[#This Row],[Columna7]]+tFestivos46[[#This Row],[Columna9]]+tFestivos46[[#This Row],[Columna11]]</f>
        <v>0</v>
      </c>
      <c r="BI37" s="149">
        <f t="shared" si="6"/>
        <v>0</v>
      </c>
      <c r="BJ37" s="138">
        <f t="shared" si="7"/>
        <v>0</v>
      </c>
      <c r="BK37" s="138">
        <f t="shared" si="8"/>
        <v>0</v>
      </c>
      <c r="BL37" s="146">
        <f t="shared" si="9"/>
        <v>0</v>
      </c>
      <c r="BM37" s="155">
        <f>tFestivos46[[#This Row],[Columna13]]+tFestivos46[[#This Row],[Columna14]]+tFestivos46[[#This Row],[Columna15]]+tFestivos46[[#This Row],[Columna16]]</f>
        <v>0</v>
      </c>
      <c r="BN37" s="157">
        <f>tFestivos46[[#This Row],[Columna12]]+tFestivos46[[#This Row],[Columna17]]</f>
        <v>0</v>
      </c>
      <c r="BO37" s="159">
        <f>tFestivos46[[#This Row],[Columna1]]-tFestivos46[[#This Row],[Columna18]]</f>
        <v>0</v>
      </c>
    </row>
    <row r="38" spans="1:67" ht="27.6" customHeight="1" x14ac:dyDescent="0.25">
      <c r="A38" s="33"/>
      <c r="B38" s="33"/>
      <c r="C38" s="64"/>
      <c r="D38" s="33"/>
      <c r="E38" s="161"/>
      <c r="F38" s="164">
        <f t="shared" si="4"/>
        <v>0</v>
      </c>
      <c r="G38" s="303" t="str">
        <f>IFERROR(VLOOKUP(C38,'DATOS GRALES 1'!B16:E62,4,0),"")</f>
        <v/>
      </c>
      <c r="H38" s="300"/>
      <c r="I38" s="72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73"/>
      <c r="AN38" s="33"/>
      <c r="AO38" s="81">
        <f t="shared" si="10"/>
        <v>0</v>
      </c>
      <c r="AP38" s="62"/>
      <c r="AQ38" s="81" t="str">
        <f t="shared" si="12"/>
        <v/>
      </c>
      <c r="AR38" s="33"/>
      <c r="AS38" s="81">
        <f t="shared" si="11"/>
        <v>0</v>
      </c>
      <c r="AT38" s="62"/>
      <c r="AU38" s="81" t="str">
        <f t="shared" si="13"/>
        <v/>
      </c>
      <c r="AV38" s="58"/>
      <c r="AW38" s="137">
        <f t="shared" si="5"/>
        <v>0</v>
      </c>
      <c r="AX38" s="170"/>
      <c r="AY38" s="138">
        <f>F38/8*tFestivos46[[#This Row],[Columna2]]</f>
        <v>0</v>
      </c>
      <c r="AZ38" s="170"/>
      <c r="BA38" s="138"/>
      <c r="BB38" s="170"/>
      <c r="BC38" s="138"/>
      <c r="BD38" s="170"/>
      <c r="BE38" s="138"/>
      <c r="BF38" s="170"/>
      <c r="BG38" s="146"/>
      <c r="BH38" s="152">
        <f>tFestivos46[[#This Row],[Columna5]]+tFestivos46[[#This Row],[Columna7]]+tFestivos46[[#This Row],[Columna9]]+tFestivos46[[#This Row],[Columna11]]</f>
        <v>0</v>
      </c>
      <c r="BI38" s="149">
        <f t="shared" si="6"/>
        <v>0</v>
      </c>
      <c r="BJ38" s="138">
        <f t="shared" si="7"/>
        <v>0</v>
      </c>
      <c r="BK38" s="138">
        <f t="shared" si="8"/>
        <v>0</v>
      </c>
      <c r="BL38" s="146">
        <f t="shared" si="9"/>
        <v>0</v>
      </c>
      <c r="BM38" s="155">
        <f>tFestivos46[[#This Row],[Columna13]]+tFestivos46[[#This Row],[Columna14]]+tFestivos46[[#This Row],[Columna15]]+tFestivos46[[#This Row],[Columna16]]</f>
        <v>0</v>
      </c>
      <c r="BN38" s="157">
        <f>tFestivos46[[#This Row],[Columna12]]+tFestivos46[[#This Row],[Columna17]]</f>
        <v>0</v>
      </c>
      <c r="BO38" s="159">
        <f>tFestivos46[[#This Row],[Columna1]]-tFestivos46[[#This Row],[Columna18]]</f>
        <v>0</v>
      </c>
    </row>
    <row r="39" spans="1:67" ht="27.6" customHeight="1" x14ac:dyDescent="0.25">
      <c r="A39" s="33"/>
      <c r="B39" s="33"/>
      <c r="C39" s="64"/>
      <c r="D39" s="33"/>
      <c r="E39" s="161"/>
      <c r="F39" s="164">
        <f t="shared" si="4"/>
        <v>0</v>
      </c>
      <c r="G39" s="303" t="str">
        <f>IFERROR(VLOOKUP(C39,'DATOS GRALES 1'!B17:E63,4,0),"")</f>
        <v/>
      </c>
      <c r="H39" s="300"/>
      <c r="I39" s="72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73"/>
      <c r="AN39" s="33"/>
      <c r="AO39" s="81">
        <f t="shared" si="10"/>
        <v>0</v>
      </c>
      <c r="AP39" s="62"/>
      <c r="AQ39" s="81" t="str">
        <f t="shared" si="12"/>
        <v/>
      </c>
      <c r="AR39" s="33"/>
      <c r="AS39" s="81">
        <f t="shared" si="11"/>
        <v>0</v>
      </c>
      <c r="AT39" s="62"/>
      <c r="AU39" s="81" t="str">
        <f t="shared" si="13"/>
        <v/>
      </c>
      <c r="AV39" s="58"/>
      <c r="AW39" s="137">
        <f t="shared" si="5"/>
        <v>0</v>
      </c>
      <c r="AX39" s="170"/>
      <c r="AY39" s="138">
        <f>F39/8*tFestivos46[[#This Row],[Columna2]]</f>
        <v>0</v>
      </c>
      <c r="AZ39" s="170"/>
      <c r="BA39" s="138"/>
      <c r="BB39" s="170"/>
      <c r="BC39" s="138"/>
      <c r="BD39" s="170"/>
      <c r="BE39" s="138"/>
      <c r="BF39" s="170"/>
      <c r="BG39" s="146"/>
      <c r="BH39" s="152">
        <f>tFestivos46[[#This Row],[Columna5]]+tFestivos46[[#This Row],[Columna7]]+tFestivos46[[#This Row],[Columna9]]+tFestivos46[[#This Row],[Columna11]]</f>
        <v>0</v>
      </c>
      <c r="BI39" s="149">
        <f t="shared" si="6"/>
        <v>0</v>
      </c>
      <c r="BJ39" s="138">
        <f t="shared" si="7"/>
        <v>0</v>
      </c>
      <c r="BK39" s="138">
        <f t="shared" si="8"/>
        <v>0</v>
      </c>
      <c r="BL39" s="146">
        <f t="shared" si="9"/>
        <v>0</v>
      </c>
      <c r="BM39" s="155">
        <f>tFestivos46[[#This Row],[Columna13]]+tFestivos46[[#This Row],[Columna14]]+tFestivos46[[#This Row],[Columna15]]+tFestivos46[[#This Row],[Columna16]]</f>
        <v>0</v>
      </c>
      <c r="BN39" s="157">
        <f>tFestivos46[[#This Row],[Columna12]]+tFestivos46[[#This Row],[Columna17]]</f>
        <v>0</v>
      </c>
      <c r="BO39" s="159">
        <f>tFestivos46[[#This Row],[Columna1]]-tFestivos46[[#This Row],[Columna18]]</f>
        <v>0</v>
      </c>
    </row>
    <row r="40" spans="1:67" ht="27.6" customHeight="1" x14ac:dyDescent="0.25">
      <c r="A40" s="33"/>
      <c r="B40" s="33"/>
      <c r="C40" s="64"/>
      <c r="D40" s="33"/>
      <c r="E40" s="161"/>
      <c r="F40" s="164">
        <f t="shared" si="4"/>
        <v>0</v>
      </c>
      <c r="G40" s="303" t="str">
        <f>IFERROR(VLOOKUP(C40,'DATOS GRALES 1'!B18:E64,4,0),"")</f>
        <v/>
      </c>
      <c r="H40" s="300"/>
      <c r="I40" s="72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73"/>
      <c r="AN40" s="33"/>
      <c r="AO40" s="81">
        <f t="shared" si="10"/>
        <v>0</v>
      </c>
      <c r="AP40" s="62"/>
      <c r="AQ40" s="81" t="str">
        <f t="shared" si="12"/>
        <v/>
      </c>
      <c r="AR40" s="33"/>
      <c r="AS40" s="81">
        <f t="shared" si="11"/>
        <v>0</v>
      </c>
      <c r="AT40" s="62"/>
      <c r="AU40" s="81" t="str">
        <f t="shared" si="13"/>
        <v/>
      </c>
      <c r="AV40" s="58"/>
      <c r="AW40" s="137">
        <f t="shared" si="5"/>
        <v>0</v>
      </c>
      <c r="AX40" s="170"/>
      <c r="AY40" s="138">
        <f>F40/8*tFestivos46[[#This Row],[Columna2]]</f>
        <v>0</v>
      </c>
      <c r="AZ40" s="170"/>
      <c r="BA40" s="138"/>
      <c r="BB40" s="170"/>
      <c r="BC40" s="138"/>
      <c r="BD40" s="170"/>
      <c r="BE40" s="138"/>
      <c r="BF40" s="170"/>
      <c r="BG40" s="146"/>
      <c r="BH40" s="152">
        <f>tFestivos46[[#This Row],[Columna5]]+tFestivos46[[#This Row],[Columna7]]+tFestivos46[[#This Row],[Columna9]]+tFestivos46[[#This Row],[Columna11]]</f>
        <v>0</v>
      </c>
      <c r="BI40" s="149">
        <f t="shared" si="6"/>
        <v>0</v>
      </c>
      <c r="BJ40" s="138">
        <f t="shared" si="7"/>
        <v>0</v>
      </c>
      <c r="BK40" s="138">
        <f t="shared" si="8"/>
        <v>0</v>
      </c>
      <c r="BL40" s="146">
        <f t="shared" si="9"/>
        <v>0</v>
      </c>
      <c r="BM40" s="155">
        <f>tFestivos46[[#This Row],[Columna13]]+tFestivos46[[#This Row],[Columna14]]+tFestivos46[[#This Row],[Columna15]]+tFestivos46[[#This Row],[Columna16]]</f>
        <v>0</v>
      </c>
      <c r="BN40" s="157">
        <f>tFestivos46[[#This Row],[Columna12]]+tFestivos46[[#This Row],[Columna17]]</f>
        <v>0</v>
      </c>
      <c r="BO40" s="159">
        <f>tFestivos46[[#This Row],[Columna1]]-tFestivos46[[#This Row],[Columna18]]</f>
        <v>0</v>
      </c>
    </row>
    <row r="41" spans="1:67" ht="27.6" customHeight="1" x14ac:dyDescent="0.25">
      <c r="A41" s="33"/>
      <c r="B41" s="33"/>
      <c r="C41" s="64"/>
      <c r="D41" s="33"/>
      <c r="E41" s="161"/>
      <c r="F41" s="164">
        <f t="shared" si="4"/>
        <v>0</v>
      </c>
      <c r="G41" s="303" t="str">
        <f>IFERROR(VLOOKUP(C41,'DATOS GRALES 1'!B19:E65,4,0),"")</f>
        <v/>
      </c>
      <c r="H41" s="300"/>
      <c r="I41" s="72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73"/>
      <c r="AN41" s="33"/>
      <c r="AO41" s="81">
        <f t="shared" si="10"/>
        <v>0</v>
      </c>
      <c r="AP41" s="62"/>
      <c r="AQ41" s="81" t="str">
        <f t="shared" si="12"/>
        <v/>
      </c>
      <c r="AR41" s="33"/>
      <c r="AS41" s="81">
        <f t="shared" si="11"/>
        <v>0</v>
      </c>
      <c r="AT41" s="62"/>
      <c r="AU41" s="81" t="str">
        <f t="shared" si="13"/>
        <v/>
      </c>
      <c r="AV41" s="58"/>
      <c r="AW41" s="137">
        <f t="shared" si="5"/>
        <v>0</v>
      </c>
      <c r="AX41" s="170"/>
      <c r="AY41" s="138">
        <f>F41/8*tFestivos46[[#This Row],[Columna2]]</f>
        <v>0</v>
      </c>
      <c r="AZ41" s="170"/>
      <c r="BA41" s="138"/>
      <c r="BB41" s="170"/>
      <c r="BC41" s="138"/>
      <c r="BD41" s="170"/>
      <c r="BE41" s="138"/>
      <c r="BF41" s="170"/>
      <c r="BG41" s="146"/>
      <c r="BH41" s="152">
        <f>tFestivos46[[#This Row],[Columna5]]+tFestivos46[[#This Row],[Columna7]]+tFestivos46[[#This Row],[Columna9]]+tFestivos46[[#This Row],[Columna11]]</f>
        <v>0</v>
      </c>
      <c r="BI41" s="149">
        <f t="shared" si="6"/>
        <v>0</v>
      </c>
      <c r="BJ41" s="138">
        <f t="shared" si="7"/>
        <v>0</v>
      </c>
      <c r="BK41" s="138">
        <f t="shared" si="8"/>
        <v>0</v>
      </c>
      <c r="BL41" s="146">
        <f t="shared" si="9"/>
        <v>0</v>
      </c>
      <c r="BM41" s="155">
        <f>tFestivos46[[#This Row],[Columna13]]+tFestivos46[[#This Row],[Columna14]]+tFestivos46[[#This Row],[Columna15]]+tFestivos46[[#This Row],[Columna16]]</f>
        <v>0</v>
      </c>
      <c r="BN41" s="157">
        <f>tFestivos46[[#This Row],[Columna12]]+tFestivos46[[#This Row],[Columna17]]</f>
        <v>0</v>
      </c>
      <c r="BO41" s="159">
        <f>tFestivos46[[#This Row],[Columna1]]-tFestivos46[[#This Row],[Columna18]]</f>
        <v>0</v>
      </c>
    </row>
    <row r="42" spans="1:67" ht="27.6" customHeight="1" x14ac:dyDescent="0.25">
      <c r="A42" s="33"/>
      <c r="B42" s="33"/>
      <c r="C42" s="64"/>
      <c r="D42" s="33"/>
      <c r="E42" s="161"/>
      <c r="F42" s="164">
        <f t="shared" si="4"/>
        <v>0</v>
      </c>
      <c r="G42" s="303" t="str">
        <f>IFERROR(VLOOKUP(C42,'DATOS GRALES 1'!B20:E66,4,0),"")</f>
        <v/>
      </c>
      <c r="H42" s="300"/>
      <c r="I42" s="72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73"/>
      <c r="AN42" s="33"/>
      <c r="AO42" s="81">
        <f t="shared" si="10"/>
        <v>0</v>
      </c>
      <c r="AP42" s="62"/>
      <c r="AQ42" s="81" t="str">
        <f t="shared" si="12"/>
        <v/>
      </c>
      <c r="AR42" s="33"/>
      <c r="AS42" s="81">
        <f t="shared" si="11"/>
        <v>0</v>
      </c>
      <c r="AT42" s="62"/>
      <c r="AU42" s="81" t="str">
        <f t="shared" si="13"/>
        <v/>
      </c>
      <c r="AV42" s="58"/>
      <c r="AW42" s="137">
        <f t="shared" si="5"/>
        <v>0</v>
      </c>
      <c r="AX42" s="170"/>
      <c r="AY42" s="138">
        <f>F42/8*tFestivos46[[#This Row],[Columna2]]</f>
        <v>0</v>
      </c>
      <c r="AZ42" s="170"/>
      <c r="BA42" s="138"/>
      <c r="BB42" s="170"/>
      <c r="BC42" s="138"/>
      <c r="BD42" s="170"/>
      <c r="BE42" s="138"/>
      <c r="BF42" s="170"/>
      <c r="BG42" s="146"/>
      <c r="BH42" s="152">
        <f>tFestivos46[[#This Row],[Columna5]]+tFestivos46[[#This Row],[Columna7]]+tFestivos46[[#This Row],[Columna9]]+tFestivos46[[#This Row],[Columna11]]</f>
        <v>0</v>
      </c>
      <c r="BI42" s="149">
        <f t="shared" si="6"/>
        <v>0</v>
      </c>
      <c r="BJ42" s="138">
        <f t="shared" si="7"/>
        <v>0</v>
      </c>
      <c r="BK42" s="138">
        <f t="shared" si="8"/>
        <v>0</v>
      </c>
      <c r="BL42" s="146">
        <f t="shared" si="9"/>
        <v>0</v>
      </c>
      <c r="BM42" s="155">
        <f>tFestivos46[[#This Row],[Columna13]]+tFestivos46[[#This Row],[Columna14]]+tFestivos46[[#This Row],[Columna15]]+tFestivos46[[#This Row],[Columna16]]</f>
        <v>0</v>
      </c>
      <c r="BN42" s="157">
        <f>tFestivos46[[#This Row],[Columna12]]+tFestivos46[[#This Row],[Columna17]]</f>
        <v>0</v>
      </c>
      <c r="BO42" s="159">
        <f>tFestivos46[[#This Row],[Columna1]]-tFestivos46[[#This Row],[Columna18]]</f>
        <v>0</v>
      </c>
    </row>
    <row r="43" spans="1:67" ht="27.6" customHeight="1" x14ac:dyDescent="0.25">
      <c r="A43" s="33"/>
      <c r="B43" s="33"/>
      <c r="C43" s="64"/>
      <c r="D43" s="33"/>
      <c r="E43" s="161"/>
      <c r="F43" s="164">
        <f t="shared" si="4"/>
        <v>0</v>
      </c>
      <c r="G43" s="303" t="str">
        <f>IFERROR(VLOOKUP(C43,'DATOS GRALES 1'!B21:E67,4,0),"")</f>
        <v/>
      </c>
      <c r="H43" s="300"/>
      <c r="I43" s="72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73"/>
      <c r="AN43" s="33"/>
      <c r="AO43" s="81">
        <f t="shared" si="10"/>
        <v>0</v>
      </c>
      <c r="AP43" s="62"/>
      <c r="AQ43" s="81" t="str">
        <f t="shared" si="12"/>
        <v/>
      </c>
      <c r="AR43" s="33"/>
      <c r="AS43" s="81">
        <f t="shared" si="11"/>
        <v>0</v>
      </c>
      <c r="AT43" s="62"/>
      <c r="AU43" s="81" t="str">
        <f t="shared" si="13"/>
        <v/>
      </c>
      <c r="AV43" s="58"/>
      <c r="AW43" s="137">
        <f t="shared" si="5"/>
        <v>0</v>
      </c>
      <c r="AX43" s="170"/>
      <c r="AY43" s="138">
        <f>F43/8*tFestivos46[[#This Row],[Columna2]]</f>
        <v>0</v>
      </c>
      <c r="AZ43" s="170"/>
      <c r="BA43" s="138"/>
      <c r="BB43" s="170"/>
      <c r="BC43" s="138"/>
      <c r="BD43" s="170"/>
      <c r="BE43" s="138"/>
      <c r="BF43" s="170"/>
      <c r="BG43" s="146"/>
      <c r="BH43" s="152">
        <f>tFestivos46[[#This Row],[Columna5]]+tFestivos46[[#This Row],[Columna7]]+tFestivos46[[#This Row],[Columna9]]+tFestivos46[[#This Row],[Columna11]]</f>
        <v>0</v>
      </c>
      <c r="BI43" s="149">
        <f t="shared" si="6"/>
        <v>0</v>
      </c>
      <c r="BJ43" s="138">
        <f t="shared" si="7"/>
        <v>0</v>
      </c>
      <c r="BK43" s="138">
        <f t="shared" si="8"/>
        <v>0</v>
      </c>
      <c r="BL43" s="146">
        <f t="shared" si="9"/>
        <v>0</v>
      </c>
      <c r="BM43" s="155">
        <f>tFestivos46[[#This Row],[Columna13]]+tFestivos46[[#This Row],[Columna14]]+tFestivos46[[#This Row],[Columna15]]+tFestivos46[[#This Row],[Columna16]]</f>
        <v>0</v>
      </c>
      <c r="BN43" s="157">
        <f>tFestivos46[[#This Row],[Columna12]]+tFestivos46[[#This Row],[Columna17]]</f>
        <v>0</v>
      </c>
      <c r="BO43" s="159">
        <f>tFestivos46[[#This Row],[Columna1]]-tFestivos46[[#This Row],[Columna18]]</f>
        <v>0</v>
      </c>
    </row>
    <row r="44" spans="1:67" ht="27.6" customHeight="1" x14ac:dyDescent="0.25">
      <c r="A44" s="33"/>
      <c r="B44" s="33"/>
      <c r="C44" s="64"/>
      <c r="D44" s="33"/>
      <c r="E44" s="161"/>
      <c r="F44" s="164">
        <f t="shared" si="4"/>
        <v>0</v>
      </c>
      <c r="G44" s="303" t="str">
        <f>IFERROR(VLOOKUP(C44,'DATOS GRALES 1'!B22:E68,4,0),"")</f>
        <v/>
      </c>
      <c r="H44" s="300"/>
      <c r="I44" s="72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1"/>
      <c r="AL44" s="61"/>
      <c r="AM44" s="73"/>
      <c r="AN44" s="33"/>
      <c r="AO44" s="81">
        <f t="shared" si="10"/>
        <v>0</v>
      </c>
      <c r="AP44" s="62"/>
      <c r="AQ44" s="81" t="str">
        <f t="shared" si="12"/>
        <v/>
      </c>
      <c r="AR44" s="33"/>
      <c r="AS44" s="81">
        <f t="shared" si="11"/>
        <v>0</v>
      </c>
      <c r="AT44" s="62"/>
      <c r="AU44" s="81" t="str">
        <f t="shared" si="13"/>
        <v/>
      </c>
      <c r="AV44" s="58"/>
      <c r="AW44" s="137">
        <f t="shared" si="5"/>
        <v>0</v>
      </c>
      <c r="AX44" s="170"/>
      <c r="AY44" s="138">
        <f>F44/8*tFestivos46[[#This Row],[Columna2]]</f>
        <v>0</v>
      </c>
      <c r="AZ44" s="170"/>
      <c r="BA44" s="138"/>
      <c r="BB44" s="170"/>
      <c r="BC44" s="138"/>
      <c r="BD44" s="170"/>
      <c r="BE44" s="138"/>
      <c r="BF44" s="170"/>
      <c r="BG44" s="146"/>
      <c r="BH44" s="152">
        <f>tFestivos46[[#This Row],[Columna5]]+tFestivos46[[#This Row],[Columna7]]+tFestivos46[[#This Row],[Columna9]]+tFestivos46[[#This Row],[Columna11]]</f>
        <v>0</v>
      </c>
      <c r="BI44" s="149">
        <f t="shared" si="6"/>
        <v>0</v>
      </c>
      <c r="BJ44" s="138">
        <f t="shared" si="7"/>
        <v>0</v>
      </c>
      <c r="BK44" s="138">
        <f t="shared" si="8"/>
        <v>0</v>
      </c>
      <c r="BL44" s="146">
        <f t="shared" si="9"/>
        <v>0</v>
      </c>
      <c r="BM44" s="155">
        <f>tFestivos46[[#This Row],[Columna13]]+tFestivos46[[#This Row],[Columna14]]+tFestivos46[[#This Row],[Columna15]]+tFestivos46[[#This Row],[Columna16]]</f>
        <v>0</v>
      </c>
      <c r="BN44" s="157">
        <f>tFestivos46[[#This Row],[Columna12]]+tFestivos46[[#This Row],[Columna17]]</f>
        <v>0</v>
      </c>
      <c r="BO44" s="159">
        <f>tFestivos46[[#This Row],[Columna1]]-tFestivos46[[#This Row],[Columna18]]</f>
        <v>0</v>
      </c>
    </row>
    <row r="45" spans="1:67" ht="27.6" customHeight="1" x14ac:dyDescent="0.25">
      <c r="A45" s="33"/>
      <c r="B45" s="33"/>
      <c r="C45" s="64"/>
      <c r="D45" s="33"/>
      <c r="E45" s="161"/>
      <c r="F45" s="164">
        <f t="shared" si="4"/>
        <v>0</v>
      </c>
      <c r="G45" s="303" t="str">
        <f>IFERROR(VLOOKUP(C45,'DATOS GRALES 1'!B23:E69,4,0),"")</f>
        <v/>
      </c>
      <c r="H45" s="300"/>
      <c r="I45" s="72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1"/>
      <c r="AL45" s="61"/>
      <c r="AM45" s="73"/>
      <c r="AN45" s="33"/>
      <c r="AO45" s="81">
        <f t="shared" si="10"/>
        <v>0</v>
      </c>
      <c r="AP45" s="62"/>
      <c r="AQ45" s="81" t="str">
        <f t="shared" si="12"/>
        <v/>
      </c>
      <c r="AR45" s="33"/>
      <c r="AS45" s="81">
        <f t="shared" si="11"/>
        <v>0</v>
      </c>
      <c r="AT45" s="62"/>
      <c r="AU45" s="81" t="str">
        <f t="shared" si="13"/>
        <v/>
      </c>
      <c r="AV45" s="58"/>
      <c r="AW45" s="137">
        <f t="shared" si="5"/>
        <v>0</v>
      </c>
      <c r="AX45" s="170"/>
      <c r="AY45" s="138">
        <f>F45/8*tFestivos46[[#This Row],[Columna2]]</f>
        <v>0</v>
      </c>
      <c r="AZ45" s="170"/>
      <c r="BA45" s="138"/>
      <c r="BB45" s="170"/>
      <c r="BC45" s="138"/>
      <c r="BD45" s="170"/>
      <c r="BE45" s="138"/>
      <c r="BF45" s="170"/>
      <c r="BG45" s="146"/>
      <c r="BH45" s="152">
        <f>tFestivos46[[#This Row],[Columna5]]+tFestivos46[[#This Row],[Columna7]]+tFestivos46[[#This Row],[Columna9]]+tFestivos46[[#This Row],[Columna11]]</f>
        <v>0</v>
      </c>
      <c r="BI45" s="149">
        <f t="shared" si="6"/>
        <v>0</v>
      </c>
      <c r="BJ45" s="138">
        <f t="shared" si="7"/>
        <v>0</v>
      </c>
      <c r="BK45" s="138">
        <f t="shared" si="8"/>
        <v>0</v>
      </c>
      <c r="BL45" s="146">
        <f t="shared" si="9"/>
        <v>0</v>
      </c>
      <c r="BM45" s="155">
        <f>tFestivos46[[#This Row],[Columna13]]+tFestivos46[[#This Row],[Columna14]]+tFestivos46[[#This Row],[Columna15]]+tFestivos46[[#This Row],[Columna16]]</f>
        <v>0</v>
      </c>
      <c r="BN45" s="157">
        <f>tFestivos46[[#This Row],[Columna12]]+tFestivos46[[#This Row],[Columna17]]</f>
        <v>0</v>
      </c>
      <c r="BO45" s="159">
        <f>tFestivos46[[#This Row],[Columna1]]-tFestivos46[[#This Row],[Columna18]]</f>
        <v>0</v>
      </c>
    </row>
    <row r="46" spans="1:67" ht="27.6" customHeight="1" x14ac:dyDescent="0.25">
      <c r="A46" s="33"/>
      <c r="B46" s="33"/>
      <c r="C46" s="64"/>
      <c r="D46" s="33"/>
      <c r="E46" s="161"/>
      <c r="F46" s="164">
        <f t="shared" si="4"/>
        <v>0</v>
      </c>
      <c r="G46" s="303" t="str">
        <f>IFERROR(VLOOKUP(C46,'DATOS GRALES 1'!B24:E70,4,0),"")</f>
        <v/>
      </c>
      <c r="H46" s="300"/>
      <c r="I46" s="72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  <c r="AL46" s="61"/>
      <c r="AM46" s="73"/>
      <c r="AN46" s="33"/>
      <c r="AO46" s="81">
        <f t="shared" si="10"/>
        <v>0</v>
      </c>
      <c r="AP46" s="62"/>
      <c r="AQ46" s="81" t="str">
        <f t="shared" si="12"/>
        <v/>
      </c>
      <c r="AR46" s="33"/>
      <c r="AS46" s="81">
        <f t="shared" si="11"/>
        <v>0</v>
      </c>
      <c r="AT46" s="62"/>
      <c r="AU46" s="81" t="str">
        <f t="shared" si="13"/>
        <v/>
      </c>
      <c r="AV46" s="58"/>
      <c r="AW46" s="137">
        <f t="shared" si="5"/>
        <v>0</v>
      </c>
      <c r="AX46" s="170"/>
      <c r="AY46" s="138">
        <f>F46/8*tFestivos46[[#This Row],[Columna2]]</f>
        <v>0</v>
      </c>
      <c r="AZ46" s="170"/>
      <c r="BA46" s="138"/>
      <c r="BB46" s="170"/>
      <c r="BC46" s="138"/>
      <c r="BD46" s="170"/>
      <c r="BE46" s="138"/>
      <c r="BF46" s="170"/>
      <c r="BG46" s="146"/>
      <c r="BH46" s="152">
        <f>tFestivos46[[#This Row],[Columna5]]+tFestivos46[[#This Row],[Columna7]]+tFestivos46[[#This Row],[Columna9]]+tFestivos46[[#This Row],[Columna11]]</f>
        <v>0</v>
      </c>
      <c r="BI46" s="149">
        <f t="shared" si="6"/>
        <v>0</v>
      </c>
      <c r="BJ46" s="138">
        <f t="shared" si="7"/>
        <v>0</v>
      </c>
      <c r="BK46" s="138">
        <f t="shared" si="8"/>
        <v>0</v>
      </c>
      <c r="BL46" s="146">
        <f t="shared" si="9"/>
        <v>0</v>
      </c>
      <c r="BM46" s="155">
        <f>tFestivos46[[#This Row],[Columna13]]+tFestivos46[[#This Row],[Columna14]]+tFestivos46[[#This Row],[Columna15]]+tFestivos46[[#This Row],[Columna16]]</f>
        <v>0</v>
      </c>
      <c r="BN46" s="157">
        <f>tFestivos46[[#This Row],[Columna12]]+tFestivos46[[#This Row],[Columna17]]</f>
        <v>0</v>
      </c>
      <c r="BO46" s="159">
        <f>tFestivos46[[#This Row],[Columna1]]-tFestivos46[[#This Row],[Columna18]]</f>
        <v>0</v>
      </c>
    </row>
    <row r="47" spans="1:67" ht="27.6" customHeight="1" x14ac:dyDescent="0.25">
      <c r="A47" s="33"/>
      <c r="B47" s="33"/>
      <c r="C47" s="64"/>
      <c r="D47" s="33"/>
      <c r="E47" s="161"/>
      <c r="F47" s="164">
        <f t="shared" si="4"/>
        <v>0</v>
      </c>
      <c r="G47" s="303" t="str">
        <f>IFERROR(VLOOKUP(C47,'DATOS GRALES 1'!B25:E71,4,0),"")</f>
        <v/>
      </c>
      <c r="H47" s="300"/>
      <c r="I47" s="72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73"/>
      <c r="AN47" s="33"/>
      <c r="AO47" s="81">
        <f t="shared" si="10"/>
        <v>0</v>
      </c>
      <c r="AP47" s="62"/>
      <c r="AQ47" s="81" t="str">
        <f t="shared" si="12"/>
        <v/>
      </c>
      <c r="AR47" s="33"/>
      <c r="AS47" s="81">
        <f t="shared" si="11"/>
        <v>0</v>
      </c>
      <c r="AT47" s="62"/>
      <c r="AU47" s="81" t="str">
        <f t="shared" si="13"/>
        <v/>
      </c>
      <c r="AV47" s="58"/>
      <c r="AW47" s="137">
        <f t="shared" si="5"/>
        <v>0</v>
      </c>
      <c r="AX47" s="170"/>
      <c r="AY47" s="138">
        <f>F47/8*tFestivos46[[#This Row],[Columna2]]</f>
        <v>0</v>
      </c>
      <c r="AZ47" s="170"/>
      <c r="BA47" s="138"/>
      <c r="BB47" s="170"/>
      <c r="BC47" s="138"/>
      <c r="BD47" s="170"/>
      <c r="BE47" s="138"/>
      <c r="BF47" s="170"/>
      <c r="BG47" s="146"/>
      <c r="BH47" s="152">
        <f>tFestivos46[[#This Row],[Columna5]]+tFestivos46[[#This Row],[Columna7]]+tFestivos46[[#This Row],[Columna9]]+tFestivos46[[#This Row],[Columna11]]</f>
        <v>0</v>
      </c>
      <c r="BI47" s="149">
        <f t="shared" si="6"/>
        <v>0</v>
      </c>
      <c r="BJ47" s="138">
        <f t="shared" si="7"/>
        <v>0</v>
      </c>
      <c r="BK47" s="138">
        <f t="shared" si="8"/>
        <v>0</v>
      </c>
      <c r="BL47" s="146">
        <f t="shared" si="9"/>
        <v>0</v>
      </c>
      <c r="BM47" s="155">
        <f>tFestivos46[[#This Row],[Columna13]]+tFestivos46[[#This Row],[Columna14]]+tFestivos46[[#This Row],[Columna15]]+tFestivos46[[#This Row],[Columna16]]</f>
        <v>0</v>
      </c>
      <c r="BN47" s="157">
        <f>tFestivos46[[#This Row],[Columna12]]+tFestivos46[[#This Row],[Columna17]]</f>
        <v>0</v>
      </c>
      <c r="BO47" s="159">
        <f>tFestivos46[[#This Row],[Columna1]]-tFestivos46[[#This Row],[Columna18]]</f>
        <v>0</v>
      </c>
    </row>
    <row r="48" spans="1:67" ht="27.6" customHeight="1" x14ac:dyDescent="0.25">
      <c r="A48" s="33"/>
      <c r="B48" s="33"/>
      <c r="C48" s="64"/>
      <c r="D48" s="33"/>
      <c r="E48" s="161"/>
      <c r="F48" s="164">
        <f t="shared" si="4"/>
        <v>0</v>
      </c>
      <c r="G48" s="303" t="str">
        <f>IFERROR(VLOOKUP(C48,'DATOS GRALES 1'!B26:E72,4,0),"")</f>
        <v/>
      </c>
      <c r="H48" s="300"/>
      <c r="I48" s="72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73"/>
      <c r="AN48" s="33"/>
      <c r="AO48" s="81">
        <f t="shared" si="10"/>
        <v>0</v>
      </c>
      <c r="AP48" s="62"/>
      <c r="AQ48" s="81" t="str">
        <f t="shared" si="12"/>
        <v/>
      </c>
      <c r="AR48" s="33"/>
      <c r="AS48" s="81">
        <f t="shared" si="11"/>
        <v>0</v>
      </c>
      <c r="AT48" s="62"/>
      <c r="AU48" s="81" t="str">
        <f t="shared" si="13"/>
        <v/>
      </c>
      <c r="AV48" s="58"/>
      <c r="AW48" s="137">
        <f t="shared" si="5"/>
        <v>0</v>
      </c>
      <c r="AX48" s="170"/>
      <c r="AY48" s="138">
        <f>F48/8*tFestivos46[[#This Row],[Columna2]]</f>
        <v>0</v>
      </c>
      <c r="AZ48" s="170"/>
      <c r="BA48" s="138"/>
      <c r="BB48" s="170"/>
      <c r="BC48" s="138"/>
      <c r="BD48" s="170"/>
      <c r="BE48" s="138"/>
      <c r="BF48" s="170"/>
      <c r="BG48" s="146"/>
      <c r="BH48" s="152">
        <f>tFestivos46[[#This Row],[Columna5]]+tFestivos46[[#This Row],[Columna7]]+tFestivos46[[#This Row],[Columna9]]+tFestivos46[[#This Row],[Columna11]]</f>
        <v>0</v>
      </c>
      <c r="BI48" s="149">
        <f t="shared" si="6"/>
        <v>0</v>
      </c>
      <c r="BJ48" s="138">
        <f t="shared" si="7"/>
        <v>0</v>
      </c>
      <c r="BK48" s="138">
        <f t="shared" si="8"/>
        <v>0</v>
      </c>
      <c r="BL48" s="146">
        <f t="shared" si="9"/>
        <v>0</v>
      </c>
      <c r="BM48" s="155">
        <f>tFestivos46[[#This Row],[Columna13]]+tFestivos46[[#This Row],[Columna14]]+tFestivos46[[#This Row],[Columna15]]+tFestivos46[[#This Row],[Columna16]]</f>
        <v>0</v>
      </c>
      <c r="BN48" s="157">
        <f>tFestivos46[[#This Row],[Columna12]]+tFestivos46[[#This Row],[Columna17]]</f>
        <v>0</v>
      </c>
      <c r="BO48" s="159">
        <f>tFestivos46[[#This Row],[Columna1]]-tFestivos46[[#This Row],[Columna18]]</f>
        <v>0</v>
      </c>
    </row>
    <row r="49" spans="1:67" ht="27.6" customHeight="1" x14ac:dyDescent="0.25">
      <c r="A49" s="33"/>
      <c r="B49" s="33"/>
      <c r="C49" s="64"/>
      <c r="D49" s="33"/>
      <c r="E49" s="161"/>
      <c r="F49" s="164">
        <f t="shared" si="4"/>
        <v>0</v>
      </c>
      <c r="G49" s="303" t="str">
        <f>IFERROR(VLOOKUP(C49,'DATOS GRALES 1'!B27:E73,4,0),"")</f>
        <v/>
      </c>
      <c r="H49" s="300"/>
      <c r="I49" s="72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73"/>
      <c r="AN49" s="33"/>
      <c r="AO49" s="81">
        <f t="shared" si="10"/>
        <v>0</v>
      </c>
      <c r="AP49" s="62"/>
      <c r="AQ49" s="81" t="str">
        <f t="shared" si="12"/>
        <v/>
      </c>
      <c r="AR49" s="33"/>
      <c r="AS49" s="81">
        <f t="shared" si="11"/>
        <v>0</v>
      </c>
      <c r="AT49" s="62"/>
      <c r="AU49" s="81" t="str">
        <f t="shared" si="13"/>
        <v/>
      </c>
      <c r="AV49" s="58"/>
      <c r="AW49" s="137">
        <f t="shared" si="5"/>
        <v>0</v>
      </c>
      <c r="AX49" s="170"/>
      <c r="AY49" s="138">
        <f>F49/8*tFestivos46[[#This Row],[Columna2]]</f>
        <v>0</v>
      </c>
      <c r="AZ49" s="170"/>
      <c r="BA49" s="138"/>
      <c r="BB49" s="170"/>
      <c r="BC49" s="138"/>
      <c r="BD49" s="170"/>
      <c r="BE49" s="138"/>
      <c r="BF49" s="170"/>
      <c r="BG49" s="146"/>
      <c r="BH49" s="152">
        <f>tFestivos46[[#This Row],[Columna5]]+tFestivos46[[#This Row],[Columna7]]+tFestivos46[[#This Row],[Columna9]]+tFestivos46[[#This Row],[Columna11]]</f>
        <v>0</v>
      </c>
      <c r="BI49" s="149">
        <f t="shared" si="6"/>
        <v>0</v>
      </c>
      <c r="BJ49" s="138">
        <f t="shared" si="7"/>
        <v>0</v>
      </c>
      <c r="BK49" s="138">
        <f t="shared" si="8"/>
        <v>0</v>
      </c>
      <c r="BL49" s="146">
        <f t="shared" si="9"/>
        <v>0</v>
      </c>
      <c r="BM49" s="155">
        <f>tFestivos46[[#This Row],[Columna13]]+tFestivos46[[#This Row],[Columna14]]+tFestivos46[[#This Row],[Columna15]]+tFestivos46[[#This Row],[Columna16]]</f>
        <v>0</v>
      </c>
      <c r="BN49" s="157">
        <f>tFestivos46[[#This Row],[Columna12]]+tFestivos46[[#This Row],[Columna17]]</f>
        <v>0</v>
      </c>
      <c r="BO49" s="159">
        <f>tFestivos46[[#This Row],[Columna1]]-tFestivos46[[#This Row],[Columna18]]</f>
        <v>0</v>
      </c>
    </row>
    <row r="50" spans="1:67" ht="27.6" customHeight="1" x14ac:dyDescent="0.25">
      <c r="A50" s="33"/>
      <c r="B50" s="33"/>
      <c r="C50" s="64"/>
      <c r="D50" s="33"/>
      <c r="E50" s="161"/>
      <c r="F50" s="164">
        <f t="shared" si="4"/>
        <v>0</v>
      </c>
      <c r="G50" s="303" t="str">
        <f>IFERROR(VLOOKUP(C50,'DATOS GRALES 1'!B28:E74,4,0),"")</f>
        <v/>
      </c>
      <c r="H50" s="300"/>
      <c r="I50" s="72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  <c r="AH50" s="61"/>
      <c r="AI50" s="61"/>
      <c r="AJ50" s="61"/>
      <c r="AK50" s="61"/>
      <c r="AL50" s="61"/>
      <c r="AM50" s="73"/>
      <c r="AN50" s="33"/>
      <c r="AO50" s="81">
        <f t="shared" si="10"/>
        <v>0</v>
      </c>
      <c r="AP50" s="62"/>
      <c r="AQ50" s="81" t="str">
        <f t="shared" si="12"/>
        <v/>
      </c>
      <c r="AR50" s="33"/>
      <c r="AS50" s="81">
        <f t="shared" si="11"/>
        <v>0</v>
      </c>
      <c r="AT50" s="62"/>
      <c r="AU50" s="81" t="str">
        <f t="shared" si="13"/>
        <v/>
      </c>
      <c r="AV50" s="58"/>
      <c r="AW50" s="137">
        <f t="shared" si="5"/>
        <v>0</v>
      </c>
      <c r="AX50" s="170"/>
      <c r="AY50" s="138">
        <f>F50/8*tFestivos46[[#This Row],[Columna2]]</f>
        <v>0</v>
      </c>
      <c r="AZ50" s="170"/>
      <c r="BA50" s="138"/>
      <c r="BB50" s="170"/>
      <c r="BC50" s="138"/>
      <c r="BD50" s="170"/>
      <c r="BE50" s="138"/>
      <c r="BF50" s="170"/>
      <c r="BG50" s="146"/>
      <c r="BH50" s="152">
        <f>tFestivos46[[#This Row],[Columna5]]+tFestivos46[[#This Row],[Columna7]]+tFestivos46[[#This Row],[Columna9]]+tFestivos46[[#This Row],[Columna11]]</f>
        <v>0</v>
      </c>
      <c r="BI50" s="149">
        <f t="shared" si="6"/>
        <v>0</v>
      </c>
      <c r="BJ50" s="138">
        <f t="shared" si="7"/>
        <v>0</v>
      </c>
      <c r="BK50" s="138">
        <f t="shared" si="8"/>
        <v>0</v>
      </c>
      <c r="BL50" s="146">
        <f t="shared" si="9"/>
        <v>0</v>
      </c>
      <c r="BM50" s="155">
        <f>tFestivos46[[#This Row],[Columna13]]+tFestivos46[[#This Row],[Columna14]]+tFestivos46[[#This Row],[Columna15]]+tFestivos46[[#This Row],[Columna16]]</f>
        <v>0</v>
      </c>
      <c r="BN50" s="157">
        <f>tFestivos46[[#This Row],[Columna12]]+tFestivos46[[#This Row],[Columna17]]</f>
        <v>0</v>
      </c>
      <c r="BO50" s="159">
        <f>tFestivos46[[#This Row],[Columna1]]-tFestivos46[[#This Row],[Columna18]]</f>
        <v>0</v>
      </c>
    </row>
    <row r="51" spans="1:67" ht="27.6" customHeight="1" thickBot="1" x14ac:dyDescent="0.3">
      <c r="A51" s="33"/>
      <c r="B51" s="33"/>
      <c r="C51" s="65"/>
      <c r="D51" s="33"/>
      <c r="E51" s="162"/>
      <c r="F51" s="165">
        <f t="shared" si="4"/>
        <v>0</v>
      </c>
      <c r="G51" s="304" t="str">
        <f>IFERROR(VLOOKUP(C51,'DATOS GRALES 1'!B29:E75,4,0),"")</f>
        <v/>
      </c>
      <c r="H51" s="305"/>
      <c r="I51" s="74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5"/>
      <c r="AD51" s="75"/>
      <c r="AE51" s="75"/>
      <c r="AF51" s="75"/>
      <c r="AG51" s="75"/>
      <c r="AH51" s="75"/>
      <c r="AI51" s="75"/>
      <c r="AJ51" s="75"/>
      <c r="AK51" s="75"/>
      <c r="AL51" s="75"/>
      <c r="AM51" s="76"/>
      <c r="AN51" s="33"/>
      <c r="AO51" s="81">
        <f t="shared" si="10"/>
        <v>0</v>
      </c>
      <c r="AP51" s="62"/>
      <c r="AQ51" s="82" t="str">
        <f t="shared" si="12"/>
        <v/>
      </c>
      <c r="AR51" s="33"/>
      <c r="AS51" s="81">
        <f t="shared" si="11"/>
        <v>0</v>
      </c>
      <c r="AT51" s="62"/>
      <c r="AU51" s="87" t="str">
        <f t="shared" si="13"/>
        <v/>
      </c>
      <c r="AV51" s="58"/>
      <c r="AW51" s="172">
        <f t="shared" si="5"/>
        <v>0</v>
      </c>
      <c r="AX51" s="173"/>
      <c r="AY51" s="174">
        <f>F51/8*tFestivos46[[#This Row],[Columna2]]</f>
        <v>0</v>
      </c>
      <c r="AZ51" s="173"/>
      <c r="BA51" s="174"/>
      <c r="BB51" s="173"/>
      <c r="BC51" s="174"/>
      <c r="BD51" s="173"/>
      <c r="BE51" s="174"/>
      <c r="BF51" s="173"/>
      <c r="BG51" s="175"/>
      <c r="BH51" s="176">
        <f>tFestivos46[[#This Row],[Columna5]]+tFestivos46[[#This Row],[Columna7]]+tFestivos46[[#This Row],[Columna9]]+tFestivos46[[#This Row],[Columna11]]</f>
        <v>0</v>
      </c>
      <c r="BI51" s="177">
        <f t="shared" si="6"/>
        <v>0</v>
      </c>
      <c r="BJ51" s="174">
        <f t="shared" si="7"/>
        <v>0</v>
      </c>
      <c r="BK51" s="174">
        <f t="shared" si="8"/>
        <v>0</v>
      </c>
      <c r="BL51" s="175">
        <f t="shared" si="9"/>
        <v>0</v>
      </c>
      <c r="BM51" s="178">
        <f>tFestivos46[[#This Row],[Columna13]]+tFestivos46[[#This Row],[Columna14]]+tFestivos46[[#This Row],[Columna15]]+tFestivos46[[#This Row],[Columna16]]</f>
        <v>0</v>
      </c>
      <c r="BN51" s="179">
        <f>tFestivos46[[#This Row],[Columna12]]+tFestivos46[[#This Row],[Columna17]]</f>
        <v>0</v>
      </c>
      <c r="BO51" s="180">
        <f>tFestivos46[[#This Row],[Columna1]]-tFestivos46[[#This Row],[Columna18]]</f>
        <v>0</v>
      </c>
    </row>
    <row r="52" spans="1:67" ht="28.15" customHeight="1" thickBot="1" x14ac:dyDescent="0.3">
      <c r="AV52" s="58"/>
      <c r="AW52" s="181">
        <f>SUBTOTAL(109,tFestivos46[Columna1])</f>
        <v>42180</v>
      </c>
      <c r="AX52" s="182"/>
      <c r="AY52" s="183">
        <f>SUBTOTAL(109,tFestivos46[Columna3])</f>
        <v>206.25</v>
      </c>
      <c r="AZ52" s="182"/>
      <c r="BA52" s="183">
        <f>SUBTOTAL(109,tFestivos46[Columna5])</f>
        <v>520</v>
      </c>
      <c r="BB52" s="182"/>
      <c r="BC52" s="183">
        <f>SUBTOTAL(109,tFestivos46[Columna7])</f>
        <v>350</v>
      </c>
      <c r="BD52" s="182"/>
      <c r="BE52" s="183">
        <f>SUBTOTAL(109,tFestivos46[Columna9])</f>
        <v>250</v>
      </c>
      <c r="BF52" s="182"/>
      <c r="BG52" s="184">
        <f>SUBTOTAL(109,tFestivos46[Columna11])</f>
        <v>150</v>
      </c>
      <c r="BH52" s="187">
        <f>SUBTOTAL(109,tFestivos46[Columna12])</f>
        <v>1270</v>
      </c>
      <c r="BI52" s="185">
        <f>SUBTOTAL(109,tFestivos46[Columna13])</f>
        <v>4602</v>
      </c>
      <c r="BJ52" s="183">
        <f>SUBTOTAL(109,tFestivos46[Columna14])</f>
        <v>708</v>
      </c>
      <c r="BK52" s="183">
        <f>SUBTOTAL(109,tFestivos46[Columna15])</f>
        <v>4602</v>
      </c>
      <c r="BL52" s="184">
        <f>SUBTOTAL(109,tFestivos46[Columna16])</f>
        <v>708</v>
      </c>
      <c r="BM52" s="186">
        <f>SUBTOTAL(109,tFestivos46[Columna17])</f>
        <v>10620</v>
      </c>
      <c r="BN52" s="187">
        <f>SUBTOTAL(109,tFestivos46[Columna18])</f>
        <v>11890</v>
      </c>
      <c r="BO52" s="188">
        <f>SUBTOTAL(109,tFestivos46[Columna19])</f>
        <v>30290</v>
      </c>
    </row>
  </sheetData>
  <mergeCells count="76">
    <mergeCell ref="G49:H49"/>
    <mergeCell ref="G50:H50"/>
    <mergeCell ref="G51:H51"/>
    <mergeCell ref="G43:H43"/>
    <mergeCell ref="G44:H44"/>
    <mergeCell ref="G45:H45"/>
    <mergeCell ref="G46:H46"/>
    <mergeCell ref="G47:H47"/>
    <mergeCell ref="G48:H48"/>
    <mergeCell ref="G42:H42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30:H30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AM8:AM11"/>
    <mergeCell ref="G13:H13"/>
    <mergeCell ref="G15:H15"/>
    <mergeCell ref="G16:H16"/>
    <mergeCell ref="G17:H17"/>
    <mergeCell ref="AK8:AK11"/>
    <mergeCell ref="AL8:AL11"/>
    <mergeCell ref="Z8:Z11"/>
    <mergeCell ref="O8:O11"/>
    <mergeCell ref="P8:P11"/>
    <mergeCell ref="Q8:Q11"/>
    <mergeCell ref="R8:R11"/>
    <mergeCell ref="S8:S11"/>
    <mergeCell ref="T8:T11"/>
    <mergeCell ref="I8:I11"/>
    <mergeCell ref="J8:J11"/>
    <mergeCell ref="G18:H18"/>
    <mergeCell ref="AG8:AG11"/>
    <mergeCell ref="AH8:AH11"/>
    <mergeCell ref="AI8:AI11"/>
    <mergeCell ref="AJ8:AJ11"/>
    <mergeCell ref="AA8:AA11"/>
    <mergeCell ref="AB8:AB11"/>
    <mergeCell ref="AC8:AC11"/>
    <mergeCell ref="AD8:AD11"/>
    <mergeCell ref="AE8:AE11"/>
    <mergeCell ref="AF8:AF11"/>
    <mergeCell ref="U8:U11"/>
    <mergeCell ref="V8:V11"/>
    <mergeCell ref="W8:W11"/>
    <mergeCell ref="X8:X11"/>
    <mergeCell ref="Y8:Y11"/>
    <mergeCell ref="K8:K11"/>
    <mergeCell ref="L8:L11"/>
    <mergeCell ref="M8:M11"/>
    <mergeCell ref="N8:N11"/>
    <mergeCell ref="G4:I4"/>
    <mergeCell ref="G6:I6"/>
    <mergeCell ref="AF4:AG4"/>
    <mergeCell ref="AI4:AJ4"/>
    <mergeCell ref="X5:AC6"/>
    <mergeCell ref="AF5:AH6"/>
    <mergeCell ref="AI5:AJ6"/>
  </mergeCells>
  <phoneticPr fontId="11" type="noConversion"/>
  <conditionalFormatting sqref="D15:F51">
    <cfRule type="expression" dxfId="31" priority="4">
      <formula>AND(_HorasExtras="SI",OR(_Datos&gt;_PorEncimade))</formula>
    </cfRule>
  </conditionalFormatting>
  <conditionalFormatting sqref="I8:AM12">
    <cfRule type="expression" dxfId="30" priority="11">
      <formula>MONTH(_Fechainicial)&lt;&gt;MONTH($G$4&amp;1)</formula>
    </cfRule>
  </conditionalFormatting>
  <conditionalFormatting sqref="I12:AM12">
    <cfRule type="expression" dxfId="29" priority="7">
      <formula>OR(WEEKDAY(_Fechainicial,2)&gt;=7,ISNUMBER(MATCH(_Fechainicial,nFestivo,0)),MONTH(_Fechainicial)&lt;&gt;MONTH($G$4&amp;1))</formula>
    </cfRule>
    <cfRule type="expression" dxfId="28" priority="9">
      <formula>MONTH(_Fechainicial)=MONTH($G$4&amp;1)</formula>
    </cfRule>
  </conditionalFormatting>
  <conditionalFormatting sqref="I13:AM13">
    <cfRule type="expression" dxfId="27" priority="10">
      <formula>MONTH(_Fechainicial)&lt;&gt;MONTH($G$4&amp;1)</formula>
    </cfRule>
    <cfRule type="expression" dxfId="26" priority="13">
      <formula>WEEKDAY(_Fechainicial,2)&gt;WEEKDAY(_FechaSiguiente,2)</formula>
    </cfRule>
  </conditionalFormatting>
  <conditionalFormatting sqref="I15:AM51">
    <cfRule type="containsText" dxfId="25" priority="1" operator="containsText" text="MED">
      <formula>NOT(ISERROR(SEARCH("MED",I15)))</formula>
    </cfRule>
    <cfRule type="containsText" dxfId="24" priority="2" operator="containsText" text="NO">
      <formula>NOT(ISERROR(SEARCH("NO",I15)))</formula>
    </cfRule>
    <cfRule type="containsText" dxfId="23" priority="3" operator="containsText" text="SI">
      <formula>NOT(ISERROR(SEARCH("SI",I15)))</formula>
    </cfRule>
  </conditionalFormatting>
  <conditionalFormatting sqref="AQ4">
    <cfRule type="expression" dxfId="22" priority="6">
      <formula>_HorasExtras="NO"</formula>
    </cfRule>
  </conditionalFormatting>
  <conditionalFormatting sqref="AQ6">
    <cfRule type="expression" dxfId="21" priority="5">
      <formula>_HorasExtras="NO"</formula>
    </cfRule>
  </conditionalFormatting>
  <dataValidations count="3">
    <dataValidation type="list" allowBlank="1" showInputMessage="1" showErrorMessage="1" sqref="G4:I4" xr:uid="{FB1AD685-207B-49FC-AA49-8CBC8A8ABDAB}">
      <formula1>"Enero, Febrero, Marzo, Abril, Mayo, Junio, Julio, Agosto, Setiembre, Octubre, Noviembre, Diciembre"</formula1>
    </dataValidation>
    <dataValidation type="list" allowBlank="1" showInputMessage="1" showErrorMessage="1" sqref="AQ4" xr:uid="{4C8B61DA-50AE-4EE8-AD65-CB7E531FE684}">
      <formula1>"SI, NO"</formula1>
    </dataValidation>
    <dataValidation type="list" allowBlank="1" showInputMessage="1" showErrorMessage="1" sqref="AQ6" xr:uid="{111383AD-9A57-4904-86F4-AEA55B3E0BB7}">
      <formula1>"8, 9, 10"</formula1>
    </dataValidation>
  </dataValidations>
  <pageMargins left="0.21" right="0.2" top="0.31" bottom="0.27" header="0.3" footer="0.3"/>
  <pageSetup paperSize="9" scale="46" orientation="landscape" horizontalDpi="4294967293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AB35A52-5693-48DB-86ED-F92C4A367AF7}">
          <x14:formula1>
            <xm:f>'DATOS GRALES 1'!$B$2:$B$36</xm:f>
          </x14:formula1>
          <xm:sqref>C15:C51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DA476-9288-4C0C-B5AA-0E6E02A40F65}">
  <dimension ref="B2:CG62"/>
  <sheetViews>
    <sheetView topLeftCell="A13" workbookViewId="0">
      <pane xSplit="3" topLeftCell="H1" activePane="topRight" state="frozen"/>
      <selection pane="topRight" activeCell="H11" sqref="H11:AX11"/>
    </sheetView>
  </sheetViews>
  <sheetFormatPr baseColWidth="10" defaultRowHeight="15" x14ac:dyDescent="0.25"/>
  <cols>
    <col min="1" max="1" width="1.42578125" customWidth="1"/>
    <col min="2" max="2" width="39.7109375" customWidth="1"/>
    <col min="3" max="3" width="1.140625" customWidth="1"/>
    <col min="4" max="4" width="16.28515625" customWidth="1"/>
    <col min="7" max="7" width="1.28515625" customWidth="1"/>
    <col min="8" max="50" width="4.85546875" customWidth="1"/>
    <col min="51" max="51" width="0.85546875" customWidth="1"/>
    <col min="52" max="55" width="6.7109375" style="191" customWidth="1"/>
    <col min="56" max="56" width="2" customWidth="1"/>
    <col min="60" max="60" width="0.5703125" customWidth="1"/>
    <col min="69" max="69" width="13.5703125" customWidth="1"/>
    <col min="70" max="70" width="1.42578125" customWidth="1"/>
    <col min="71" max="74" width="12.7109375" customWidth="1"/>
    <col min="76" max="76" width="0.85546875" customWidth="1"/>
    <col min="77" max="77" width="11.85546875" customWidth="1"/>
    <col min="78" max="78" width="1.28515625" customWidth="1"/>
    <col min="79" max="79" width="11.85546875" customWidth="1"/>
  </cols>
  <sheetData>
    <row r="2" spans="2:85" x14ac:dyDescent="0.25">
      <c r="B2" s="27" t="s">
        <v>40</v>
      </c>
      <c r="C2" s="27"/>
      <c r="D2" s="27" t="s">
        <v>41</v>
      </c>
    </row>
    <row r="4" spans="2:85" x14ac:dyDescent="0.25">
      <c r="B4" s="27">
        <v>2025</v>
      </c>
      <c r="C4" s="27"/>
    </row>
    <row r="7" spans="2:85" ht="2.4500000000000002" customHeight="1" x14ac:dyDescent="0.25"/>
    <row r="8" spans="2:85" ht="2.4500000000000002" customHeight="1" x14ac:dyDescent="0.25"/>
    <row r="9" spans="2:85" ht="51" customHeight="1" x14ac:dyDescent="0.25">
      <c r="H9" s="189">
        <f>DATE(B4,MONTH(B2&amp;1),8)</f>
        <v>45908</v>
      </c>
      <c r="I9" s="189">
        <f>H9+1</f>
        <v>45909</v>
      </c>
      <c r="J9" s="189">
        <f t="shared" ref="J9:AX9" si="0">I9+1</f>
        <v>45910</v>
      </c>
      <c r="K9" s="189">
        <f t="shared" si="0"/>
        <v>45911</v>
      </c>
      <c r="L9" s="189">
        <f t="shared" si="0"/>
        <v>45912</v>
      </c>
      <c r="M9" s="189">
        <f t="shared" si="0"/>
        <v>45913</v>
      </c>
      <c r="N9" s="189">
        <f t="shared" si="0"/>
        <v>45914</v>
      </c>
      <c r="O9" s="189">
        <f t="shared" si="0"/>
        <v>45915</v>
      </c>
      <c r="P9" s="189">
        <f t="shared" si="0"/>
        <v>45916</v>
      </c>
      <c r="Q9" s="189">
        <f t="shared" si="0"/>
        <v>45917</v>
      </c>
      <c r="R9" s="189">
        <f t="shared" si="0"/>
        <v>45918</v>
      </c>
      <c r="S9" s="189">
        <f t="shared" si="0"/>
        <v>45919</v>
      </c>
      <c r="T9" s="189">
        <f t="shared" si="0"/>
        <v>45920</v>
      </c>
      <c r="U9" s="189">
        <f t="shared" si="0"/>
        <v>45921</v>
      </c>
      <c r="V9" s="189">
        <f t="shared" si="0"/>
        <v>45922</v>
      </c>
      <c r="W9" s="189">
        <f t="shared" si="0"/>
        <v>45923</v>
      </c>
      <c r="X9" s="189">
        <f t="shared" si="0"/>
        <v>45924</v>
      </c>
      <c r="Y9" s="189">
        <f>X9+1</f>
        <v>45925</v>
      </c>
      <c r="Z9" s="189">
        <f t="shared" si="0"/>
        <v>45926</v>
      </c>
      <c r="AA9" s="189">
        <f t="shared" si="0"/>
        <v>45927</v>
      </c>
      <c r="AB9" s="189">
        <f t="shared" si="0"/>
        <v>45928</v>
      </c>
      <c r="AC9" s="189">
        <f t="shared" si="0"/>
        <v>45929</v>
      </c>
      <c r="AD9" s="189">
        <f t="shared" si="0"/>
        <v>45930</v>
      </c>
      <c r="AE9" s="189">
        <f>AD9+1</f>
        <v>45931</v>
      </c>
      <c r="AF9" s="189">
        <f t="shared" si="0"/>
        <v>45932</v>
      </c>
      <c r="AG9" s="189">
        <f t="shared" si="0"/>
        <v>45933</v>
      </c>
      <c r="AH9" s="189">
        <f t="shared" si="0"/>
        <v>45934</v>
      </c>
      <c r="AI9" s="189">
        <f t="shared" si="0"/>
        <v>45935</v>
      </c>
      <c r="AJ9" s="189">
        <f t="shared" si="0"/>
        <v>45936</v>
      </c>
      <c r="AK9" s="189">
        <f t="shared" si="0"/>
        <v>45937</v>
      </c>
      <c r="AL9" s="189">
        <f t="shared" si="0"/>
        <v>45938</v>
      </c>
      <c r="AM9" s="189">
        <f t="shared" si="0"/>
        <v>45939</v>
      </c>
      <c r="AN9" s="189">
        <f>AM9+1</f>
        <v>45940</v>
      </c>
      <c r="AO9" s="189">
        <f t="shared" si="0"/>
        <v>45941</v>
      </c>
      <c r="AP9" s="189">
        <f>AO9+1</f>
        <v>45942</v>
      </c>
      <c r="AQ9" s="189">
        <f t="shared" si="0"/>
        <v>45943</v>
      </c>
      <c r="AR9" s="189">
        <f t="shared" si="0"/>
        <v>45944</v>
      </c>
      <c r="AS9" s="189">
        <f>AR9+1</f>
        <v>45945</v>
      </c>
      <c r="AT9" s="189">
        <f t="shared" si="0"/>
        <v>45946</v>
      </c>
      <c r="AU9" s="189">
        <f t="shared" si="0"/>
        <v>45947</v>
      </c>
      <c r="AV9" s="189">
        <f t="shared" si="0"/>
        <v>45948</v>
      </c>
      <c r="AW9" s="189">
        <f t="shared" si="0"/>
        <v>45949</v>
      </c>
      <c r="AX9" s="189">
        <f t="shared" si="0"/>
        <v>45950</v>
      </c>
      <c r="AY9" s="189"/>
      <c r="BI9" s="205" t="s">
        <v>256</v>
      </c>
      <c r="BJ9" s="205"/>
      <c r="BK9" s="205"/>
      <c r="BL9" s="205"/>
      <c r="BM9" s="205"/>
      <c r="BN9" s="205"/>
      <c r="BO9" s="205"/>
      <c r="BP9" s="205"/>
      <c r="BQ9" s="206"/>
      <c r="BS9" s="216" t="s">
        <v>257</v>
      </c>
      <c r="BT9" s="215"/>
      <c r="BU9" s="215"/>
      <c r="BV9" s="215"/>
      <c r="BW9" s="215"/>
      <c r="CF9" t="s">
        <v>258</v>
      </c>
      <c r="CG9" s="249">
        <v>0.13</v>
      </c>
    </row>
    <row r="10" spans="2:85" ht="7.15" customHeight="1" thickBot="1" x14ac:dyDescent="0.3">
      <c r="H10" s="189" t="s">
        <v>237</v>
      </c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  <c r="AJ10" s="189"/>
      <c r="AK10" s="189"/>
      <c r="AL10" s="189"/>
      <c r="AM10" s="189"/>
      <c r="AN10" s="189"/>
      <c r="AO10" s="189"/>
      <c r="AP10" s="189"/>
      <c r="AQ10" s="189"/>
      <c r="AR10" s="189"/>
      <c r="AS10" s="189"/>
      <c r="AT10" s="189"/>
      <c r="AU10" s="189"/>
      <c r="AV10" s="189"/>
      <c r="AW10" s="189"/>
      <c r="AX10" s="189"/>
      <c r="AY10" s="189"/>
    </row>
    <row r="11" spans="2:85" ht="41.25" thickBot="1" x14ac:dyDescent="0.3">
      <c r="B11" s="209" t="s">
        <v>29</v>
      </c>
      <c r="C11" s="209"/>
      <c r="D11" s="209" t="s">
        <v>86</v>
      </c>
      <c r="E11" s="209" t="s">
        <v>241</v>
      </c>
      <c r="F11" s="209" t="s">
        <v>242</v>
      </c>
      <c r="G11" s="30"/>
      <c r="H11" s="210" t="str">
        <f>PROPER(LEFT(TEXT(H9,"dddd"),3))</f>
        <v>Lun</v>
      </c>
      <c r="I11" s="210" t="str">
        <f t="shared" ref="I11:AX11" si="1">PROPER(LEFT(TEXT(I9,"dddd"),3))</f>
        <v>Mar</v>
      </c>
      <c r="J11" s="210" t="str">
        <f t="shared" si="1"/>
        <v>Mié</v>
      </c>
      <c r="K11" s="210" t="str">
        <f t="shared" si="1"/>
        <v>Jue</v>
      </c>
      <c r="L11" s="210" t="str">
        <f t="shared" si="1"/>
        <v>Vie</v>
      </c>
      <c r="M11" s="210" t="str">
        <f t="shared" si="1"/>
        <v>Sáb</v>
      </c>
      <c r="N11" s="210" t="str">
        <f t="shared" si="1"/>
        <v>Dom</v>
      </c>
      <c r="O11" s="210" t="str">
        <f t="shared" si="1"/>
        <v>Lun</v>
      </c>
      <c r="P11" s="210" t="str">
        <f t="shared" si="1"/>
        <v>Mar</v>
      </c>
      <c r="Q11" s="210" t="str">
        <f t="shared" si="1"/>
        <v>Mié</v>
      </c>
      <c r="R11" s="210" t="str">
        <f t="shared" si="1"/>
        <v>Jue</v>
      </c>
      <c r="S11" s="210" t="str">
        <f t="shared" si="1"/>
        <v>Vie</v>
      </c>
      <c r="T11" s="210" t="str">
        <f t="shared" si="1"/>
        <v>Sáb</v>
      </c>
      <c r="U11" s="210" t="str">
        <f t="shared" si="1"/>
        <v>Dom</v>
      </c>
      <c r="V11" s="210" t="str">
        <f t="shared" si="1"/>
        <v>Lun</v>
      </c>
      <c r="W11" s="210" t="str">
        <f t="shared" si="1"/>
        <v>Mar</v>
      </c>
      <c r="X11" s="210" t="str">
        <f t="shared" si="1"/>
        <v>Mié</v>
      </c>
      <c r="Y11" s="210" t="str">
        <f t="shared" si="1"/>
        <v>Jue</v>
      </c>
      <c r="Z11" s="210" t="str">
        <f t="shared" si="1"/>
        <v>Vie</v>
      </c>
      <c r="AA11" s="210" t="str">
        <f t="shared" si="1"/>
        <v>Sáb</v>
      </c>
      <c r="AB11" s="210" t="str">
        <f t="shared" si="1"/>
        <v>Dom</v>
      </c>
      <c r="AC11" s="210" t="str">
        <f t="shared" si="1"/>
        <v>Lun</v>
      </c>
      <c r="AD11" s="210" t="str">
        <f t="shared" si="1"/>
        <v>Mar</v>
      </c>
      <c r="AE11" s="210" t="str">
        <f t="shared" si="1"/>
        <v>Mié</v>
      </c>
      <c r="AF11" s="210" t="str">
        <f t="shared" si="1"/>
        <v>Jue</v>
      </c>
      <c r="AG11" s="210" t="str">
        <f t="shared" si="1"/>
        <v>Vie</v>
      </c>
      <c r="AH11" s="210" t="str">
        <f t="shared" si="1"/>
        <v>Sáb</v>
      </c>
      <c r="AI11" s="210" t="str">
        <f t="shared" si="1"/>
        <v>Dom</v>
      </c>
      <c r="AJ11" s="210" t="str">
        <f t="shared" si="1"/>
        <v>Lun</v>
      </c>
      <c r="AK11" s="210" t="str">
        <f t="shared" si="1"/>
        <v>Mar</v>
      </c>
      <c r="AL11" s="210" t="str">
        <f t="shared" si="1"/>
        <v>Mié</v>
      </c>
      <c r="AM11" s="210" t="str">
        <f t="shared" si="1"/>
        <v>Jue</v>
      </c>
      <c r="AN11" s="210" t="str">
        <f t="shared" si="1"/>
        <v>Vie</v>
      </c>
      <c r="AO11" s="210" t="str">
        <f t="shared" si="1"/>
        <v>Sáb</v>
      </c>
      <c r="AP11" s="210" t="str">
        <f>PROPER(LEFT(TEXT(AP9,"dddd"),3))</f>
        <v>Dom</v>
      </c>
      <c r="AQ11" s="210" t="str">
        <f t="shared" si="1"/>
        <v>Lun</v>
      </c>
      <c r="AR11" s="210" t="str">
        <f t="shared" si="1"/>
        <v>Mar</v>
      </c>
      <c r="AS11" s="210" t="str">
        <f t="shared" si="1"/>
        <v>Mié</v>
      </c>
      <c r="AT11" s="210" t="str">
        <f t="shared" si="1"/>
        <v>Jue</v>
      </c>
      <c r="AU11" s="210" t="str">
        <f t="shared" si="1"/>
        <v>Vie</v>
      </c>
      <c r="AV11" s="210" t="str">
        <f t="shared" si="1"/>
        <v>Sáb</v>
      </c>
      <c r="AW11" s="210" t="str">
        <f t="shared" si="1"/>
        <v>Dom</v>
      </c>
      <c r="AX11" s="210" t="str">
        <f t="shared" si="1"/>
        <v>Lun</v>
      </c>
      <c r="AY11" s="190"/>
      <c r="AZ11" s="192" t="s">
        <v>238</v>
      </c>
      <c r="BA11" s="193" t="s">
        <v>239</v>
      </c>
      <c r="BB11" s="195" t="s">
        <v>240</v>
      </c>
      <c r="BC11" s="194" t="s">
        <v>7</v>
      </c>
      <c r="BE11" s="229" t="s">
        <v>203</v>
      </c>
      <c r="BF11" s="230" t="s">
        <v>204</v>
      </c>
      <c r="BG11" s="230" t="s">
        <v>206</v>
      </c>
      <c r="BH11" s="204"/>
      <c r="BI11" s="234" t="s">
        <v>252</v>
      </c>
      <c r="BJ11" s="234" t="s">
        <v>210</v>
      </c>
      <c r="BK11" s="234" t="s">
        <v>252</v>
      </c>
      <c r="BL11" s="234" t="s">
        <v>253</v>
      </c>
      <c r="BM11" s="234" t="s">
        <v>252</v>
      </c>
      <c r="BN11" s="234" t="s">
        <v>254</v>
      </c>
      <c r="BO11" s="234" t="s">
        <v>252</v>
      </c>
      <c r="BP11" s="234" t="s">
        <v>255</v>
      </c>
      <c r="BQ11" s="235" t="s">
        <v>222</v>
      </c>
      <c r="BS11" s="236" t="s">
        <v>223</v>
      </c>
      <c r="BT11" s="236" t="s">
        <v>226</v>
      </c>
      <c r="BU11" s="236" t="s">
        <v>227</v>
      </c>
      <c r="BV11" s="236" t="s">
        <v>230</v>
      </c>
      <c r="BW11" s="237" t="s">
        <v>231</v>
      </c>
      <c r="BX11" s="208"/>
      <c r="BY11" s="207" t="s">
        <v>236</v>
      </c>
      <c r="BZ11" s="208"/>
      <c r="CA11" s="245" t="s">
        <v>234</v>
      </c>
      <c r="CF11" t="s">
        <v>259</v>
      </c>
      <c r="CG11" s="249">
        <v>0.09</v>
      </c>
    </row>
    <row r="12" spans="2:85" ht="16.5" thickTop="1" thickBot="1" x14ac:dyDescent="0.3">
      <c r="B12" s="217" t="s">
        <v>102</v>
      </c>
      <c r="C12" s="198"/>
      <c r="D12" s="217" t="str">
        <f>IFERROR(VLOOKUP(B12,'DATOS GRALES 1'!$B$2:$E$91,4,0),"")</f>
        <v>RESIDENTE</v>
      </c>
      <c r="E12" s="220"/>
      <c r="F12" s="218">
        <f>E12/30</f>
        <v>0</v>
      </c>
      <c r="H12" s="222" t="s">
        <v>67</v>
      </c>
      <c r="I12" s="222" t="s">
        <v>67</v>
      </c>
      <c r="J12" s="222" t="s">
        <v>67</v>
      </c>
      <c r="K12" s="222" t="s">
        <v>67</v>
      </c>
      <c r="L12" s="222" t="s">
        <v>67</v>
      </c>
      <c r="M12" s="222" t="s">
        <v>67</v>
      </c>
      <c r="N12" s="222" t="s">
        <v>67</v>
      </c>
      <c r="O12" s="222" t="s">
        <v>67</v>
      </c>
      <c r="P12" s="222" t="s">
        <v>67</v>
      </c>
      <c r="Q12" s="222" t="s">
        <v>67</v>
      </c>
      <c r="R12" s="222" t="s">
        <v>67</v>
      </c>
      <c r="S12" s="222" t="s">
        <v>67</v>
      </c>
      <c r="T12" s="222" t="s">
        <v>67</v>
      </c>
      <c r="U12" s="222" t="s">
        <v>67</v>
      </c>
      <c r="V12" s="222" t="s">
        <v>78</v>
      </c>
      <c r="W12" s="222" t="s">
        <v>67</v>
      </c>
      <c r="X12" s="222" t="s">
        <v>67</v>
      </c>
      <c r="Y12" s="222" t="s">
        <v>67</v>
      </c>
      <c r="Z12" s="222" t="s">
        <v>67</v>
      </c>
      <c r="AA12" s="222" t="s">
        <v>67</v>
      </c>
      <c r="AB12" s="222" t="s">
        <v>67</v>
      </c>
      <c r="AC12" s="222" t="s">
        <v>67</v>
      </c>
      <c r="AD12" s="222" t="s">
        <v>67</v>
      </c>
      <c r="AE12" s="222" t="s">
        <v>67</v>
      </c>
      <c r="AF12" s="222" t="s">
        <v>67</v>
      </c>
      <c r="AG12" s="222" t="s">
        <v>67</v>
      </c>
      <c r="AH12" s="222" t="s">
        <v>67</v>
      </c>
      <c r="AI12" s="222" t="s">
        <v>67</v>
      </c>
      <c r="AJ12" s="222" t="s">
        <v>67</v>
      </c>
      <c r="AK12" s="222" t="s">
        <v>67</v>
      </c>
      <c r="AL12" s="222" t="s">
        <v>67</v>
      </c>
      <c r="AM12" s="222" t="s">
        <v>67</v>
      </c>
      <c r="AN12" s="222" t="s">
        <v>67</v>
      </c>
      <c r="AO12" s="222" t="s">
        <v>67</v>
      </c>
      <c r="AP12" s="222" t="s">
        <v>67</v>
      </c>
      <c r="AQ12" s="222" t="s">
        <v>67</v>
      </c>
      <c r="AR12" s="222" t="s">
        <v>67</v>
      </c>
      <c r="AS12" s="222" t="s">
        <v>67</v>
      </c>
      <c r="AT12" s="222" t="s">
        <v>67</v>
      </c>
      <c r="AU12" s="222" t="s">
        <v>78</v>
      </c>
      <c r="AV12" s="222" t="s">
        <v>78</v>
      </c>
      <c r="AW12" s="222" t="s">
        <v>78</v>
      </c>
      <c r="AX12" s="222" t="s">
        <v>78</v>
      </c>
      <c r="AZ12" s="223">
        <f>IF(COUNTIF(H12:AX12,"SI")=0,"",COUNTIF(H12:AX12,"SI"))</f>
        <v>38</v>
      </c>
      <c r="BA12" s="223">
        <f>IF(COUNTIF(H12:AX12,"NO")=0,"",COUNTIF(H12:AX12,"NO"))</f>
        <v>5</v>
      </c>
      <c r="BB12" s="223">
        <f>COUNTIF(H12:AL12,"MED")</f>
        <v>0</v>
      </c>
      <c r="BC12" s="223">
        <f>IF(SUM(AZ12:BB12)=0,"",SUM(AZ12:BB12))</f>
        <v>43</v>
      </c>
      <c r="BE12" s="199">
        <f>(F12/2*BB12)+(AZ12*F12)</f>
        <v>0</v>
      </c>
      <c r="BF12" s="27"/>
      <c r="BG12" s="200">
        <f>F12/8*BF12</f>
        <v>0</v>
      </c>
      <c r="BH12" s="200"/>
      <c r="BI12" s="231"/>
      <c r="BJ12" s="232"/>
      <c r="BK12" s="231"/>
      <c r="BL12" s="233"/>
      <c r="BM12" s="231"/>
      <c r="BN12" s="233"/>
      <c r="BO12" s="231"/>
      <c r="BP12" s="233"/>
      <c r="BQ12" s="232">
        <f>BJ12+BL12+BN12+BP12</f>
        <v>0</v>
      </c>
      <c r="BS12" s="225">
        <f>E12*13%/2</f>
        <v>0</v>
      </c>
      <c r="BT12" s="225">
        <f>E12*2%/2</f>
        <v>0</v>
      </c>
      <c r="BU12" s="225">
        <f>E12*13%/2</f>
        <v>0</v>
      </c>
      <c r="BV12" s="224">
        <f>E12*2%/2</f>
        <v>0</v>
      </c>
      <c r="BW12" s="238">
        <f>SUM(BS12:BV12)</f>
        <v>0</v>
      </c>
      <c r="BX12" s="199"/>
      <c r="BY12" s="199">
        <f t="shared" ref="BY12:BY18" si="2">BQ12+BW12</f>
        <v>0</v>
      </c>
      <c r="BZ12" s="199"/>
      <c r="CA12" s="246">
        <f t="shared" ref="CA12:CA18" si="3">BE12-BY12</f>
        <v>0</v>
      </c>
      <c r="CB12" t="s">
        <v>258</v>
      </c>
      <c r="CD12">
        <f>IF(CB12=$CF$9,(E12*$CG$9/2),(E12*$CG$11/2))</f>
        <v>0</v>
      </c>
    </row>
    <row r="13" spans="2:85" ht="15.75" thickBot="1" x14ac:dyDescent="0.3">
      <c r="B13" s="217" t="s">
        <v>95</v>
      </c>
      <c r="C13" s="198"/>
      <c r="D13" s="217" t="str">
        <f>IFERROR(VLOOKUP(B13,'DATOS GRALES 1'!$B$2:$E$91,4,0),"")</f>
        <v>ING. CALIDAD</v>
      </c>
      <c r="E13" s="220"/>
      <c r="F13" s="218">
        <f t="shared" ref="F13:F18" si="4">E13/30</f>
        <v>0</v>
      </c>
      <c r="H13" s="222"/>
      <c r="I13" s="222" t="s">
        <v>67</v>
      </c>
      <c r="J13" s="222" t="s">
        <v>67</v>
      </c>
      <c r="K13" s="222" t="s">
        <v>67</v>
      </c>
      <c r="L13" s="222" t="s">
        <v>67</v>
      </c>
      <c r="M13" s="222" t="s">
        <v>67</v>
      </c>
      <c r="N13" s="222" t="s">
        <v>67</v>
      </c>
      <c r="O13" s="222" t="s">
        <v>67</v>
      </c>
      <c r="P13" s="222" t="s">
        <v>67</v>
      </c>
      <c r="Q13" s="222" t="s">
        <v>67</v>
      </c>
      <c r="R13" s="222" t="s">
        <v>67</v>
      </c>
      <c r="S13" s="222" t="s">
        <v>67</v>
      </c>
      <c r="T13" s="222" t="s">
        <v>67</v>
      </c>
      <c r="U13" s="222" t="s">
        <v>67</v>
      </c>
      <c r="V13" s="222" t="s">
        <v>67</v>
      </c>
      <c r="W13" s="222" t="s">
        <v>67</v>
      </c>
      <c r="X13" s="222" t="s">
        <v>67</v>
      </c>
      <c r="Y13" s="222" t="s">
        <v>67</v>
      </c>
      <c r="Z13" s="222" t="s">
        <v>67</v>
      </c>
      <c r="AA13" s="222" t="s">
        <v>67</v>
      </c>
      <c r="AB13" s="222" t="s">
        <v>67</v>
      </c>
      <c r="AC13" s="222" t="s">
        <v>67</v>
      </c>
      <c r="AD13" s="222" t="s">
        <v>67</v>
      </c>
      <c r="AE13" s="222" t="s">
        <v>67</v>
      </c>
      <c r="AF13" s="222" t="s">
        <v>67</v>
      </c>
      <c r="AG13" s="222" t="s">
        <v>67</v>
      </c>
      <c r="AH13" s="222" t="s">
        <v>67</v>
      </c>
      <c r="AI13" s="222" t="s">
        <v>67</v>
      </c>
      <c r="AJ13" s="222" t="s">
        <v>67</v>
      </c>
      <c r="AK13" s="222" t="s">
        <v>67</v>
      </c>
      <c r="AL13" s="222" t="s">
        <v>67</v>
      </c>
      <c r="AM13" s="222" t="s">
        <v>67</v>
      </c>
      <c r="AN13" s="222" t="s">
        <v>78</v>
      </c>
      <c r="AO13" s="222" t="s">
        <v>67</v>
      </c>
      <c r="AP13" s="222" t="s">
        <v>67</v>
      </c>
      <c r="AQ13" s="222" t="s">
        <v>67</v>
      </c>
      <c r="AR13" s="222" t="s">
        <v>67</v>
      </c>
      <c r="AS13" s="222" t="s">
        <v>67</v>
      </c>
      <c r="AT13" s="222" t="s">
        <v>67</v>
      </c>
      <c r="AU13" s="222" t="s">
        <v>67</v>
      </c>
      <c r="AV13" s="222" t="s">
        <v>67</v>
      </c>
      <c r="AW13" s="222" t="s">
        <v>67</v>
      </c>
      <c r="AX13" s="222" t="s">
        <v>67</v>
      </c>
      <c r="AZ13" s="223">
        <f t="shared" ref="AZ13:AZ61" si="5">IF(COUNTIF(H13:AX13,"SI")=0,"",COUNTIF(H13:AX13,"SI"))</f>
        <v>41</v>
      </c>
      <c r="BA13" s="223">
        <f t="shared" ref="BA13:BA61" si="6">IF(COUNTIF(H13:AX13,"NO")=0,"",COUNTIF(H13:AX13,"NO"))</f>
        <v>1</v>
      </c>
      <c r="BB13" s="223">
        <f t="shared" ref="BB13:BB61" si="7">COUNTIF(H13:AL13,"MED")</f>
        <v>0</v>
      </c>
      <c r="BC13" s="223">
        <f t="shared" ref="BC13:BC61" si="8">IF(SUM(AZ13:BB13)=0,"",SUM(AZ13:BB13))</f>
        <v>42</v>
      </c>
      <c r="BE13" s="199">
        <f t="shared" ref="BE13:BE17" si="9">(F13/2*BB13)+(AZ13*F13)</f>
        <v>0</v>
      </c>
      <c r="BF13" s="27"/>
      <c r="BG13" s="200">
        <f t="shared" ref="BG13:BG18" si="10">F13/8*BF13</f>
        <v>0</v>
      </c>
      <c r="BH13" s="200"/>
      <c r="BI13" s="226"/>
      <c r="BJ13" s="227"/>
      <c r="BK13" s="226"/>
      <c r="BL13" s="228"/>
      <c r="BM13" s="226"/>
      <c r="BN13" s="228"/>
      <c r="BO13" s="226"/>
      <c r="BP13" s="228"/>
      <c r="BQ13" s="227">
        <f t="shared" ref="BQ13:BQ18" si="11">BJ13+BL13+BN13+BP13</f>
        <v>0</v>
      </c>
      <c r="BS13" s="225">
        <f t="shared" ref="BS13:BS18" si="12">E13*13%/2</f>
        <v>0</v>
      </c>
      <c r="BT13" s="225">
        <f t="shared" ref="BT13:BT18" si="13">E13*2%/2</f>
        <v>0</v>
      </c>
      <c r="BU13" s="225">
        <f t="shared" ref="BU13:BU18" si="14">E13*13%/2</f>
        <v>0</v>
      </c>
      <c r="BV13" s="224">
        <f t="shared" ref="BV13:BV18" si="15">E13*2%/2</f>
        <v>0</v>
      </c>
      <c r="BW13" s="239">
        <f t="shared" ref="BW13:BW18" si="16">SUM(BS13:BV13)</f>
        <v>0</v>
      </c>
      <c r="BX13" s="199"/>
      <c r="BY13" s="199">
        <f t="shared" si="2"/>
        <v>0</v>
      </c>
      <c r="BZ13" s="199"/>
      <c r="CA13" s="247">
        <f t="shared" si="3"/>
        <v>0</v>
      </c>
      <c r="CB13" t="s">
        <v>258</v>
      </c>
      <c r="CD13">
        <f t="shared" ref="CD13:CD18" si="17">IF(CB13=$CF$9,(E13*$CG$9/2),(E13*$CG$11/2))</f>
        <v>0</v>
      </c>
    </row>
    <row r="14" spans="2:85" ht="15.75" thickBot="1" x14ac:dyDescent="0.3">
      <c r="B14" s="217" t="s">
        <v>139</v>
      </c>
      <c r="C14" s="198"/>
      <c r="D14" s="217" t="str">
        <f>IFERROR(VLOOKUP(B14,'DATOS GRALES 1'!$B$2:$E$91,4,0),"")</f>
        <v>ESP. SEGURIDAD</v>
      </c>
      <c r="E14" s="220"/>
      <c r="F14" s="218">
        <f t="shared" si="4"/>
        <v>0</v>
      </c>
      <c r="H14" s="222"/>
      <c r="I14" s="222"/>
      <c r="J14" s="222"/>
      <c r="K14" s="222"/>
      <c r="L14" s="222"/>
      <c r="M14" s="222"/>
      <c r="N14" s="222"/>
      <c r="O14" s="222"/>
      <c r="P14" s="222"/>
      <c r="Q14" s="222"/>
      <c r="R14" s="222"/>
      <c r="S14" s="222"/>
      <c r="T14" s="222"/>
      <c r="U14" s="222"/>
      <c r="V14" s="222"/>
      <c r="W14" s="222"/>
      <c r="X14" s="222"/>
      <c r="Y14" s="222"/>
      <c r="Z14" s="222"/>
      <c r="AA14" s="222"/>
      <c r="AB14" s="222"/>
      <c r="AC14" s="222" t="s">
        <v>67</v>
      </c>
      <c r="AD14" s="222" t="s">
        <v>67</v>
      </c>
      <c r="AE14" s="222" t="s">
        <v>67</v>
      </c>
      <c r="AF14" s="222" t="s">
        <v>67</v>
      </c>
      <c r="AG14" s="222" t="s">
        <v>67</v>
      </c>
      <c r="AH14" s="222" t="s">
        <v>67</v>
      </c>
      <c r="AI14" s="222" t="s">
        <v>67</v>
      </c>
      <c r="AJ14" s="222" t="s">
        <v>67</v>
      </c>
      <c r="AK14" s="222" t="s">
        <v>67</v>
      </c>
      <c r="AL14" s="222" t="s">
        <v>67</v>
      </c>
      <c r="AM14" s="222" t="s">
        <v>67</v>
      </c>
      <c r="AN14" s="222" t="s">
        <v>67</v>
      </c>
      <c r="AO14" s="222" t="s">
        <v>67</v>
      </c>
      <c r="AP14" s="222" t="s">
        <v>67</v>
      </c>
      <c r="AQ14" s="222" t="s">
        <v>67</v>
      </c>
      <c r="AR14" s="222" t="s">
        <v>67</v>
      </c>
      <c r="AS14" s="222" t="s">
        <v>67</v>
      </c>
      <c r="AT14" s="222" t="s">
        <v>67</v>
      </c>
      <c r="AU14" s="222" t="s">
        <v>67</v>
      </c>
      <c r="AV14" s="222" t="s">
        <v>67</v>
      </c>
      <c r="AW14" s="222" t="s">
        <v>67</v>
      </c>
      <c r="AX14" s="222" t="s">
        <v>67</v>
      </c>
      <c r="AZ14" s="223">
        <f t="shared" si="5"/>
        <v>22</v>
      </c>
      <c r="BA14" s="223" t="str">
        <f t="shared" si="6"/>
        <v/>
      </c>
      <c r="BB14" s="223">
        <f t="shared" si="7"/>
        <v>0</v>
      </c>
      <c r="BC14" s="223">
        <f t="shared" si="8"/>
        <v>22</v>
      </c>
      <c r="BE14" s="199">
        <f t="shared" si="9"/>
        <v>0</v>
      </c>
      <c r="BF14" s="27"/>
      <c r="BG14" s="200">
        <f t="shared" si="10"/>
        <v>0</v>
      </c>
      <c r="BH14" s="200"/>
      <c r="BI14" s="226"/>
      <c r="BJ14" s="227"/>
      <c r="BK14" s="226"/>
      <c r="BL14" s="228"/>
      <c r="BM14" s="226"/>
      <c r="BN14" s="228"/>
      <c r="BO14" s="226"/>
      <c r="BP14" s="228"/>
      <c r="BQ14" s="227">
        <f t="shared" si="11"/>
        <v>0</v>
      </c>
      <c r="BS14" s="225">
        <f t="shared" si="12"/>
        <v>0</v>
      </c>
      <c r="BT14" s="225">
        <f t="shared" si="13"/>
        <v>0</v>
      </c>
      <c r="BU14" s="225">
        <f t="shared" si="14"/>
        <v>0</v>
      </c>
      <c r="BV14" s="224">
        <f t="shared" si="15"/>
        <v>0</v>
      </c>
      <c r="BW14" s="239">
        <f t="shared" si="16"/>
        <v>0</v>
      </c>
      <c r="BX14" s="199"/>
      <c r="BY14" s="199">
        <f t="shared" si="2"/>
        <v>0</v>
      </c>
      <c r="BZ14" s="199"/>
      <c r="CA14" s="247">
        <f t="shared" si="3"/>
        <v>0</v>
      </c>
      <c r="CB14" t="s">
        <v>259</v>
      </c>
      <c r="CD14">
        <f t="shared" si="17"/>
        <v>0</v>
      </c>
    </row>
    <row r="15" spans="2:85" ht="15.75" thickBot="1" x14ac:dyDescent="0.3">
      <c r="B15" s="217" t="s">
        <v>98</v>
      </c>
      <c r="C15" s="198"/>
      <c r="D15" s="217" t="str">
        <f>IFERROR(VLOOKUP(B15,'DATOS GRALES 1'!$B$2:$E$91,4,0),"")</f>
        <v>ASIS. ING.</v>
      </c>
      <c r="E15" s="220"/>
      <c r="F15" s="218">
        <f t="shared" si="4"/>
        <v>0</v>
      </c>
      <c r="H15" s="222"/>
      <c r="I15" s="222"/>
      <c r="J15" s="222" t="s">
        <v>67</v>
      </c>
      <c r="K15" s="222" t="s">
        <v>67</v>
      </c>
      <c r="L15" s="222" t="s">
        <v>67</v>
      </c>
      <c r="M15" s="222" t="s">
        <v>67</v>
      </c>
      <c r="N15" s="222" t="s">
        <v>67</v>
      </c>
      <c r="O15" s="222" t="s">
        <v>67</v>
      </c>
      <c r="P15" s="222" t="s">
        <v>67</v>
      </c>
      <c r="Q15" s="222" t="s">
        <v>67</v>
      </c>
      <c r="R15" s="222" t="s">
        <v>67</v>
      </c>
      <c r="S15" s="222" t="s">
        <v>67</v>
      </c>
      <c r="T15" s="222" t="s">
        <v>67</v>
      </c>
      <c r="U15" s="222" t="s">
        <v>67</v>
      </c>
      <c r="V15" s="222" t="s">
        <v>67</v>
      </c>
      <c r="W15" s="222" t="s">
        <v>67</v>
      </c>
      <c r="X15" s="222" t="s">
        <v>67</v>
      </c>
      <c r="Y15" s="222" t="s">
        <v>67</v>
      </c>
      <c r="Z15" s="222" t="s">
        <v>67</v>
      </c>
      <c r="AA15" s="222" t="s">
        <v>67</v>
      </c>
      <c r="AB15" s="222" t="s">
        <v>67</v>
      </c>
      <c r="AC15" s="222" t="s">
        <v>67</v>
      </c>
      <c r="AD15" s="222" t="s">
        <v>67</v>
      </c>
      <c r="AE15" s="222" t="s">
        <v>67</v>
      </c>
      <c r="AF15" s="222" t="s">
        <v>67</v>
      </c>
      <c r="AG15" s="222" t="s">
        <v>67</v>
      </c>
      <c r="AH15" s="222" t="s">
        <v>67</v>
      </c>
      <c r="AI15" s="222" t="s">
        <v>67</v>
      </c>
      <c r="AJ15" s="222" t="s">
        <v>67</v>
      </c>
      <c r="AK15" s="222" t="s">
        <v>67</v>
      </c>
      <c r="AL15" s="222" t="s">
        <v>67</v>
      </c>
      <c r="AM15" s="222" t="s">
        <v>67</v>
      </c>
      <c r="AN15" s="222" t="s">
        <v>67</v>
      </c>
      <c r="AO15" s="222" t="s">
        <v>67</v>
      </c>
      <c r="AP15" s="222" t="s">
        <v>67</v>
      </c>
      <c r="AQ15" s="222" t="s">
        <v>67</v>
      </c>
      <c r="AR15" s="222" t="s">
        <v>67</v>
      </c>
      <c r="AS15" s="222" t="s">
        <v>67</v>
      </c>
      <c r="AT15" s="222" t="s">
        <v>67</v>
      </c>
      <c r="AU15" s="222" t="s">
        <v>67</v>
      </c>
      <c r="AV15" s="222" t="s">
        <v>67</v>
      </c>
      <c r="AW15" s="222" t="s">
        <v>67</v>
      </c>
      <c r="AX15" s="222" t="s">
        <v>67</v>
      </c>
      <c r="AZ15" s="223">
        <f t="shared" si="5"/>
        <v>41</v>
      </c>
      <c r="BA15" s="223" t="str">
        <f t="shared" si="6"/>
        <v/>
      </c>
      <c r="BB15" s="223">
        <f t="shared" si="7"/>
        <v>0</v>
      </c>
      <c r="BC15" s="223">
        <f t="shared" si="8"/>
        <v>41</v>
      </c>
      <c r="BE15" s="199">
        <f t="shared" si="9"/>
        <v>0</v>
      </c>
      <c r="BF15" s="27"/>
      <c r="BG15" s="200">
        <f t="shared" si="10"/>
        <v>0</v>
      </c>
      <c r="BH15" s="200"/>
      <c r="BI15" s="226"/>
      <c r="BJ15" s="227"/>
      <c r="BK15" s="226"/>
      <c r="BL15" s="228"/>
      <c r="BM15" s="226"/>
      <c r="BN15" s="228"/>
      <c r="BO15" s="226"/>
      <c r="BP15" s="228"/>
      <c r="BQ15" s="227">
        <f t="shared" si="11"/>
        <v>0</v>
      </c>
      <c r="BS15" s="225">
        <f t="shared" si="12"/>
        <v>0</v>
      </c>
      <c r="BT15" s="225">
        <f t="shared" si="13"/>
        <v>0</v>
      </c>
      <c r="BU15" s="225">
        <f t="shared" si="14"/>
        <v>0</v>
      </c>
      <c r="BV15" s="224">
        <f t="shared" si="15"/>
        <v>0</v>
      </c>
      <c r="BW15" s="239">
        <f t="shared" si="16"/>
        <v>0</v>
      </c>
      <c r="BX15" s="199"/>
      <c r="BY15" s="199">
        <f t="shared" si="2"/>
        <v>0</v>
      </c>
      <c r="BZ15" s="199"/>
      <c r="CA15" s="247">
        <f t="shared" si="3"/>
        <v>0</v>
      </c>
      <c r="CB15" t="s">
        <v>259</v>
      </c>
      <c r="CD15">
        <f t="shared" si="17"/>
        <v>0</v>
      </c>
    </row>
    <row r="16" spans="2:85" ht="15.75" thickBot="1" x14ac:dyDescent="0.3">
      <c r="B16" s="217" t="s">
        <v>131</v>
      </c>
      <c r="C16" s="198"/>
      <c r="D16" s="217" t="str">
        <f>IFERROR(VLOOKUP(B16,'DATOS GRALES 1'!$B$2:$E$91,4,0),"")</f>
        <v>TOPOGRAFO</v>
      </c>
      <c r="E16" s="220"/>
      <c r="F16" s="218">
        <f t="shared" si="4"/>
        <v>0</v>
      </c>
      <c r="H16" s="222"/>
      <c r="I16" s="222"/>
      <c r="J16" s="222"/>
      <c r="K16" s="222"/>
      <c r="L16" s="222"/>
      <c r="M16" s="222"/>
      <c r="N16" s="222"/>
      <c r="O16" s="222"/>
      <c r="P16" s="222"/>
      <c r="Q16" s="222"/>
      <c r="R16" s="222"/>
      <c r="S16" s="222"/>
      <c r="T16" s="222"/>
      <c r="U16" s="222"/>
      <c r="V16" s="222" t="s">
        <v>67</v>
      </c>
      <c r="W16" s="222" t="s">
        <v>67</v>
      </c>
      <c r="X16" s="222" t="s">
        <v>67</v>
      </c>
      <c r="Y16" s="222" t="s">
        <v>67</v>
      </c>
      <c r="Z16" s="222" t="s">
        <v>67</v>
      </c>
      <c r="AA16" s="222" t="s">
        <v>67</v>
      </c>
      <c r="AB16" s="222" t="s">
        <v>67</v>
      </c>
      <c r="AC16" s="222" t="s">
        <v>67</v>
      </c>
      <c r="AD16" s="222" t="s">
        <v>67</v>
      </c>
      <c r="AE16" s="222" t="s">
        <v>67</v>
      </c>
      <c r="AF16" s="222" t="s">
        <v>67</v>
      </c>
      <c r="AG16" s="222" t="s">
        <v>67</v>
      </c>
      <c r="AH16" s="222" t="s">
        <v>67</v>
      </c>
      <c r="AI16" s="222" t="s">
        <v>67</v>
      </c>
      <c r="AJ16" s="222" t="s">
        <v>67</v>
      </c>
      <c r="AK16" s="222" t="s">
        <v>67</v>
      </c>
      <c r="AL16" s="222" t="s">
        <v>67</v>
      </c>
      <c r="AM16" s="222" t="s">
        <v>132</v>
      </c>
      <c r="AN16" s="222" t="s">
        <v>67</v>
      </c>
      <c r="AO16" s="222" t="s">
        <v>67</v>
      </c>
      <c r="AP16" s="222" t="s">
        <v>67</v>
      </c>
      <c r="AQ16" s="222" t="s">
        <v>67</v>
      </c>
      <c r="AR16" s="222" t="s">
        <v>67</v>
      </c>
      <c r="AS16" s="222" t="s">
        <v>67</v>
      </c>
      <c r="AT16" s="222" t="s">
        <v>67</v>
      </c>
      <c r="AU16" s="222" t="s">
        <v>67</v>
      </c>
      <c r="AV16" s="222" t="s">
        <v>67</v>
      </c>
      <c r="AW16" s="222" t="s">
        <v>67</v>
      </c>
      <c r="AX16" s="222" t="s">
        <v>67</v>
      </c>
      <c r="AZ16" s="223">
        <f t="shared" si="5"/>
        <v>28</v>
      </c>
      <c r="BA16" s="223" t="str">
        <f t="shared" si="6"/>
        <v/>
      </c>
      <c r="BB16" s="223">
        <f t="shared" si="7"/>
        <v>0</v>
      </c>
      <c r="BC16" s="223">
        <f t="shared" si="8"/>
        <v>28</v>
      </c>
      <c r="BE16" s="199">
        <f t="shared" si="9"/>
        <v>0</v>
      </c>
      <c r="BF16" s="27"/>
      <c r="BG16" s="200">
        <f t="shared" si="10"/>
        <v>0</v>
      </c>
      <c r="BH16" s="200"/>
      <c r="BI16" s="226"/>
      <c r="BJ16" s="227"/>
      <c r="BK16" s="226"/>
      <c r="BL16" s="228"/>
      <c r="BM16" s="226"/>
      <c r="BN16" s="228"/>
      <c r="BO16" s="226"/>
      <c r="BP16" s="228"/>
      <c r="BQ16" s="227">
        <f t="shared" si="11"/>
        <v>0</v>
      </c>
      <c r="BS16" s="225">
        <f t="shared" si="12"/>
        <v>0</v>
      </c>
      <c r="BT16" s="225">
        <f t="shared" si="13"/>
        <v>0</v>
      </c>
      <c r="BU16" s="225">
        <f t="shared" si="14"/>
        <v>0</v>
      </c>
      <c r="BV16" s="224">
        <f t="shared" si="15"/>
        <v>0</v>
      </c>
      <c r="BW16" s="239">
        <f t="shared" si="16"/>
        <v>0</v>
      </c>
      <c r="BX16" s="199"/>
      <c r="BY16" s="199">
        <f t="shared" si="2"/>
        <v>0</v>
      </c>
      <c r="BZ16" s="199"/>
      <c r="CA16" s="247">
        <f t="shared" si="3"/>
        <v>0</v>
      </c>
      <c r="CB16" t="s">
        <v>258</v>
      </c>
      <c r="CD16">
        <f t="shared" si="17"/>
        <v>0</v>
      </c>
    </row>
    <row r="17" spans="2:82" ht="15.75" thickBot="1" x14ac:dyDescent="0.3">
      <c r="B17" s="217" t="s">
        <v>100</v>
      </c>
      <c r="C17" s="198"/>
      <c r="D17" s="217" t="str">
        <f>IFERROR(VLOOKUP(B17,'DATOS GRALES 1'!$B$2:$E$91,4,0),"")</f>
        <v>MAESTRO OBRA</v>
      </c>
      <c r="E17" s="220"/>
      <c r="F17" s="218">
        <f t="shared" si="4"/>
        <v>0</v>
      </c>
      <c r="H17" s="222" t="s">
        <v>67</v>
      </c>
      <c r="I17" s="222" t="s">
        <v>67</v>
      </c>
      <c r="J17" s="222" t="s">
        <v>67</v>
      </c>
      <c r="K17" s="222" t="s">
        <v>67</v>
      </c>
      <c r="L17" s="222" t="s">
        <v>67</v>
      </c>
      <c r="M17" s="222" t="s">
        <v>67</v>
      </c>
      <c r="N17" s="222" t="s">
        <v>67</v>
      </c>
      <c r="O17" s="222" t="s">
        <v>67</v>
      </c>
      <c r="P17" s="222" t="s">
        <v>67</v>
      </c>
      <c r="Q17" s="222" t="s">
        <v>67</v>
      </c>
      <c r="R17" s="222" t="s">
        <v>67</v>
      </c>
      <c r="S17" s="222" t="s">
        <v>67</v>
      </c>
      <c r="T17" s="222" t="s">
        <v>67</v>
      </c>
      <c r="U17" s="222" t="s">
        <v>67</v>
      </c>
      <c r="V17" s="222" t="s">
        <v>67</v>
      </c>
      <c r="W17" s="222" t="s">
        <v>67</v>
      </c>
      <c r="X17" s="222" t="s">
        <v>67</v>
      </c>
      <c r="Y17" s="222" t="s">
        <v>67</v>
      </c>
      <c r="Z17" s="222" t="s">
        <v>67</v>
      </c>
      <c r="AA17" s="222" t="s">
        <v>67</v>
      </c>
      <c r="AB17" s="222" t="s">
        <v>67</v>
      </c>
      <c r="AC17" s="222" t="s">
        <v>67</v>
      </c>
      <c r="AD17" s="222" t="s">
        <v>67</v>
      </c>
      <c r="AE17" s="222" t="s">
        <v>67</v>
      </c>
      <c r="AF17" s="222" t="s">
        <v>67</v>
      </c>
      <c r="AG17" s="222" t="s">
        <v>67</v>
      </c>
      <c r="AH17" s="222" t="s">
        <v>67</v>
      </c>
      <c r="AI17" s="222" t="s">
        <v>67</v>
      </c>
      <c r="AJ17" s="222" t="s">
        <v>67</v>
      </c>
      <c r="AK17" s="222" t="s">
        <v>67</v>
      </c>
      <c r="AL17" s="222" t="s">
        <v>67</v>
      </c>
      <c r="AM17" s="222" t="s">
        <v>67</v>
      </c>
      <c r="AN17" s="222" t="s">
        <v>67</v>
      </c>
      <c r="AO17" s="222" t="s">
        <v>67</v>
      </c>
      <c r="AP17" s="222" t="s">
        <v>67</v>
      </c>
      <c r="AQ17" s="222" t="s">
        <v>67</v>
      </c>
      <c r="AR17" s="222" t="s">
        <v>67</v>
      </c>
      <c r="AS17" s="222" t="s">
        <v>67</v>
      </c>
      <c r="AT17" s="222" t="s">
        <v>67</v>
      </c>
      <c r="AU17" s="222" t="s">
        <v>67</v>
      </c>
      <c r="AV17" s="222" t="s">
        <v>67</v>
      </c>
      <c r="AW17" s="222" t="s">
        <v>67</v>
      </c>
      <c r="AX17" s="222" t="s">
        <v>67</v>
      </c>
      <c r="AZ17" s="223">
        <f t="shared" si="5"/>
        <v>43</v>
      </c>
      <c r="BA17" s="223" t="str">
        <f t="shared" si="6"/>
        <v/>
      </c>
      <c r="BB17" s="223">
        <f t="shared" si="7"/>
        <v>0</v>
      </c>
      <c r="BC17" s="223">
        <f t="shared" si="8"/>
        <v>43</v>
      </c>
      <c r="BE17" s="199">
        <f t="shared" si="9"/>
        <v>0</v>
      </c>
      <c r="BF17" s="27"/>
      <c r="BG17" s="200">
        <f t="shared" si="10"/>
        <v>0</v>
      </c>
      <c r="BH17" s="200"/>
      <c r="BI17" s="226"/>
      <c r="BJ17" s="227"/>
      <c r="BK17" s="226"/>
      <c r="BL17" s="228"/>
      <c r="BM17" s="226"/>
      <c r="BN17" s="228"/>
      <c r="BO17" s="226"/>
      <c r="BP17" s="228"/>
      <c r="BQ17" s="227">
        <f t="shared" si="11"/>
        <v>0</v>
      </c>
      <c r="BS17" s="225">
        <f t="shared" si="12"/>
        <v>0</v>
      </c>
      <c r="BT17" s="225">
        <f t="shared" si="13"/>
        <v>0</v>
      </c>
      <c r="BU17" s="225">
        <f t="shared" si="14"/>
        <v>0</v>
      </c>
      <c r="BV17" s="224">
        <f t="shared" si="15"/>
        <v>0</v>
      </c>
      <c r="BW17" s="239">
        <f t="shared" si="16"/>
        <v>0</v>
      </c>
      <c r="BX17" s="199"/>
      <c r="BY17" s="199">
        <f t="shared" si="2"/>
        <v>0</v>
      </c>
      <c r="BZ17" s="199"/>
      <c r="CA17" s="247">
        <f t="shared" si="3"/>
        <v>0</v>
      </c>
      <c r="CB17" t="s">
        <v>259</v>
      </c>
      <c r="CD17">
        <f t="shared" si="17"/>
        <v>0</v>
      </c>
    </row>
    <row r="18" spans="2:82" ht="15.75" thickBot="1" x14ac:dyDescent="0.3">
      <c r="B18" s="217" t="s">
        <v>92</v>
      </c>
      <c r="C18" s="198"/>
      <c r="D18" s="217" t="str">
        <f>IFERROR(VLOOKUP(B18,'DATOS GRALES 1'!$B$2:$E$91,4,0),"")</f>
        <v>LOGISTICO</v>
      </c>
      <c r="E18" s="220">
        <v>3000</v>
      </c>
      <c r="F18" s="218">
        <f t="shared" si="4"/>
        <v>100</v>
      </c>
      <c r="H18" s="222" t="s">
        <v>67</v>
      </c>
      <c r="I18" s="222" t="s">
        <v>67</v>
      </c>
      <c r="J18" s="222" t="s">
        <v>67</v>
      </c>
      <c r="K18" s="222" t="s">
        <v>67</v>
      </c>
      <c r="L18" s="222" t="s">
        <v>67</v>
      </c>
      <c r="M18" s="222" t="s">
        <v>67</v>
      </c>
      <c r="N18" s="222" t="s">
        <v>67</v>
      </c>
      <c r="O18" s="222" t="s">
        <v>67</v>
      </c>
      <c r="P18" s="222" t="s">
        <v>67</v>
      </c>
      <c r="Q18" s="222" t="s">
        <v>67</v>
      </c>
      <c r="R18" s="222" t="s">
        <v>67</v>
      </c>
      <c r="S18" s="222" t="s">
        <v>67</v>
      </c>
      <c r="T18" s="222" t="s">
        <v>67</v>
      </c>
      <c r="U18" s="222" t="s">
        <v>67</v>
      </c>
      <c r="V18" s="222" t="s">
        <v>67</v>
      </c>
      <c r="W18" s="222" t="s">
        <v>67</v>
      </c>
      <c r="X18" s="222" t="s">
        <v>67</v>
      </c>
      <c r="Y18" s="222" t="s">
        <v>67</v>
      </c>
      <c r="Z18" s="222" t="s">
        <v>67</v>
      </c>
      <c r="AA18" s="222" t="s">
        <v>67</v>
      </c>
      <c r="AB18" s="222" t="s">
        <v>67</v>
      </c>
      <c r="AC18" s="222" t="s">
        <v>67</v>
      </c>
      <c r="AD18" s="222" t="s">
        <v>67</v>
      </c>
      <c r="AE18" s="222" t="s">
        <v>132</v>
      </c>
      <c r="AF18" s="222" t="s">
        <v>67</v>
      </c>
      <c r="AG18" s="222" t="s">
        <v>67</v>
      </c>
      <c r="AH18" s="222" t="s">
        <v>67</v>
      </c>
      <c r="AI18" s="222" t="s">
        <v>67</v>
      </c>
      <c r="AJ18" s="222" t="s">
        <v>67</v>
      </c>
      <c r="AK18" s="222" t="s">
        <v>67</v>
      </c>
      <c r="AL18" s="222" t="s">
        <v>67</v>
      </c>
      <c r="AM18" s="222" t="s">
        <v>67</v>
      </c>
      <c r="AN18" s="222" t="s">
        <v>67</v>
      </c>
      <c r="AO18" s="222" t="s">
        <v>67</v>
      </c>
      <c r="AP18" s="222" t="s">
        <v>67</v>
      </c>
      <c r="AQ18" s="222" t="s">
        <v>67</v>
      </c>
      <c r="AR18" s="222" t="s">
        <v>67</v>
      </c>
      <c r="AS18" s="222" t="s">
        <v>67</v>
      </c>
      <c r="AT18" s="222" t="s">
        <v>67</v>
      </c>
      <c r="AU18" s="222" t="s">
        <v>67</v>
      </c>
      <c r="AV18" s="222" t="s">
        <v>67</v>
      </c>
      <c r="AW18" s="222" t="s">
        <v>67</v>
      </c>
      <c r="AX18" s="222" t="s">
        <v>67</v>
      </c>
      <c r="AZ18" s="223">
        <f t="shared" si="5"/>
        <v>42</v>
      </c>
      <c r="BA18" s="223" t="str">
        <f t="shared" si="6"/>
        <v/>
      </c>
      <c r="BB18" s="223">
        <f t="shared" si="7"/>
        <v>1</v>
      </c>
      <c r="BC18" s="223">
        <f t="shared" si="8"/>
        <v>43</v>
      </c>
      <c r="BE18" s="199">
        <f>(F18/2*BB18)+(AZ18*F18)</f>
        <v>4250</v>
      </c>
      <c r="BF18" s="27"/>
      <c r="BG18" s="200">
        <f t="shared" si="10"/>
        <v>0</v>
      </c>
      <c r="BH18" s="200"/>
      <c r="BI18" s="226">
        <v>45935</v>
      </c>
      <c r="BJ18" s="227">
        <v>1000</v>
      </c>
      <c r="BK18" s="226"/>
      <c r="BL18" s="228"/>
      <c r="BM18" s="226"/>
      <c r="BN18" s="228"/>
      <c r="BO18" s="226"/>
      <c r="BP18" s="228"/>
      <c r="BQ18" s="227">
        <f t="shared" si="11"/>
        <v>1000</v>
      </c>
      <c r="BS18" s="225">
        <f t="shared" si="12"/>
        <v>195</v>
      </c>
      <c r="BT18" s="225">
        <f t="shared" si="13"/>
        <v>30</v>
      </c>
      <c r="BU18" s="225">
        <f t="shared" si="14"/>
        <v>195</v>
      </c>
      <c r="BV18" s="224">
        <f t="shared" si="15"/>
        <v>30</v>
      </c>
      <c r="BW18" s="240">
        <f t="shared" si="16"/>
        <v>450</v>
      </c>
      <c r="BX18" s="199"/>
      <c r="BY18" s="199">
        <f t="shared" si="2"/>
        <v>1450</v>
      </c>
      <c r="BZ18" s="199"/>
      <c r="CA18" s="248">
        <f t="shared" si="3"/>
        <v>2800</v>
      </c>
      <c r="CB18" t="s">
        <v>259</v>
      </c>
      <c r="CD18">
        <f t="shared" si="17"/>
        <v>135</v>
      </c>
    </row>
    <row r="19" spans="2:82" ht="15.75" thickTop="1" x14ac:dyDescent="0.25">
      <c r="B19" s="198"/>
      <c r="C19" s="198"/>
      <c r="D19" s="198"/>
      <c r="H19" s="222"/>
      <c r="I19" s="222"/>
      <c r="J19" s="222"/>
      <c r="K19" s="222"/>
      <c r="L19" s="222"/>
      <c r="M19" s="222"/>
      <c r="N19" s="222"/>
      <c r="O19" s="222"/>
      <c r="P19" s="222"/>
      <c r="Q19" s="222"/>
      <c r="R19" s="222"/>
      <c r="S19" s="222"/>
      <c r="T19" s="222"/>
      <c r="U19" s="222"/>
      <c r="V19" s="222"/>
      <c r="W19" s="222"/>
      <c r="X19" s="222"/>
      <c r="Y19" s="222"/>
      <c r="Z19" s="222"/>
      <c r="AA19" s="222"/>
      <c r="AB19" s="222"/>
      <c r="AC19" s="222"/>
      <c r="AD19" s="222"/>
      <c r="AE19" s="222"/>
      <c r="AF19" s="222"/>
      <c r="AG19" s="222"/>
      <c r="AH19" s="222"/>
      <c r="AI19" s="222"/>
      <c r="AJ19" s="222"/>
      <c r="AK19" s="222"/>
      <c r="AL19" s="222"/>
      <c r="AM19" s="222"/>
      <c r="AN19" s="222"/>
      <c r="AO19" s="222"/>
      <c r="AP19" s="222"/>
      <c r="AQ19" s="222"/>
      <c r="AR19" s="222"/>
      <c r="AS19" s="222"/>
      <c r="AT19" s="222"/>
      <c r="AU19" s="222"/>
      <c r="AV19" s="222"/>
      <c r="AW19" s="222"/>
      <c r="AX19" s="222"/>
      <c r="AZ19" s="196" t="str">
        <f t="shared" si="5"/>
        <v/>
      </c>
      <c r="BA19" s="196" t="str">
        <f t="shared" si="6"/>
        <v/>
      </c>
      <c r="BB19" s="196"/>
      <c r="BC19" s="196" t="str">
        <f t="shared" si="8"/>
        <v/>
      </c>
    </row>
    <row r="20" spans="2:82" ht="16.5" thickBot="1" x14ac:dyDescent="0.3">
      <c r="B20" s="211" t="s">
        <v>83</v>
      </c>
      <c r="C20" s="212"/>
      <c r="D20" s="212"/>
      <c r="E20" s="213"/>
      <c r="F20" s="213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02"/>
      <c r="X20" s="202"/>
      <c r="Y20" s="202"/>
      <c r="Z20" s="202"/>
      <c r="AA20" s="202"/>
      <c r="AB20" s="202"/>
      <c r="AC20" s="202"/>
      <c r="AD20" s="202"/>
      <c r="AE20" s="202"/>
      <c r="AF20" s="202"/>
      <c r="AG20" s="202"/>
      <c r="AH20" s="202"/>
      <c r="AI20" s="202"/>
      <c r="AJ20" s="202"/>
      <c r="AK20" s="202"/>
      <c r="AL20" s="202"/>
      <c r="AM20" s="202"/>
      <c r="AN20" s="202"/>
      <c r="AO20" s="202"/>
      <c r="AP20" s="202"/>
      <c r="AQ20" s="202"/>
      <c r="AR20" s="202"/>
      <c r="AS20" s="202"/>
      <c r="AT20" s="202"/>
      <c r="AU20" s="202"/>
      <c r="AV20" s="202"/>
      <c r="AW20" s="202"/>
      <c r="AX20" s="202"/>
      <c r="AY20" s="201"/>
      <c r="AZ20" s="203" t="str">
        <f t="shared" si="5"/>
        <v/>
      </c>
      <c r="BA20" s="203" t="str">
        <f t="shared" si="6"/>
        <v/>
      </c>
      <c r="BB20" s="203"/>
      <c r="BC20" s="203" t="str">
        <f t="shared" si="8"/>
        <v/>
      </c>
      <c r="BD20" s="201"/>
      <c r="BE20" s="201"/>
      <c r="BF20" s="201"/>
      <c r="BG20" s="201"/>
      <c r="BI20" s="201"/>
      <c r="BJ20" s="201"/>
      <c r="BK20" s="201"/>
      <c r="BL20" s="201"/>
      <c r="BM20" s="201"/>
      <c r="BN20" s="201"/>
      <c r="BO20" s="201"/>
      <c r="BP20" s="201"/>
      <c r="BQ20" s="201"/>
      <c r="BS20" s="201"/>
      <c r="BT20" s="201"/>
      <c r="BU20" s="201"/>
      <c r="BV20" s="201"/>
      <c r="BW20" s="201"/>
      <c r="BY20" s="201"/>
      <c r="CA20" s="201"/>
    </row>
    <row r="21" spans="2:82" ht="16.5" thickTop="1" thickBot="1" x14ac:dyDescent="0.3">
      <c r="B21" s="217" t="s">
        <v>18</v>
      </c>
      <c r="C21" s="198"/>
      <c r="D21" s="217" t="str">
        <f>IFERROR(VLOOKUP(B21,'DATOS GRALES 1'!$B$2:$E$91,4,0),"")</f>
        <v>PEON</v>
      </c>
      <c r="E21" s="219" t="str">
        <f>IF(D21="","",IF(D21="PEON","3300","4200"))</f>
        <v>3300</v>
      </c>
      <c r="F21" s="220">
        <f>IFERROR((E21/30),"")</f>
        <v>110</v>
      </c>
      <c r="H21" s="222"/>
      <c r="I21" s="222"/>
      <c r="J21" s="222"/>
      <c r="K21" s="222"/>
      <c r="L21" s="222"/>
      <c r="M21" s="222"/>
      <c r="N21" s="222"/>
      <c r="O21" s="222"/>
      <c r="P21" s="222"/>
      <c r="Q21" s="222"/>
      <c r="R21" s="222"/>
      <c r="S21" s="222"/>
      <c r="T21" s="222"/>
      <c r="U21" s="222" t="s">
        <v>67</v>
      </c>
      <c r="V21" s="222" t="s">
        <v>67</v>
      </c>
      <c r="W21" s="222" t="s">
        <v>67</v>
      </c>
      <c r="X21" s="222" t="s">
        <v>67</v>
      </c>
      <c r="Y21" s="222" t="s">
        <v>67</v>
      </c>
      <c r="Z21" s="222" t="s">
        <v>67</v>
      </c>
      <c r="AA21" s="222" t="s">
        <v>67</v>
      </c>
      <c r="AB21" s="222" t="s">
        <v>67</v>
      </c>
      <c r="AC21" s="222" t="s">
        <v>67</v>
      </c>
      <c r="AD21" s="222" t="s">
        <v>67</v>
      </c>
      <c r="AE21" s="222" t="s">
        <v>67</v>
      </c>
      <c r="AF21" s="222" t="s">
        <v>67</v>
      </c>
      <c r="AG21" s="222" t="s">
        <v>67</v>
      </c>
      <c r="AH21" s="222" t="s">
        <v>67</v>
      </c>
      <c r="AI21" s="222" t="s">
        <v>67</v>
      </c>
      <c r="AJ21" s="222" t="s">
        <v>67</v>
      </c>
      <c r="AK21" s="222" t="s">
        <v>67</v>
      </c>
      <c r="AL21" s="222" t="s">
        <v>67</v>
      </c>
      <c r="AM21" s="222" t="s">
        <v>67</v>
      </c>
      <c r="AN21" s="222" t="s">
        <v>67</v>
      </c>
      <c r="AO21" s="222" t="s">
        <v>67</v>
      </c>
      <c r="AP21" s="222" t="s">
        <v>67</v>
      </c>
      <c r="AQ21" s="222" t="s">
        <v>67</v>
      </c>
      <c r="AR21" s="222" t="s">
        <v>67</v>
      </c>
      <c r="AS21" s="222" t="s">
        <v>67</v>
      </c>
      <c r="AT21" s="222" t="s">
        <v>67</v>
      </c>
      <c r="AU21" s="222" t="s">
        <v>67</v>
      </c>
      <c r="AV21" s="222" t="s">
        <v>67</v>
      </c>
      <c r="AW21" s="222" t="s">
        <v>67</v>
      </c>
      <c r="AX21" s="222" t="s">
        <v>67</v>
      </c>
      <c r="AZ21" s="223">
        <f t="shared" si="5"/>
        <v>30</v>
      </c>
      <c r="BA21" s="223" t="str">
        <f t="shared" si="6"/>
        <v/>
      </c>
      <c r="BB21" s="223">
        <f t="shared" si="7"/>
        <v>0</v>
      </c>
      <c r="BC21" s="223">
        <f t="shared" si="8"/>
        <v>30</v>
      </c>
      <c r="BE21" s="199">
        <f>IFERROR((F21/2*BB21)+(AZ21*F21),"")</f>
        <v>3300</v>
      </c>
      <c r="BF21" s="27"/>
      <c r="BG21" s="200">
        <f>IFERROR((F21/8*BF21),"")</f>
        <v>0</v>
      </c>
      <c r="BH21" s="200"/>
      <c r="BI21" s="226"/>
      <c r="BJ21" s="228"/>
      <c r="BK21" s="226"/>
      <c r="BL21" s="228"/>
      <c r="BM21" s="226"/>
      <c r="BN21" s="228"/>
      <c r="BO21" s="226"/>
      <c r="BP21" s="228"/>
      <c r="BQ21" s="227">
        <f>BJ21+BL21+BN21+BP21</f>
        <v>0</v>
      </c>
      <c r="BS21" s="241">
        <f>IFERROR((E21*13%/2),"")</f>
        <v>214.5</v>
      </c>
      <c r="BT21" s="225">
        <f>IFERROR((E21*2%/2),"")</f>
        <v>33</v>
      </c>
      <c r="BU21" s="224">
        <f>IFERROR((E21*13%/2),"")</f>
        <v>214.5</v>
      </c>
      <c r="BV21" s="224">
        <f>IFERROR((E21*2%/2),"")</f>
        <v>33</v>
      </c>
      <c r="BW21" s="242">
        <f>SUM(BS21:BV21)</f>
        <v>495</v>
      </c>
      <c r="BX21" s="214"/>
      <c r="BY21" s="199">
        <f>BQ21+BW21</f>
        <v>495</v>
      </c>
      <c r="BZ21" s="199"/>
      <c r="CA21" s="246">
        <f t="shared" ref="CA21:CA61" si="18">IFERROR((BE21-BW21),"")</f>
        <v>2805</v>
      </c>
      <c r="CB21" t="s">
        <v>258</v>
      </c>
      <c r="CD21">
        <f>IF(CB21=$CF$9,(E21*$CG$9/2),(E21*$CG$11/2))</f>
        <v>214.5</v>
      </c>
    </row>
    <row r="22" spans="2:82" ht="15.75" thickBot="1" x14ac:dyDescent="0.3">
      <c r="B22" s="217" t="s">
        <v>16</v>
      </c>
      <c r="C22" s="198"/>
      <c r="D22" s="217" t="str">
        <f>IFERROR(VLOOKUP(B22,'DATOS GRALES 1'!$B$2:$E$91,4,0),"")</f>
        <v>PEON</v>
      </c>
      <c r="E22" s="219" t="str">
        <f t="shared" ref="E22:E61" si="19">IF(D22="","",IF(D22="PEON","3300","4200"))</f>
        <v>3300</v>
      </c>
      <c r="F22" s="220">
        <f t="shared" ref="F22:F61" si="20">IFERROR((E22/30),"")</f>
        <v>110</v>
      </c>
      <c r="H22" s="222"/>
      <c r="I22" s="222"/>
      <c r="J22" s="222"/>
      <c r="K22" s="222"/>
      <c r="L22" s="222"/>
      <c r="M22" s="222"/>
      <c r="N22" s="222"/>
      <c r="O22" s="222"/>
      <c r="P22" s="222"/>
      <c r="Q22" s="222"/>
      <c r="R22" s="222"/>
      <c r="S22" s="222"/>
      <c r="T22" s="222"/>
      <c r="U22" s="222" t="s">
        <v>67</v>
      </c>
      <c r="V22" s="222" t="s">
        <v>67</v>
      </c>
      <c r="W22" s="222" t="s">
        <v>67</v>
      </c>
      <c r="X22" s="222" t="s">
        <v>67</v>
      </c>
      <c r="Y22" s="222" t="s">
        <v>67</v>
      </c>
      <c r="Z22" s="222" t="s">
        <v>67</v>
      </c>
      <c r="AA22" s="222" t="s">
        <v>67</v>
      </c>
      <c r="AB22" s="222" t="s">
        <v>67</v>
      </c>
      <c r="AC22" s="222" t="s">
        <v>67</v>
      </c>
      <c r="AD22" s="222" t="s">
        <v>67</v>
      </c>
      <c r="AE22" s="222" t="s">
        <v>67</v>
      </c>
      <c r="AF22" s="222" t="s">
        <v>67</v>
      </c>
      <c r="AG22" s="222" t="s">
        <v>67</v>
      </c>
      <c r="AH22" s="222" t="s">
        <v>67</v>
      </c>
      <c r="AI22" s="222" t="s">
        <v>67</v>
      </c>
      <c r="AJ22" s="222" t="s">
        <v>67</v>
      </c>
      <c r="AK22" s="222" t="s">
        <v>67</v>
      </c>
      <c r="AL22" s="222" t="s">
        <v>67</v>
      </c>
      <c r="AM22" s="222" t="s">
        <v>67</v>
      </c>
      <c r="AN22" s="222" t="s">
        <v>67</v>
      </c>
      <c r="AO22" s="222" t="s">
        <v>67</v>
      </c>
      <c r="AP22" s="222" t="s">
        <v>67</v>
      </c>
      <c r="AQ22" s="222" t="s">
        <v>67</v>
      </c>
      <c r="AR22" s="222" t="s">
        <v>67</v>
      </c>
      <c r="AS22" s="222" t="s">
        <v>67</v>
      </c>
      <c r="AT22" s="222" t="s">
        <v>67</v>
      </c>
      <c r="AU22" s="222" t="s">
        <v>67</v>
      </c>
      <c r="AV22" s="222" t="s">
        <v>67</v>
      </c>
      <c r="AW22" s="222" t="s">
        <v>67</v>
      </c>
      <c r="AX22" s="222" t="s">
        <v>67</v>
      </c>
      <c r="AZ22" s="223">
        <f t="shared" si="5"/>
        <v>30</v>
      </c>
      <c r="BA22" s="223" t="str">
        <f t="shared" si="6"/>
        <v/>
      </c>
      <c r="BB22" s="223">
        <f t="shared" si="7"/>
        <v>0</v>
      </c>
      <c r="BC22" s="223">
        <f t="shared" si="8"/>
        <v>30</v>
      </c>
      <c r="BE22" s="199">
        <f t="shared" ref="BE22:BE61" si="21">IFERROR((F22/2*BB22)+(AZ22*F22),"")</f>
        <v>3300</v>
      </c>
      <c r="BF22" s="27"/>
      <c r="BG22" s="200">
        <f t="shared" ref="BG22:BG61" si="22">IFERROR((F22/8*BF22),"")</f>
        <v>0</v>
      </c>
      <c r="BH22" s="200"/>
      <c r="BI22" s="226"/>
      <c r="BJ22" s="228"/>
      <c r="BK22" s="226"/>
      <c r="BL22" s="228"/>
      <c r="BM22" s="226"/>
      <c r="BN22" s="228"/>
      <c r="BO22" s="226"/>
      <c r="BP22" s="228"/>
      <c r="BQ22" s="227">
        <f t="shared" ref="BQ22:BQ60" si="23">BJ22+BL22+BN22+BP22</f>
        <v>0</v>
      </c>
      <c r="BS22" s="241">
        <f t="shared" ref="BS22:BS61" si="24">IFERROR((E22*13%/2),"")</f>
        <v>214.5</v>
      </c>
      <c r="BT22" s="225">
        <f t="shared" ref="BT22:BT61" si="25">IFERROR((E22*2%/2),"")</f>
        <v>33</v>
      </c>
      <c r="BU22" s="224">
        <f t="shared" ref="BU22:BU61" si="26">IFERROR((E22*13%/2),"")</f>
        <v>214.5</v>
      </c>
      <c r="BV22" s="224">
        <f t="shared" ref="BV22:BV61" si="27">IFERROR((E22*2%/2),"")</f>
        <v>33</v>
      </c>
      <c r="BW22" s="243">
        <f t="shared" ref="BW22:BW61" si="28">SUM(BS22:BV22)</f>
        <v>495</v>
      </c>
      <c r="BX22" s="214"/>
      <c r="BY22" s="199">
        <f t="shared" ref="BY22:BY61" si="29">BQ22+BW22</f>
        <v>495</v>
      </c>
      <c r="BZ22" s="199"/>
      <c r="CA22" s="247">
        <f t="shared" si="18"/>
        <v>2805</v>
      </c>
      <c r="CB22" t="s">
        <v>258</v>
      </c>
      <c r="CD22">
        <f t="shared" ref="CD22:CD23" si="30">IF(CB22=$CF$9,(E22*$CG$9/2),(E22*$CG$11/2))</f>
        <v>214.5</v>
      </c>
    </row>
    <row r="23" spans="2:82" ht="15.75" thickBot="1" x14ac:dyDescent="0.3">
      <c r="B23" s="217" t="s">
        <v>17</v>
      </c>
      <c r="C23" s="198"/>
      <c r="D23" s="217" t="str">
        <f>IFERROR(VLOOKUP(B23,'DATOS GRALES 1'!$B$2:$E$91,4,0),"")</f>
        <v>PEON</v>
      </c>
      <c r="E23" s="219" t="str">
        <f t="shared" si="19"/>
        <v>3300</v>
      </c>
      <c r="F23" s="220">
        <f t="shared" si="20"/>
        <v>110</v>
      </c>
      <c r="H23" s="222"/>
      <c r="I23" s="222"/>
      <c r="J23" s="222"/>
      <c r="K23" s="222"/>
      <c r="L23" s="222"/>
      <c r="M23" s="222"/>
      <c r="N23" s="222"/>
      <c r="O23" s="222"/>
      <c r="P23" s="222"/>
      <c r="Q23" s="222"/>
      <c r="R23" s="222"/>
      <c r="S23" s="222"/>
      <c r="T23" s="222"/>
      <c r="U23" s="222" t="s">
        <v>67</v>
      </c>
      <c r="V23" s="222" t="s">
        <v>67</v>
      </c>
      <c r="W23" s="222" t="s">
        <v>67</v>
      </c>
      <c r="X23" s="222" t="s">
        <v>67</v>
      </c>
      <c r="Y23" s="222" t="s">
        <v>67</v>
      </c>
      <c r="Z23" s="222" t="s">
        <v>67</v>
      </c>
      <c r="AA23" s="222" t="s">
        <v>67</v>
      </c>
      <c r="AB23" s="222" t="s">
        <v>67</v>
      </c>
      <c r="AC23" s="222" t="s">
        <v>67</v>
      </c>
      <c r="AD23" s="222" t="s">
        <v>67</v>
      </c>
      <c r="AE23" s="222" t="s">
        <v>67</v>
      </c>
      <c r="AF23" s="222" t="s">
        <v>67</v>
      </c>
      <c r="AG23" s="222" t="s">
        <v>67</v>
      </c>
      <c r="AH23" s="222" t="s">
        <v>67</v>
      </c>
      <c r="AI23" s="222" t="s">
        <v>67</v>
      </c>
      <c r="AJ23" s="222" t="s">
        <v>67</v>
      </c>
      <c r="AK23" s="222" t="s">
        <v>67</v>
      </c>
      <c r="AL23" s="222" t="s">
        <v>67</v>
      </c>
      <c r="AM23" s="222" t="s">
        <v>67</v>
      </c>
      <c r="AN23" s="222" t="s">
        <v>67</v>
      </c>
      <c r="AO23" s="222" t="s">
        <v>67</v>
      </c>
      <c r="AP23" s="222" t="s">
        <v>67</v>
      </c>
      <c r="AQ23" s="222" t="s">
        <v>67</v>
      </c>
      <c r="AR23" s="222" t="s">
        <v>67</v>
      </c>
      <c r="AS23" s="222" t="s">
        <v>67</v>
      </c>
      <c r="AT23" s="222" t="s">
        <v>67</v>
      </c>
      <c r="AU23" s="222" t="s">
        <v>67</v>
      </c>
      <c r="AV23" s="222" t="s">
        <v>67</v>
      </c>
      <c r="AW23" s="222" t="s">
        <v>67</v>
      </c>
      <c r="AX23" s="222" t="s">
        <v>67</v>
      </c>
      <c r="AZ23" s="223">
        <f t="shared" si="5"/>
        <v>30</v>
      </c>
      <c r="BA23" s="223" t="str">
        <f t="shared" si="6"/>
        <v/>
      </c>
      <c r="BB23" s="223">
        <f t="shared" si="7"/>
        <v>0</v>
      </c>
      <c r="BC23" s="223">
        <f t="shared" si="8"/>
        <v>30</v>
      </c>
      <c r="BE23" s="199">
        <f t="shared" si="21"/>
        <v>3300</v>
      </c>
      <c r="BF23" s="27"/>
      <c r="BG23" s="200">
        <f t="shared" si="22"/>
        <v>0</v>
      </c>
      <c r="BH23" s="200"/>
      <c r="BI23" s="226"/>
      <c r="BJ23" s="228"/>
      <c r="BK23" s="226"/>
      <c r="BL23" s="228"/>
      <c r="BM23" s="226"/>
      <c r="BN23" s="228"/>
      <c r="BO23" s="226"/>
      <c r="BP23" s="228"/>
      <c r="BQ23" s="227">
        <f t="shared" si="23"/>
        <v>0</v>
      </c>
      <c r="BS23" s="241">
        <f t="shared" si="24"/>
        <v>214.5</v>
      </c>
      <c r="BT23" s="225">
        <f t="shared" si="25"/>
        <v>33</v>
      </c>
      <c r="BU23" s="224">
        <f t="shared" si="26"/>
        <v>214.5</v>
      </c>
      <c r="BV23" s="224">
        <f t="shared" si="27"/>
        <v>33</v>
      </c>
      <c r="BW23" s="243">
        <f t="shared" si="28"/>
        <v>495</v>
      </c>
      <c r="BX23" s="214"/>
      <c r="BY23" s="199">
        <f t="shared" si="29"/>
        <v>495</v>
      </c>
      <c r="BZ23" s="199"/>
      <c r="CA23" s="247">
        <f t="shared" si="18"/>
        <v>2805</v>
      </c>
      <c r="CB23" t="s">
        <v>259</v>
      </c>
      <c r="CD23">
        <f t="shared" si="30"/>
        <v>148.5</v>
      </c>
    </row>
    <row r="24" spans="2:82" ht="15.75" thickBot="1" x14ac:dyDescent="0.3">
      <c r="B24" s="217" t="s">
        <v>22</v>
      </c>
      <c r="C24" s="198"/>
      <c r="D24" s="217" t="str">
        <f>IFERROR(VLOOKUP(B24,'DATOS GRALES 1'!$B$2:$E$91,4,0),"")</f>
        <v>PEON</v>
      </c>
      <c r="E24" s="219" t="str">
        <f t="shared" si="19"/>
        <v>3300</v>
      </c>
      <c r="F24" s="220">
        <f t="shared" si="20"/>
        <v>110</v>
      </c>
      <c r="H24" s="222"/>
      <c r="I24" s="222"/>
      <c r="J24" s="222"/>
      <c r="K24" s="222"/>
      <c r="L24" s="222"/>
      <c r="M24" s="222"/>
      <c r="N24" s="222"/>
      <c r="O24" s="222"/>
      <c r="P24" s="222"/>
      <c r="Q24" s="222"/>
      <c r="R24" s="222"/>
      <c r="S24" s="222"/>
      <c r="T24" s="222"/>
      <c r="U24" s="222"/>
      <c r="V24" s="222" t="s">
        <v>67</v>
      </c>
      <c r="W24" s="222" t="s">
        <v>67</v>
      </c>
      <c r="X24" s="222" t="s">
        <v>67</v>
      </c>
      <c r="Y24" s="222" t="s">
        <v>67</v>
      </c>
      <c r="Z24" s="222" t="s">
        <v>67</v>
      </c>
      <c r="AA24" s="222" t="s">
        <v>67</v>
      </c>
      <c r="AB24" s="222" t="s">
        <v>67</v>
      </c>
      <c r="AC24" s="222" t="s">
        <v>67</v>
      </c>
      <c r="AD24" s="222" t="s">
        <v>67</v>
      </c>
      <c r="AE24" s="222" t="s">
        <v>67</v>
      </c>
      <c r="AF24" s="222" t="s">
        <v>67</v>
      </c>
      <c r="AG24" s="222" t="s">
        <v>67</v>
      </c>
      <c r="AH24" s="222" t="s">
        <v>67</v>
      </c>
      <c r="AI24" s="222" t="s">
        <v>67</v>
      </c>
      <c r="AJ24" s="222" t="s">
        <v>67</v>
      </c>
      <c r="AK24" s="222" t="s">
        <v>67</v>
      </c>
      <c r="AL24" s="222" t="s">
        <v>67</v>
      </c>
      <c r="AM24" s="222" t="s">
        <v>67</v>
      </c>
      <c r="AN24" s="222" t="s">
        <v>67</v>
      </c>
      <c r="AO24" s="222" t="s">
        <v>67</v>
      </c>
      <c r="AP24" s="222" t="s">
        <v>67</v>
      </c>
      <c r="AQ24" s="222" t="s">
        <v>67</v>
      </c>
      <c r="AR24" s="222" t="s">
        <v>67</v>
      </c>
      <c r="AS24" s="222" t="s">
        <v>67</v>
      </c>
      <c r="AT24" s="222" t="s">
        <v>67</v>
      </c>
      <c r="AU24" s="222" t="s">
        <v>67</v>
      </c>
      <c r="AV24" s="222" t="s">
        <v>67</v>
      </c>
      <c r="AW24" s="222" t="s">
        <v>67</v>
      </c>
      <c r="AX24" s="222" t="s">
        <v>67</v>
      </c>
      <c r="AZ24" s="223">
        <f t="shared" si="5"/>
        <v>29</v>
      </c>
      <c r="BA24" s="223" t="str">
        <f t="shared" si="6"/>
        <v/>
      </c>
      <c r="BB24" s="223">
        <f t="shared" si="7"/>
        <v>0</v>
      </c>
      <c r="BC24" s="223">
        <f t="shared" si="8"/>
        <v>29</v>
      </c>
      <c r="BE24" s="199">
        <f t="shared" si="21"/>
        <v>3190</v>
      </c>
      <c r="BF24" s="27"/>
      <c r="BG24" s="200">
        <f t="shared" si="22"/>
        <v>0</v>
      </c>
      <c r="BH24" s="200"/>
      <c r="BI24" s="226"/>
      <c r="BJ24" s="228"/>
      <c r="BK24" s="226"/>
      <c r="BL24" s="228"/>
      <c r="BM24" s="226"/>
      <c r="BN24" s="228"/>
      <c r="BO24" s="226"/>
      <c r="BP24" s="228"/>
      <c r="BQ24" s="227">
        <f t="shared" si="23"/>
        <v>0</v>
      </c>
      <c r="BS24" s="241">
        <f t="shared" si="24"/>
        <v>214.5</v>
      </c>
      <c r="BT24" s="225">
        <f t="shared" si="25"/>
        <v>33</v>
      </c>
      <c r="BU24" s="224">
        <f t="shared" si="26"/>
        <v>214.5</v>
      </c>
      <c r="BV24" s="224">
        <f t="shared" si="27"/>
        <v>33</v>
      </c>
      <c r="BW24" s="243">
        <f t="shared" si="28"/>
        <v>495</v>
      </c>
      <c r="BX24" s="214"/>
      <c r="BY24" s="199">
        <f t="shared" si="29"/>
        <v>495</v>
      </c>
      <c r="BZ24" s="199"/>
      <c r="CA24" s="247">
        <f t="shared" si="18"/>
        <v>2695</v>
      </c>
    </row>
    <row r="25" spans="2:82" ht="15.75" thickBot="1" x14ac:dyDescent="0.3">
      <c r="B25" s="217" t="s">
        <v>21</v>
      </c>
      <c r="C25" s="198"/>
      <c r="D25" s="217" t="str">
        <f>IFERROR(VLOOKUP(B25,'DATOS GRALES 1'!$B$2:$E$91,4,0),"")</f>
        <v>OPERARIO</v>
      </c>
      <c r="E25" s="219" t="str">
        <f t="shared" si="19"/>
        <v>4200</v>
      </c>
      <c r="F25" s="220">
        <f t="shared" si="20"/>
        <v>140</v>
      </c>
      <c r="H25" s="222"/>
      <c r="I25" s="222"/>
      <c r="J25" s="222"/>
      <c r="K25" s="222"/>
      <c r="L25" s="222"/>
      <c r="M25" s="222"/>
      <c r="N25" s="222"/>
      <c r="O25" s="222"/>
      <c r="P25" s="222"/>
      <c r="Q25" s="222"/>
      <c r="R25" s="222"/>
      <c r="S25" s="222"/>
      <c r="T25" s="222"/>
      <c r="U25" s="222"/>
      <c r="V25" s="222" t="s">
        <v>67</v>
      </c>
      <c r="W25" s="222" t="s">
        <v>67</v>
      </c>
      <c r="X25" s="222" t="s">
        <v>67</v>
      </c>
      <c r="Y25" s="222" t="s">
        <v>67</v>
      </c>
      <c r="Z25" s="222" t="s">
        <v>67</v>
      </c>
      <c r="AA25" s="222" t="s">
        <v>67</v>
      </c>
      <c r="AB25" s="222" t="s">
        <v>67</v>
      </c>
      <c r="AC25" s="222" t="s">
        <v>67</v>
      </c>
      <c r="AD25" s="222" t="s">
        <v>67</v>
      </c>
      <c r="AE25" s="222" t="s">
        <v>67</v>
      </c>
      <c r="AF25" s="222" t="s">
        <v>67</v>
      </c>
      <c r="AG25" s="222" t="s">
        <v>67</v>
      </c>
      <c r="AH25" s="222" t="s">
        <v>67</v>
      </c>
      <c r="AI25" s="222" t="s">
        <v>67</v>
      </c>
      <c r="AJ25" s="222" t="s">
        <v>67</v>
      </c>
      <c r="AK25" s="222" t="s">
        <v>67</v>
      </c>
      <c r="AL25" s="222" t="s">
        <v>67</v>
      </c>
      <c r="AM25" s="222" t="s">
        <v>67</v>
      </c>
      <c r="AN25" s="222" t="s">
        <v>67</v>
      </c>
      <c r="AO25" s="222" t="s">
        <v>67</v>
      </c>
      <c r="AP25" s="222" t="s">
        <v>67</v>
      </c>
      <c r="AQ25" s="222" t="s">
        <v>67</v>
      </c>
      <c r="AR25" s="222" t="s">
        <v>67</v>
      </c>
      <c r="AS25" s="222" t="s">
        <v>67</v>
      </c>
      <c r="AT25" s="222" t="s">
        <v>67</v>
      </c>
      <c r="AU25" s="222" t="s">
        <v>67</v>
      </c>
      <c r="AV25" s="222" t="s">
        <v>67</v>
      </c>
      <c r="AW25" s="222" t="s">
        <v>67</v>
      </c>
      <c r="AX25" s="222" t="s">
        <v>67</v>
      </c>
      <c r="AZ25" s="223">
        <f t="shared" si="5"/>
        <v>29</v>
      </c>
      <c r="BA25" s="223" t="str">
        <f t="shared" si="6"/>
        <v/>
      </c>
      <c r="BB25" s="223">
        <f t="shared" si="7"/>
        <v>0</v>
      </c>
      <c r="BC25" s="223">
        <f t="shared" si="8"/>
        <v>29</v>
      </c>
      <c r="BE25" s="199">
        <f t="shared" si="21"/>
        <v>4060</v>
      </c>
      <c r="BF25" s="27"/>
      <c r="BG25" s="200">
        <f t="shared" si="22"/>
        <v>0</v>
      </c>
      <c r="BH25" s="200"/>
      <c r="BI25" s="226"/>
      <c r="BJ25" s="228"/>
      <c r="BK25" s="226"/>
      <c r="BL25" s="228"/>
      <c r="BM25" s="226"/>
      <c r="BN25" s="228"/>
      <c r="BO25" s="226"/>
      <c r="BP25" s="228"/>
      <c r="BQ25" s="227">
        <f t="shared" si="23"/>
        <v>0</v>
      </c>
      <c r="BS25" s="241">
        <f t="shared" si="24"/>
        <v>273</v>
      </c>
      <c r="BT25" s="225">
        <f t="shared" si="25"/>
        <v>42</v>
      </c>
      <c r="BU25" s="224">
        <f t="shared" si="26"/>
        <v>273</v>
      </c>
      <c r="BV25" s="224">
        <f t="shared" si="27"/>
        <v>42</v>
      </c>
      <c r="BW25" s="243">
        <f t="shared" si="28"/>
        <v>630</v>
      </c>
      <c r="BX25" s="214"/>
      <c r="BY25" s="199">
        <f t="shared" si="29"/>
        <v>630</v>
      </c>
      <c r="BZ25" s="199"/>
      <c r="CA25" s="247">
        <f t="shared" si="18"/>
        <v>3430</v>
      </c>
    </row>
    <row r="26" spans="2:82" ht="15.75" thickBot="1" x14ac:dyDescent="0.3">
      <c r="B26" s="217" t="s">
        <v>25</v>
      </c>
      <c r="C26" s="198"/>
      <c r="D26" s="217" t="str">
        <f>IFERROR(VLOOKUP(B26,'DATOS GRALES 1'!$B$2:$E$91,4,0),"")</f>
        <v>PEON</v>
      </c>
      <c r="E26" s="219" t="str">
        <f t="shared" si="19"/>
        <v>3300</v>
      </c>
      <c r="F26" s="220">
        <f t="shared" si="20"/>
        <v>110</v>
      </c>
      <c r="H26" s="222"/>
      <c r="I26" s="222"/>
      <c r="J26" s="222"/>
      <c r="K26" s="222"/>
      <c r="L26" s="222"/>
      <c r="M26" s="222"/>
      <c r="N26" s="222"/>
      <c r="O26" s="222"/>
      <c r="P26" s="222"/>
      <c r="Q26" s="222"/>
      <c r="R26" s="222"/>
      <c r="S26" s="222"/>
      <c r="T26" s="222"/>
      <c r="U26" s="222" t="s">
        <v>67</v>
      </c>
      <c r="V26" s="222" t="s">
        <v>67</v>
      </c>
      <c r="W26" s="222" t="s">
        <v>67</v>
      </c>
      <c r="X26" s="222" t="s">
        <v>67</v>
      </c>
      <c r="Y26" s="222" t="s">
        <v>67</v>
      </c>
      <c r="Z26" s="222" t="s">
        <v>67</v>
      </c>
      <c r="AA26" s="222" t="s">
        <v>67</v>
      </c>
      <c r="AB26" s="222" t="s">
        <v>67</v>
      </c>
      <c r="AC26" s="222" t="s">
        <v>67</v>
      </c>
      <c r="AD26" s="222" t="s">
        <v>67</v>
      </c>
      <c r="AE26" s="222" t="s">
        <v>67</v>
      </c>
      <c r="AF26" s="222" t="s">
        <v>67</v>
      </c>
      <c r="AG26" s="222" t="s">
        <v>67</v>
      </c>
      <c r="AH26" s="222" t="s">
        <v>67</v>
      </c>
      <c r="AI26" s="222" t="s">
        <v>67</v>
      </c>
      <c r="AJ26" s="222" t="s">
        <v>67</v>
      </c>
      <c r="AK26" s="222" t="s">
        <v>67</v>
      </c>
      <c r="AL26" s="222" t="s">
        <v>67</v>
      </c>
      <c r="AM26" s="222" t="s">
        <v>67</v>
      </c>
      <c r="AN26" s="222" t="s">
        <v>67</v>
      </c>
      <c r="AO26" s="222" t="s">
        <v>67</v>
      </c>
      <c r="AP26" s="222" t="s">
        <v>67</v>
      </c>
      <c r="AQ26" s="222" t="s">
        <v>67</v>
      </c>
      <c r="AR26" s="222" t="s">
        <v>67</v>
      </c>
      <c r="AS26" s="222" t="s">
        <v>67</v>
      </c>
      <c r="AT26" s="222" t="s">
        <v>67</v>
      </c>
      <c r="AU26" s="222" t="s">
        <v>67</v>
      </c>
      <c r="AV26" s="222" t="s">
        <v>67</v>
      </c>
      <c r="AW26" s="222" t="s">
        <v>67</v>
      </c>
      <c r="AX26" s="222" t="s">
        <v>67</v>
      </c>
      <c r="AZ26" s="223">
        <f t="shared" si="5"/>
        <v>30</v>
      </c>
      <c r="BA26" s="223" t="str">
        <f t="shared" si="6"/>
        <v/>
      </c>
      <c r="BB26" s="223">
        <f t="shared" si="7"/>
        <v>0</v>
      </c>
      <c r="BC26" s="223">
        <f t="shared" si="8"/>
        <v>30</v>
      </c>
      <c r="BE26" s="199">
        <f t="shared" si="21"/>
        <v>3300</v>
      </c>
      <c r="BF26" s="27"/>
      <c r="BG26" s="200">
        <f t="shared" si="22"/>
        <v>0</v>
      </c>
      <c r="BH26" s="200"/>
      <c r="BI26" s="226"/>
      <c r="BJ26" s="228"/>
      <c r="BK26" s="226"/>
      <c r="BL26" s="228"/>
      <c r="BM26" s="226"/>
      <c r="BN26" s="228"/>
      <c r="BO26" s="226"/>
      <c r="BP26" s="228"/>
      <c r="BQ26" s="227">
        <f t="shared" si="23"/>
        <v>0</v>
      </c>
      <c r="BS26" s="241">
        <f t="shared" si="24"/>
        <v>214.5</v>
      </c>
      <c r="BT26" s="225">
        <f t="shared" si="25"/>
        <v>33</v>
      </c>
      <c r="BU26" s="224">
        <f t="shared" si="26"/>
        <v>214.5</v>
      </c>
      <c r="BV26" s="224">
        <f t="shared" si="27"/>
        <v>33</v>
      </c>
      <c r="BW26" s="243">
        <f t="shared" si="28"/>
        <v>495</v>
      </c>
      <c r="BX26" s="214"/>
      <c r="BY26" s="199">
        <f t="shared" si="29"/>
        <v>495</v>
      </c>
      <c r="BZ26" s="199"/>
      <c r="CA26" s="247">
        <f t="shared" si="18"/>
        <v>2805</v>
      </c>
    </row>
    <row r="27" spans="2:82" ht="23.25" thickBot="1" x14ac:dyDescent="0.3">
      <c r="B27" s="217" t="s">
        <v>19</v>
      </c>
      <c r="C27" s="198"/>
      <c r="D27" s="221" t="str">
        <f>IFERROR(VLOOKUP(B27,'DATOS GRALES 1'!$B$2:$E$91,4,0),"")</f>
        <v>OPERARIO/VOLQUETERO</v>
      </c>
      <c r="E27" s="219" t="str">
        <f t="shared" si="19"/>
        <v>4200</v>
      </c>
      <c r="F27" s="220">
        <f t="shared" si="20"/>
        <v>140</v>
      </c>
      <c r="H27" s="222"/>
      <c r="I27" s="222"/>
      <c r="J27" s="222"/>
      <c r="K27" s="222"/>
      <c r="L27" s="222"/>
      <c r="M27" s="222"/>
      <c r="N27" s="222"/>
      <c r="O27" s="222"/>
      <c r="P27" s="222"/>
      <c r="Q27" s="222"/>
      <c r="R27" s="222"/>
      <c r="S27" s="222"/>
      <c r="T27" s="222"/>
      <c r="U27" s="222"/>
      <c r="V27" s="222" t="s">
        <v>67</v>
      </c>
      <c r="W27" s="222" t="s">
        <v>67</v>
      </c>
      <c r="X27" s="222" t="s">
        <v>67</v>
      </c>
      <c r="Y27" s="222" t="s">
        <v>67</v>
      </c>
      <c r="Z27" s="222" t="s">
        <v>67</v>
      </c>
      <c r="AA27" s="222" t="s">
        <v>67</v>
      </c>
      <c r="AB27" s="222" t="s">
        <v>67</v>
      </c>
      <c r="AC27" s="222" t="s">
        <v>67</v>
      </c>
      <c r="AD27" s="222" t="s">
        <v>67</v>
      </c>
      <c r="AE27" s="222" t="s">
        <v>67</v>
      </c>
      <c r="AF27" s="222" t="s">
        <v>67</v>
      </c>
      <c r="AG27" s="222" t="s">
        <v>67</v>
      </c>
      <c r="AH27" s="222" t="s">
        <v>67</v>
      </c>
      <c r="AI27" s="222" t="s">
        <v>67</v>
      </c>
      <c r="AJ27" s="222" t="s">
        <v>67</v>
      </c>
      <c r="AK27" s="222" t="s">
        <v>67</v>
      </c>
      <c r="AL27" s="222" t="s">
        <v>67</v>
      </c>
      <c r="AM27" s="222" t="s">
        <v>67</v>
      </c>
      <c r="AN27" s="222" t="s">
        <v>67</v>
      </c>
      <c r="AO27" s="222" t="s">
        <v>67</v>
      </c>
      <c r="AP27" s="222" t="s">
        <v>67</v>
      </c>
      <c r="AQ27" s="222" t="s">
        <v>78</v>
      </c>
      <c r="AR27" s="222" t="s">
        <v>67</v>
      </c>
      <c r="AS27" s="222" t="s">
        <v>67</v>
      </c>
      <c r="AT27" s="222" t="s">
        <v>67</v>
      </c>
      <c r="AU27" s="222" t="s">
        <v>67</v>
      </c>
      <c r="AV27" s="222" t="s">
        <v>67</v>
      </c>
      <c r="AW27" s="222" t="s">
        <v>78</v>
      </c>
      <c r="AX27" s="222" t="s">
        <v>67</v>
      </c>
      <c r="AZ27" s="223">
        <f t="shared" si="5"/>
        <v>27</v>
      </c>
      <c r="BA27" s="223">
        <f t="shared" si="6"/>
        <v>2</v>
      </c>
      <c r="BB27" s="223">
        <f t="shared" si="7"/>
        <v>0</v>
      </c>
      <c r="BC27" s="223">
        <f t="shared" si="8"/>
        <v>29</v>
      </c>
      <c r="BE27" s="199">
        <f t="shared" si="21"/>
        <v>3780</v>
      </c>
      <c r="BF27" s="27"/>
      <c r="BG27" s="200">
        <f t="shared" si="22"/>
        <v>0</v>
      </c>
      <c r="BH27" s="200"/>
      <c r="BI27" s="226"/>
      <c r="BJ27" s="228"/>
      <c r="BK27" s="226"/>
      <c r="BL27" s="228"/>
      <c r="BM27" s="226"/>
      <c r="BN27" s="228"/>
      <c r="BO27" s="226"/>
      <c r="BP27" s="228"/>
      <c r="BQ27" s="227">
        <f t="shared" si="23"/>
        <v>0</v>
      </c>
      <c r="BS27" s="241">
        <f t="shared" si="24"/>
        <v>273</v>
      </c>
      <c r="BT27" s="225">
        <f t="shared" si="25"/>
        <v>42</v>
      </c>
      <c r="BU27" s="224">
        <f t="shared" si="26"/>
        <v>273</v>
      </c>
      <c r="BV27" s="224">
        <f t="shared" si="27"/>
        <v>42</v>
      </c>
      <c r="BW27" s="243">
        <f t="shared" si="28"/>
        <v>630</v>
      </c>
      <c r="BX27" s="214"/>
      <c r="BY27" s="199">
        <f t="shared" si="29"/>
        <v>630</v>
      </c>
      <c r="BZ27" s="199"/>
      <c r="CA27" s="247">
        <f t="shared" si="18"/>
        <v>3150</v>
      </c>
    </row>
    <row r="28" spans="2:82" ht="15.75" thickBot="1" x14ac:dyDescent="0.3">
      <c r="B28" s="217" t="s">
        <v>104</v>
      </c>
      <c r="C28" s="198"/>
      <c r="D28" s="217" t="str">
        <f>IFERROR(VLOOKUP(B28,'DATOS GRALES 1'!$B$2:$E$91,4,0),"")</f>
        <v>OPERARIO</v>
      </c>
      <c r="E28" s="219" t="str">
        <f t="shared" si="19"/>
        <v>4200</v>
      </c>
      <c r="F28" s="220">
        <f t="shared" si="20"/>
        <v>140</v>
      </c>
      <c r="H28" s="222"/>
      <c r="I28" s="222"/>
      <c r="J28" s="222"/>
      <c r="K28" s="222"/>
      <c r="L28" s="222"/>
      <c r="M28" s="222"/>
      <c r="N28" s="222" t="s">
        <v>67</v>
      </c>
      <c r="O28" s="222" t="s">
        <v>67</v>
      </c>
      <c r="P28" s="222" t="s">
        <v>67</v>
      </c>
      <c r="Q28" s="222" t="s">
        <v>67</v>
      </c>
      <c r="R28" s="222" t="s">
        <v>67</v>
      </c>
      <c r="S28" s="222" t="s">
        <v>67</v>
      </c>
      <c r="T28" s="222" t="s">
        <v>67</v>
      </c>
      <c r="U28" s="222" t="s">
        <v>67</v>
      </c>
      <c r="V28" s="222" t="s">
        <v>67</v>
      </c>
      <c r="W28" s="222" t="s">
        <v>67</v>
      </c>
      <c r="X28" s="222" t="s">
        <v>67</v>
      </c>
      <c r="Y28" s="222" t="s">
        <v>67</v>
      </c>
      <c r="Z28" s="222" t="s">
        <v>67</v>
      </c>
      <c r="AA28" s="222" t="s">
        <v>67</v>
      </c>
      <c r="AB28" s="222" t="s">
        <v>67</v>
      </c>
      <c r="AC28" s="222" t="s">
        <v>67</v>
      </c>
      <c r="AD28" s="222" t="s">
        <v>67</v>
      </c>
      <c r="AE28" s="222" t="s">
        <v>67</v>
      </c>
      <c r="AF28" s="222" t="s">
        <v>67</v>
      </c>
      <c r="AG28" s="222" t="s">
        <v>67</v>
      </c>
      <c r="AH28" s="222" t="s">
        <v>67</v>
      </c>
      <c r="AI28" s="222" t="s">
        <v>67</v>
      </c>
      <c r="AJ28" s="222" t="s">
        <v>67</v>
      </c>
      <c r="AK28" s="222" t="s">
        <v>67</v>
      </c>
      <c r="AL28" s="222" t="s">
        <v>67</v>
      </c>
      <c r="AM28" s="222" t="s">
        <v>67</v>
      </c>
      <c r="AN28" s="222" t="s">
        <v>67</v>
      </c>
      <c r="AO28" s="222" t="s">
        <v>67</v>
      </c>
      <c r="AP28" s="222" t="s">
        <v>67</v>
      </c>
      <c r="AQ28" s="222" t="s">
        <v>67</v>
      </c>
      <c r="AR28" s="222" t="s">
        <v>67</v>
      </c>
      <c r="AS28" s="222" t="s">
        <v>67</v>
      </c>
      <c r="AT28" s="222" t="s">
        <v>67</v>
      </c>
      <c r="AU28" s="222" t="s">
        <v>67</v>
      </c>
      <c r="AV28" s="222" t="s">
        <v>67</v>
      </c>
      <c r="AW28" s="222" t="s">
        <v>67</v>
      </c>
      <c r="AX28" s="222" t="s">
        <v>67</v>
      </c>
      <c r="AZ28" s="223">
        <f t="shared" si="5"/>
        <v>37</v>
      </c>
      <c r="BA28" s="223" t="str">
        <f t="shared" si="6"/>
        <v/>
      </c>
      <c r="BB28" s="223">
        <f t="shared" si="7"/>
        <v>0</v>
      </c>
      <c r="BC28" s="223">
        <f t="shared" si="8"/>
        <v>37</v>
      </c>
      <c r="BE28" s="199">
        <f t="shared" si="21"/>
        <v>5180</v>
      </c>
      <c r="BF28" s="27"/>
      <c r="BG28" s="200">
        <f t="shared" si="22"/>
        <v>0</v>
      </c>
      <c r="BH28" s="200"/>
      <c r="BI28" s="226"/>
      <c r="BJ28" s="228"/>
      <c r="BK28" s="226"/>
      <c r="BL28" s="228"/>
      <c r="BM28" s="226"/>
      <c r="BN28" s="228"/>
      <c r="BO28" s="226"/>
      <c r="BP28" s="228"/>
      <c r="BQ28" s="227">
        <f t="shared" si="23"/>
        <v>0</v>
      </c>
      <c r="BS28" s="241">
        <f t="shared" si="24"/>
        <v>273</v>
      </c>
      <c r="BT28" s="225">
        <f t="shared" si="25"/>
        <v>42</v>
      </c>
      <c r="BU28" s="224">
        <f t="shared" si="26"/>
        <v>273</v>
      </c>
      <c r="BV28" s="224">
        <f t="shared" si="27"/>
        <v>42</v>
      </c>
      <c r="BW28" s="243">
        <f t="shared" si="28"/>
        <v>630</v>
      </c>
      <c r="BX28" s="214"/>
      <c r="BY28" s="199">
        <f t="shared" si="29"/>
        <v>630</v>
      </c>
      <c r="BZ28" s="199"/>
      <c r="CA28" s="247">
        <f t="shared" si="18"/>
        <v>4550</v>
      </c>
    </row>
    <row r="29" spans="2:82" ht="15.75" thickBot="1" x14ac:dyDescent="0.3">
      <c r="B29" s="217" t="s">
        <v>106</v>
      </c>
      <c r="C29" s="198"/>
      <c r="D29" s="217" t="str">
        <f>IFERROR(VLOOKUP(B29,'DATOS GRALES 1'!$B$2:$E$91,4,0),"")</f>
        <v>PEON</v>
      </c>
      <c r="E29" s="219" t="str">
        <f t="shared" si="19"/>
        <v>3300</v>
      </c>
      <c r="F29" s="220">
        <f t="shared" si="20"/>
        <v>110</v>
      </c>
      <c r="H29" s="222"/>
      <c r="I29" s="222"/>
      <c r="J29" s="222"/>
      <c r="K29" s="222"/>
      <c r="L29" s="222"/>
      <c r="M29" s="222"/>
      <c r="N29" s="222" t="s">
        <v>67</v>
      </c>
      <c r="O29" s="222" t="s">
        <v>67</v>
      </c>
      <c r="P29" s="222" t="s">
        <v>67</v>
      </c>
      <c r="Q29" s="222" t="s">
        <v>67</v>
      </c>
      <c r="R29" s="222" t="s">
        <v>67</v>
      </c>
      <c r="S29" s="222" t="s">
        <v>67</v>
      </c>
      <c r="T29" s="222" t="s">
        <v>67</v>
      </c>
      <c r="U29" s="222" t="s">
        <v>67</v>
      </c>
      <c r="V29" s="222" t="s">
        <v>67</v>
      </c>
      <c r="W29" s="222" t="s">
        <v>67</v>
      </c>
      <c r="X29" s="222" t="s">
        <v>67</v>
      </c>
      <c r="Y29" s="222" t="s">
        <v>67</v>
      </c>
      <c r="Z29" s="222" t="s">
        <v>67</v>
      </c>
      <c r="AA29" s="222" t="s">
        <v>67</v>
      </c>
      <c r="AB29" s="222" t="s">
        <v>67</v>
      </c>
      <c r="AC29" s="222" t="s">
        <v>67</v>
      </c>
      <c r="AD29" s="222" t="s">
        <v>67</v>
      </c>
      <c r="AE29" s="222" t="s">
        <v>67</v>
      </c>
      <c r="AF29" s="222" t="s">
        <v>67</v>
      </c>
      <c r="AG29" s="222" t="s">
        <v>67</v>
      </c>
      <c r="AH29" s="222" t="s">
        <v>67</v>
      </c>
      <c r="AI29" s="222" t="s">
        <v>67</v>
      </c>
      <c r="AJ29" s="222" t="s">
        <v>67</v>
      </c>
      <c r="AK29" s="222" t="s">
        <v>67</v>
      </c>
      <c r="AL29" s="222" t="s">
        <v>67</v>
      </c>
      <c r="AM29" s="222" t="s">
        <v>67</v>
      </c>
      <c r="AN29" s="222" t="s">
        <v>67</v>
      </c>
      <c r="AO29" s="222" t="s">
        <v>67</v>
      </c>
      <c r="AP29" s="222" t="s">
        <v>67</v>
      </c>
      <c r="AQ29" s="222" t="s">
        <v>67</v>
      </c>
      <c r="AR29" s="222" t="s">
        <v>67</v>
      </c>
      <c r="AS29" s="222" t="s">
        <v>67</v>
      </c>
      <c r="AT29" s="222" t="s">
        <v>67</v>
      </c>
      <c r="AU29" s="222" t="s">
        <v>67</v>
      </c>
      <c r="AV29" s="222" t="s">
        <v>67</v>
      </c>
      <c r="AW29" s="222" t="s">
        <v>67</v>
      </c>
      <c r="AX29" s="222" t="s">
        <v>67</v>
      </c>
      <c r="AZ29" s="223">
        <f t="shared" si="5"/>
        <v>37</v>
      </c>
      <c r="BA29" s="223" t="str">
        <f t="shared" si="6"/>
        <v/>
      </c>
      <c r="BB29" s="223">
        <f t="shared" si="7"/>
        <v>0</v>
      </c>
      <c r="BC29" s="223">
        <f t="shared" si="8"/>
        <v>37</v>
      </c>
      <c r="BE29" s="199">
        <f t="shared" si="21"/>
        <v>4070</v>
      </c>
      <c r="BF29" s="27"/>
      <c r="BG29" s="200">
        <f t="shared" si="22"/>
        <v>0</v>
      </c>
      <c r="BH29" s="200"/>
      <c r="BI29" s="226"/>
      <c r="BJ29" s="228"/>
      <c r="BK29" s="226"/>
      <c r="BL29" s="228"/>
      <c r="BM29" s="226"/>
      <c r="BN29" s="228"/>
      <c r="BO29" s="226"/>
      <c r="BP29" s="228"/>
      <c r="BQ29" s="227">
        <f t="shared" si="23"/>
        <v>0</v>
      </c>
      <c r="BS29" s="241">
        <f t="shared" si="24"/>
        <v>214.5</v>
      </c>
      <c r="BT29" s="225">
        <f t="shared" si="25"/>
        <v>33</v>
      </c>
      <c r="BU29" s="224">
        <f t="shared" si="26"/>
        <v>214.5</v>
      </c>
      <c r="BV29" s="224">
        <f t="shared" si="27"/>
        <v>33</v>
      </c>
      <c r="BW29" s="243">
        <f t="shared" si="28"/>
        <v>495</v>
      </c>
      <c r="BX29" s="214"/>
      <c r="BY29" s="199">
        <f t="shared" si="29"/>
        <v>495</v>
      </c>
      <c r="BZ29" s="199"/>
      <c r="CA29" s="247">
        <f t="shared" si="18"/>
        <v>3575</v>
      </c>
    </row>
    <row r="30" spans="2:82" ht="15.75" thickBot="1" x14ac:dyDescent="0.3">
      <c r="B30" s="217" t="s">
        <v>107</v>
      </c>
      <c r="C30" s="198"/>
      <c r="D30" s="217" t="str">
        <f>IFERROR(VLOOKUP(B30,'DATOS GRALES 1'!$B$2:$E$91,4,0),"")</f>
        <v>OPERARIO</v>
      </c>
      <c r="E30" s="219" t="str">
        <f t="shared" si="19"/>
        <v>4200</v>
      </c>
      <c r="F30" s="220">
        <f t="shared" si="20"/>
        <v>140</v>
      </c>
      <c r="H30" s="222"/>
      <c r="I30" s="222"/>
      <c r="J30" s="222"/>
      <c r="K30" s="222"/>
      <c r="L30" s="222"/>
      <c r="M30" s="222"/>
      <c r="N30" s="222"/>
      <c r="O30" s="222"/>
      <c r="P30" s="222"/>
      <c r="Q30" s="222"/>
      <c r="R30" s="222"/>
      <c r="S30" s="222"/>
      <c r="T30" s="222"/>
      <c r="U30" s="222"/>
      <c r="V30" s="222" t="s">
        <v>67</v>
      </c>
      <c r="W30" s="222" t="s">
        <v>67</v>
      </c>
      <c r="X30" s="222" t="s">
        <v>67</v>
      </c>
      <c r="Y30" s="222" t="s">
        <v>67</v>
      </c>
      <c r="Z30" s="222" t="s">
        <v>67</v>
      </c>
      <c r="AA30" s="222" t="s">
        <v>67</v>
      </c>
      <c r="AB30" s="222" t="s">
        <v>67</v>
      </c>
      <c r="AC30" s="222" t="s">
        <v>67</v>
      </c>
      <c r="AD30" s="222" t="s">
        <v>67</v>
      </c>
      <c r="AE30" s="222" t="s">
        <v>67</v>
      </c>
      <c r="AF30" s="222" t="s">
        <v>67</v>
      </c>
      <c r="AG30" s="222" t="s">
        <v>67</v>
      </c>
      <c r="AH30" s="222" t="s">
        <v>67</v>
      </c>
      <c r="AI30" s="222" t="s">
        <v>67</v>
      </c>
      <c r="AJ30" s="222" t="s">
        <v>67</v>
      </c>
      <c r="AK30" s="222" t="s">
        <v>67</v>
      </c>
      <c r="AL30" s="222" t="s">
        <v>67</v>
      </c>
      <c r="AM30" s="222" t="s">
        <v>67</v>
      </c>
      <c r="AN30" s="222" t="s">
        <v>67</v>
      </c>
      <c r="AO30" s="222" t="s">
        <v>67</v>
      </c>
      <c r="AP30" s="222" t="s">
        <v>67</v>
      </c>
      <c r="AQ30" s="222" t="s">
        <v>67</v>
      </c>
      <c r="AR30" s="222" t="s">
        <v>67</v>
      </c>
      <c r="AS30" s="222" t="s">
        <v>67</v>
      </c>
      <c r="AT30" s="222" t="s">
        <v>67</v>
      </c>
      <c r="AU30" s="222" t="s">
        <v>67</v>
      </c>
      <c r="AV30" s="222" t="s">
        <v>67</v>
      </c>
      <c r="AW30" s="222" t="s">
        <v>67</v>
      </c>
      <c r="AX30" s="222" t="s">
        <v>67</v>
      </c>
      <c r="AZ30" s="223">
        <f t="shared" si="5"/>
        <v>29</v>
      </c>
      <c r="BA30" s="223" t="str">
        <f t="shared" si="6"/>
        <v/>
      </c>
      <c r="BB30" s="223">
        <f t="shared" si="7"/>
        <v>0</v>
      </c>
      <c r="BC30" s="223">
        <f t="shared" si="8"/>
        <v>29</v>
      </c>
      <c r="BE30" s="199">
        <f t="shared" si="21"/>
        <v>4060</v>
      </c>
      <c r="BF30" s="27"/>
      <c r="BG30" s="200">
        <f t="shared" si="22"/>
        <v>0</v>
      </c>
      <c r="BH30" s="200"/>
      <c r="BI30" s="226"/>
      <c r="BJ30" s="228"/>
      <c r="BK30" s="226"/>
      <c r="BL30" s="228"/>
      <c r="BM30" s="226"/>
      <c r="BN30" s="228"/>
      <c r="BO30" s="226"/>
      <c r="BP30" s="228"/>
      <c r="BQ30" s="227">
        <f t="shared" si="23"/>
        <v>0</v>
      </c>
      <c r="BS30" s="241">
        <f t="shared" si="24"/>
        <v>273</v>
      </c>
      <c r="BT30" s="225">
        <f t="shared" si="25"/>
        <v>42</v>
      </c>
      <c r="BU30" s="224">
        <f t="shared" si="26"/>
        <v>273</v>
      </c>
      <c r="BV30" s="224">
        <f t="shared" si="27"/>
        <v>42</v>
      </c>
      <c r="BW30" s="243">
        <f t="shared" si="28"/>
        <v>630</v>
      </c>
      <c r="BX30" s="214"/>
      <c r="BY30" s="199">
        <f t="shared" si="29"/>
        <v>630</v>
      </c>
      <c r="BZ30" s="199"/>
      <c r="CA30" s="247">
        <f t="shared" si="18"/>
        <v>3430</v>
      </c>
    </row>
    <row r="31" spans="2:82" ht="15.75" thickBot="1" x14ac:dyDescent="0.3">
      <c r="B31" s="217" t="s">
        <v>108</v>
      </c>
      <c r="C31" s="198"/>
      <c r="D31" s="217" t="str">
        <f>IFERROR(VLOOKUP(B31,'DATOS GRALES 1'!$B$2:$E$91,4,0),"")</f>
        <v>OPERARIO</v>
      </c>
      <c r="E31" s="219" t="str">
        <f t="shared" si="19"/>
        <v>4200</v>
      </c>
      <c r="F31" s="220">
        <f t="shared" si="20"/>
        <v>140</v>
      </c>
      <c r="H31" s="222"/>
      <c r="I31" s="222"/>
      <c r="J31" s="222"/>
      <c r="K31" s="222"/>
      <c r="L31" s="222"/>
      <c r="M31" s="222"/>
      <c r="N31" s="222"/>
      <c r="O31" s="222"/>
      <c r="P31" s="222"/>
      <c r="Q31" s="222"/>
      <c r="R31" s="222"/>
      <c r="S31" s="222"/>
      <c r="T31" s="222"/>
      <c r="U31" s="222" t="s">
        <v>67</v>
      </c>
      <c r="V31" s="222" t="s">
        <v>67</v>
      </c>
      <c r="W31" s="222" t="s">
        <v>67</v>
      </c>
      <c r="X31" s="222" t="s">
        <v>67</v>
      </c>
      <c r="Y31" s="222" t="s">
        <v>67</v>
      </c>
      <c r="Z31" s="222" t="s">
        <v>67</v>
      </c>
      <c r="AA31" s="222" t="s">
        <v>67</v>
      </c>
      <c r="AB31" s="222" t="s">
        <v>67</v>
      </c>
      <c r="AC31" s="222" t="s">
        <v>67</v>
      </c>
      <c r="AD31" s="222" t="s">
        <v>67</v>
      </c>
      <c r="AE31" s="222" t="s">
        <v>67</v>
      </c>
      <c r="AF31" s="222" t="s">
        <v>67</v>
      </c>
      <c r="AG31" s="222" t="s">
        <v>67</v>
      </c>
      <c r="AH31" s="222" t="s">
        <v>67</v>
      </c>
      <c r="AI31" s="222" t="s">
        <v>67</v>
      </c>
      <c r="AJ31" s="222" t="s">
        <v>67</v>
      </c>
      <c r="AK31" s="222" t="s">
        <v>67</v>
      </c>
      <c r="AL31" s="222" t="s">
        <v>67</v>
      </c>
      <c r="AM31" s="222" t="s">
        <v>67</v>
      </c>
      <c r="AN31" s="222" t="s">
        <v>67</v>
      </c>
      <c r="AO31" s="222" t="s">
        <v>67</v>
      </c>
      <c r="AP31" s="222" t="s">
        <v>67</v>
      </c>
      <c r="AQ31" s="222" t="s">
        <v>78</v>
      </c>
      <c r="AR31" s="222" t="s">
        <v>78</v>
      </c>
      <c r="AS31" s="222" t="s">
        <v>78</v>
      </c>
      <c r="AT31" s="222" t="s">
        <v>78</v>
      </c>
      <c r="AU31" s="222" t="s">
        <v>78</v>
      </c>
      <c r="AV31" s="222" t="s">
        <v>78</v>
      </c>
      <c r="AW31" s="222" t="s">
        <v>78</v>
      </c>
      <c r="AX31" s="222" t="s">
        <v>67</v>
      </c>
      <c r="AZ31" s="223">
        <f t="shared" si="5"/>
        <v>23</v>
      </c>
      <c r="BA31" s="223">
        <f t="shared" si="6"/>
        <v>7</v>
      </c>
      <c r="BB31" s="223">
        <f t="shared" si="7"/>
        <v>0</v>
      </c>
      <c r="BC31" s="223">
        <f t="shared" si="8"/>
        <v>30</v>
      </c>
      <c r="BE31" s="199">
        <f t="shared" si="21"/>
        <v>3220</v>
      </c>
      <c r="BF31" s="27"/>
      <c r="BG31" s="200">
        <f t="shared" si="22"/>
        <v>0</v>
      </c>
      <c r="BH31" s="200"/>
      <c r="BI31" s="226"/>
      <c r="BJ31" s="228"/>
      <c r="BK31" s="226"/>
      <c r="BL31" s="228"/>
      <c r="BM31" s="226"/>
      <c r="BN31" s="228"/>
      <c r="BO31" s="226"/>
      <c r="BP31" s="228"/>
      <c r="BQ31" s="227">
        <f t="shared" si="23"/>
        <v>0</v>
      </c>
      <c r="BS31" s="241">
        <f t="shared" si="24"/>
        <v>273</v>
      </c>
      <c r="BT31" s="225">
        <f t="shared" si="25"/>
        <v>42</v>
      </c>
      <c r="BU31" s="224">
        <f t="shared" si="26"/>
        <v>273</v>
      </c>
      <c r="BV31" s="224">
        <f t="shared" si="27"/>
        <v>42</v>
      </c>
      <c r="BW31" s="243">
        <f t="shared" si="28"/>
        <v>630</v>
      </c>
      <c r="BX31" s="214"/>
      <c r="BY31" s="199">
        <f t="shared" si="29"/>
        <v>630</v>
      </c>
      <c r="BZ31" s="199"/>
      <c r="CA31" s="247">
        <f t="shared" si="18"/>
        <v>2590</v>
      </c>
    </row>
    <row r="32" spans="2:82" ht="15.75" thickBot="1" x14ac:dyDescent="0.3">
      <c r="B32" s="217" t="s">
        <v>109</v>
      </c>
      <c r="C32" s="198"/>
      <c r="D32" s="217" t="str">
        <f>IFERROR(VLOOKUP(B32,'DATOS GRALES 1'!$B$2:$E$91,4,0),"")</f>
        <v>PEON</v>
      </c>
      <c r="E32" s="219" t="str">
        <f t="shared" si="19"/>
        <v>3300</v>
      </c>
      <c r="F32" s="220">
        <f t="shared" si="20"/>
        <v>110</v>
      </c>
      <c r="H32" s="222"/>
      <c r="I32" s="222"/>
      <c r="J32" s="222"/>
      <c r="K32" s="222"/>
      <c r="L32" s="222"/>
      <c r="M32" s="222"/>
      <c r="N32" s="222"/>
      <c r="O32" s="222"/>
      <c r="P32" s="222"/>
      <c r="Q32" s="222"/>
      <c r="R32" s="222"/>
      <c r="S32" s="222"/>
      <c r="T32" s="222"/>
      <c r="U32" s="222" t="s">
        <v>67</v>
      </c>
      <c r="V32" s="222" t="s">
        <v>67</v>
      </c>
      <c r="W32" s="222" t="s">
        <v>67</v>
      </c>
      <c r="X32" s="222" t="s">
        <v>67</v>
      </c>
      <c r="Y32" s="222" t="s">
        <v>67</v>
      </c>
      <c r="Z32" s="222" t="s">
        <v>67</v>
      </c>
      <c r="AA32" s="222" t="s">
        <v>67</v>
      </c>
      <c r="AB32" s="222" t="s">
        <v>67</v>
      </c>
      <c r="AC32" s="222" t="s">
        <v>67</v>
      </c>
      <c r="AD32" s="222" t="s">
        <v>67</v>
      </c>
      <c r="AE32" s="222" t="s">
        <v>67</v>
      </c>
      <c r="AF32" s="222" t="s">
        <v>67</v>
      </c>
      <c r="AG32" s="222" t="s">
        <v>67</v>
      </c>
      <c r="AH32" s="222" t="s">
        <v>67</v>
      </c>
      <c r="AI32" s="222" t="s">
        <v>67</v>
      </c>
      <c r="AJ32" s="222" t="s">
        <v>67</v>
      </c>
      <c r="AK32" s="222" t="s">
        <v>67</v>
      </c>
      <c r="AL32" s="222" t="s">
        <v>67</v>
      </c>
      <c r="AM32" s="222" t="s">
        <v>67</v>
      </c>
      <c r="AN32" s="222" t="s">
        <v>67</v>
      </c>
      <c r="AO32" s="222" t="s">
        <v>67</v>
      </c>
      <c r="AP32" s="222" t="s">
        <v>67</v>
      </c>
      <c r="AQ32" s="222" t="s">
        <v>67</v>
      </c>
      <c r="AR32" s="222" t="s">
        <v>67</v>
      </c>
      <c r="AS32" s="222" t="s">
        <v>67</v>
      </c>
      <c r="AT32" s="222" t="s">
        <v>67</v>
      </c>
      <c r="AU32" s="222" t="s">
        <v>67</v>
      </c>
      <c r="AV32" s="222" t="s">
        <v>67</v>
      </c>
      <c r="AW32" s="222" t="s">
        <v>67</v>
      </c>
      <c r="AX32" s="222" t="s">
        <v>67</v>
      </c>
      <c r="AZ32" s="223">
        <f t="shared" si="5"/>
        <v>30</v>
      </c>
      <c r="BA32" s="223" t="str">
        <f t="shared" si="6"/>
        <v/>
      </c>
      <c r="BB32" s="223">
        <f t="shared" si="7"/>
        <v>0</v>
      </c>
      <c r="BC32" s="223">
        <f t="shared" si="8"/>
        <v>30</v>
      </c>
      <c r="BE32" s="199">
        <f t="shared" si="21"/>
        <v>3300</v>
      </c>
      <c r="BF32" s="27"/>
      <c r="BG32" s="200">
        <f t="shared" si="22"/>
        <v>0</v>
      </c>
      <c r="BH32" s="200"/>
      <c r="BI32" s="226"/>
      <c r="BJ32" s="228"/>
      <c r="BK32" s="226"/>
      <c r="BL32" s="228"/>
      <c r="BM32" s="226"/>
      <c r="BN32" s="228"/>
      <c r="BO32" s="226"/>
      <c r="BP32" s="228"/>
      <c r="BQ32" s="227">
        <f t="shared" si="23"/>
        <v>0</v>
      </c>
      <c r="BS32" s="241">
        <f t="shared" si="24"/>
        <v>214.5</v>
      </c>
      <c r="BT32" s="225">
        <f t="shared" si="25"/>
        <v>33</v>
      </c>
      <c r="BU32" s="224">
        <f t="shared" si="26"/>
        <v>214.5</v>
      </c>
      <c r="BV32" s="224">
        <f t="shared" si="27"/>
        <v>33</v>
      </c>
      <c r="BW32" s="243">
        <f t="shared" si="28"/>
        <v>495</v>
      </c>
      <c r="BX32" s="214"/>
      <c r="BY32" s="199">
        <f t="shared" si="29"/>
        <v>495</v>
      </c>
      <c r="BZ32" s="199"/>
      <c r="CA32" s="247">
        <f t="shared" si="18"/>
        <v>2805</v>
      </c>
    </row>
    <row r="33" spans="2:79" ht="15.75" thickBot="1" x14ac:dyDescent="0.3">
      <c r="B33" s="217" t="s">
        <v>114</v>
      </c>
      <c r="C33" s="198"/>
      <c r="D33" s="217" t="str">
        <f>IFERROR(VLOOKUP(B33,'DATOS GRALES 1'!$B$2:$E$91,4,0),"")</f>
        <v>PEON</v>
      </c>
      <c r="E33" s="219" t="str">
        <f t="shared" si="19"/>
        <v>3300</v>
      </c>
      <c r="F33" s="220">
        <f t="shared" si="20"/>
        <v>110</v>
      </c>
      <c r="H33" s="222"/>
      <c r="I33" s="222"/>
      <c r="J33" s="222"/>
      <c r="K33" s="222"/>
      <c r="L33" s="222"/>
      <c r="M33" s="222"/>
      <c r="N33" s="222"/>
      <c r="O33" s="222"/>
      <c r="P33" s="222"/>
      <c r="Q33" s="222"/>
      <c r="R33" s="222"/>
      <c r="S33" s="222"/>
      <c r="T33" s="222"/>
      <c r="U33" s="222"/>
      <c r="V33" s="222" t="s">
        <v>67</v>
      </c>
      <c r="W33" s="222" t="s">
        <v>67</v>
      </c>
      <c r="X33" s="222" t="s">
        <v>67</v>
      </c>
      <c r="Y33" s="222" t="s">
        <v>67</v>
      </c>
      <c r="Z33" s="222" t="s">
        <v>67</v>
      </c>
      <c r="AA33" s="222" t="s">
        <v>67</v>
      </c>
      <c r="AB33" s="222" t="s">
        <v>67</v>
      </c>
      <c r="AC33" s="222" t="s">
        <v>67</v>
      </c>
      <c r="AD33" s="222" t="s">
        <v>67</v>
      </c>
      <c r="AE33" s="222" t="s">
        <v>67</v>
      </c>
      <c r="AF33" s="222" t="s">
        <v>67</v>
      </c>
      <c r="AG33" s="222" t="s">
        <v>67</v>
      </c>
      <c r="AH33" s="222" t="s">
        <v>67</v>
      </c>
      <c r="AI33" s="222" t="s">
        <v>67</v>
      </c>
      <c r="AJ33" s="222" t="s">
        <v>67</v>
      </c>
      <c r="AK33" s="222" t="s">
        <v>67</v>
      </c>
      <c r="AL33" s="222" t="s">
        <v>67</v>
      </c>
      <c r="AM33" s="222" t="s">
        <v>67</v>
      </c>
      <c r="AN33" s="222" t="s">
        <v>67</v>
      </c>
      <c r="AO33" s="222" t="s">
        <v>67</v>
      </c>
      <c r="AP33" s="222" t="s">
        <v>67</v>
      </c>
      <c r="AQ33" s="222" t="s">
        <v>67</v>
      </c>
      <c r="AR33" s="222" t="s">
        <v>67</v>
      </c>
      <c r="AS33" s="222" t="s">
        <v>67</v>
      </c>
      <c r="AT33" s="222" t="s">
        <v>67</v>
      </c>
      <c r="AU33" s="222" t="s">
        <v>67</v>
      </c>
      <c r="AV33" s="222" t="s">
        <v>67</v>
      </c>
      <c r="AW33" s="222" t="s">
        <v>67</v>
      </c>
      <c r="AX33" s="222" t="s">
        <v>67</v>
      </c>
      <c r="AZ33" s="223">
        <f t="shared" si="5"/>
        <v>29</v>
      </c>
      <c r="BA33" s="223" t="str">
        <f t="shared" si="6"/>
        <v/>
      </c>
      <c r="BB33" s="223">
        <f t="shared" si="7"/>
        <v>0</v>
      </c>
      <c r="BC33" s="223">
        <f t="shared" si="8"/>
        <v>29</v>
      </c>
      <c r="BE33" s="199">
        <f t="shared" si="21"/>
        <v>3190</v>
      </c>
      <c r="BF33" s="27"/>
      <c r="BG33" s="200">
        <f t="shared" si="22"/>
        <v>0</v>
      </c>
      <c r="BH33" s="200"/>
      <c r="BI33" s="226"/>
      <c r="BJ33" s="228"/>
      <c r="BK33" s="226"/>
      <c r="BL33" s="228"/>
      <c r="BM33" s="226"/>
      <c r="BN33" s="228"/>
      <c r="BO33" s="226"/>
      <c r="BP33" s="228"/>
      <c r="BQ33" s="227">
        <f t="shared" si="23"/>
        <v>0</v>
      </c>
      <c r="BS33" s="241">
        <f t="shared" si="24"/>
        <v>214.5</v>
      </c>
      <c r="BT33" s="225">
        <f t="shared" si="25"/>
        <v>33</v>
      </c>
      <c r="BU33" s="224">
        <f t="shared" si="26"/>
        <v>214.5</v>
      </c>
      <c r="BV33" s="224">
        <f t="shared" si="27"/>
        <v>33</v>
      </c>
      <c r="BW33" s="243">
        <f t="shared" si="28"/>
        <v>495</v>
      </c>
      <c r="BX33" s="214"/>
      <c r="BY33" s="199">
        <f t="shared" si="29"/>
        <v>495</v>
      </c>
      <c r="BZ33" s="199"/>
      <c r="CA33" s="247">
        <f t="shared" si="18"/>
        <v>2695</v>
      </c>
    </row>
    <row r="34" spans="2:79" ht="15.75" thickBot="1" x14ac:dyDescent="0.3">
      <c r="B34" s="217" t="s">
        <v>115</v>
      </c>
      <c r="C34" s="198"/>
      <c r="D34" s="217" t="str">
        <f>IFERROR(VLOOKUP(B34,'DATOS GRALES 1'!$B$2:$E$91,4,0),"")</f>
        <v>OPERARIO</v>
      </c>
      <c r="E34" s="219" t="str">
        <f t="shared" si="19"/>
        <v>4200</v>
      </c>
      <c r="F34" s="220">
        <f t="shared" si="20"/>
        <v>140</v>
      </c>
      <c r="H34" s="222"/>
      <c r="I34" s="222"/>
      <c r="J34" s="222"/>
      <c r="K34" s="222"/>
      <c r="L34" s="222"/>
      <c r="M34" s="222"/>
      <c r="N34" s="222"/>
      <c r="O34" s="222"/>
      <c r="P34" s="222"/>
      <c r="Q34" s="222"/>
      <c r="R34" s="222"/>
      <c r="S34" s="222"/>
      <c r="T34" s="222"/>
      <c r="U34" s="222"/>
      <c r="V34" s="222" t="s">
        <v>67</v>
      </c>
      <c r="W34" s="222" t="s">
        <v>67</v>
      </c>
      <c r="X34" s="222" t="s">
        <v>67</v>
      </c>
      <c r="Y34" s="222" t="s">
        <v>67</v>
      </c>
      <c r="Z34" s="222" t="s">
        <v>67</v>
      </c>
      <c r="AA34" s="222" t="s">
        <v>67</v>
      </c>
      <c r="AB34" s="222" t="s">
        <v>67</v>
      </c>
      <c r="AC34" s="222" t="s">
        <v>67</v>
      </c>
      <c r="AD34" s="222" t="s">
        <v>67</v>
      </c>
      <c r="AE34" s="222" t="s">
        <v>67</v>
      </c>
      <c r="AF34" s="222" t="s">
        <v>67</v>
      </c>
      <c r="AG34" s="222" t="s">
        <v>67</v>
      </c>
      <c r="AH34" s="222" t="s">
        <v>67</v>
      </c>
      <c r="AI34" s="222" t="s">
        <v>67</v>
      </c>
      <c r="AJ34" s="222" t="s">
        <v>67</v>
      </c>
      <c r="AK34" s="222" t="s">
        <v>67</v>
      </c>
      <c r="AL34" s="222" t="s">
        <v>67</v>
      </c>
      <c r="AM34" s="222" t="s">
        <v>67</v>
      </c>
      <c r="AN34" s="222" t="s">
        <v>67</v>
      </c>
      <c r="AO34" s="222" t="s">
        <v>67</v>
      </c>
      <c r="AP34" s="222" t="s">
        <v>67</v>
      </c>
      <c r="AQ34" s="222" t="s">
        <v>67</v>
      </c>
      <c r="AR34" s="222" t="s">
        <v>67</v>
      </c>
      <c r="AS34" s="222" t="s">
        <v>67</v>
      </c>
      <c r="AT34" s="222" t="s">
        <v>67</v>
      </c>
      <c r="AU34" s="222" t="s">
        <v>67</v>
      </c>
      <c r="AV34" s="222" t="s">
        <v>67</v>
      </c>
      <c r="AW34" s="222" t="s">
        <v>67</v>
      </c>
      <c r="AX34" s="222" t="s">
        <v>67</v>
      </c>
      <c r="AZ34" s="223">
        <f t="shared" si="5"/>
        <v>29</v>
      </c>
      <c r="BA34" s="223" t="str">
        <f t="shared" si="6"/>
        <v/>
      </c>
      <c r="BB34" s="223">
        <f t="shared" si="7"/>
        <v>0</v>
      </c>
      <c r="BC34" s="223">
        <f t="shared" si="8"/>
        <v>29</v>
      </c>
      <c r="BE34" s="199">
        <f t="shared" si="21"/>
        <v>4060</v>
      </c>
      <c r="BF34" s="27"/>
      <c r="BG34" s="200">
        <f t="shared" si="22"/>
        <v>0</v>
      </c>
      <c r="BH34" s="200"/>
      <c r="BI34" s="226"/>
      <c r="BJ34" s="228"/>
      <c r="BK34" s="226"/>
      <c r="BL34" s="228"/>
      <c r="BM34" s="226"/>
      <c r="BN34" s="228"/>
      <c r="BO34" s="226"/>
      <c r="BP34" s="228"/>
      <c r="BQ34" s="227">
        <f t="shared" si="23"/>
        <v>0</v>
      </c>
      <c r="BS34" s="241">
        <f t="shared" si="24"/>
        <v>273</v>
      </c>
      <c r="BT34" s="225">
        <f t="shared" si="25"/>
        <v>42</v>
      </c>
      <c r="BU34" s="224">
        <f t="shared" si="26"/>
        <v>273</v>
      </c>
      <c r="BV34" s="224">
        <f t="shared" si="27"/>
        <v>42</v>
      </c>
      <c r="BW34" s="243">
        <f t="shared" si="28"/>
        <v>630</v>
      </c>
      <c r="BX34" s="214"/>
      <c r="BY34" s="199">
        <f t="shared" si="29"/>
        <v>630</v>
      </c>
      <c r="BZ34" s="199"/>
      <c r="CA34" s="247">
        <f t="shared" si="18"/>
        <v>3430</v>
      </c>
    </row>
    <row r="35" spans="2:79" ht="15.75" thickBot="1" x14ac:dyDescent="0.3">
      <c r="B35" s="217" t="s">
        <v>133</v>
      </c>
      <c r="C35" s="198"/>
      <c r="D35" s="217" t="str">
        <f>IFERROR(VLOOKUP(B35,'DATOS GRALES 1'!$B$2:$E$91,4,0),"")</f>
        <v>OPERARIO</v>
      </c>
      <c r="E35" s="219" t="str">
        <f t="shared" si="19"/>
        <v>4200</v>
      </c>
      <c r="F35" s="220">
        <f t="shared" si="20"/>
        <v>140</v>
      </c>
      <c r="H35" s="222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Y35" s="222"/>
      <c r="Z35" s="222"/>
      <c r="AA35" s="222"/>
      <c r="AB35" s="222" t="s">
        <v>67</v>
      </c>
      <c r="AC35" s="222" t="s">
        <v>67</v>
      </c>
      <c r="AD35" s="222" t="s">
        <v>67</v>
      </c>
      <c r="AE35" s="222" t="s">
        <v>67</v>
      </c>
      <c r="AF35" s="222" t="s">
        <v>67</v>
      </c>
      <c r="AG35" s="222" t="s">
        <v>67</v>
      </c>
      <c r="AH35" s="222" t="s">
        <v>67</v>
      </c>
      <c r="AI35" s="222" t="s">
        <v>67</v>
      </c>
      <c r="AJ35" s="222" t="s">
        <v>67</v>
      </c>
      <c r="AK35" s="222" t="s">
        <v>67</v>
      </c>
      <c r="AL35" s="222" t="s">
        <v>67</v>
      </c>
      <c r="AM35" s="222" t="s">
        <v>67</v>
      </c>
      <c r="AN35" s="222" t="s">
        <v>67</v>
      </c>
      <c r="AO35" s="222" t="s">
        <v>67</v>
      </c>
      <c r="AP35" s="222" t="s">
        <v>67</v>
      </c>
      <c r="AQ35" s="222" t="s">
        <v>67</v>
      </c>
      <c r="AR35" s="222" t="s">
        <v>67</v>
      </c>
      <c r="AS35" s="222" t="s">
        <v>67</v>
      </c>
      <c r="AT35" s="222" t="s">
        <v>67</v>
      </c>
      <c r="AU35" s="222" t="s">
        <v>67</v>
      </c>
      <c r="AV35" s="222" t="s">
        <v>67</v>
      </c>
      <c r="AW35" s="222" t="s">
        <v>67</v>
      </c>
      <c r="AX35" s="222" t="s">
        <v>67</v>
      </c>
      <c r="AZ35" s="223">
        <f t="shared" si="5"/>
        <v>23</v>
      </c>
      <c r="BA35" s="223" t="str">
        <f t="shared" si="6"/>
        <v/>
      </c>
      <c r="BB35" s="223">
        <f t="shared" si="7"/>
        <v>0</v>
      </c>
      <c r="BC35" s="223">
        <f t="shared" si="8"/>
        <v>23</v>
      </c>
      <c r="BE35" s="199">
        <f t="shared" si="21"/>
        <v>3220</v>
      </c>
      <c r="BF35" s="27"/>
      <c r="BG35" s="200">
        <f t="shared" si="22"/>
        <v>0</v>
      </c>
      <c r="BH35" s="200"/>
      <c r="BI35" s="226"/>
      <c r="BJ35" s="228"/>
      <c r="BK35" s="226"/>
      <c r="BL35" s="228"/>
      <c r="BM35" s="226"/>
      <c r="BN35" s="228"/>
      <c r="BO35" s="226"/>
      <c r="BP35" s="228"/>
      <c r="BQ35" s="227">
        <f t="shared" si="23"/>
        <v>0</v>
      </c>
      <c r="BS35" s="241">
        <f t="shared" si="24"/>
        <v>273</v>
      </c>
      <c r="BT35" s="225">
        <f t="shared" si="25"/>
        <v>42</v>
      </c>
      <c r="BU35" s="224">
        <f t="shared" si="26"/>
        <v>273</v>
      </c>
      <c r="BV35" s="224">
        <f t="shared" si="27"/>
        <v>42</v>
      </c>
      <c r="BW35" s="243">
        <f t="shared" si="28"/>
        <v>630</v>
      </c>
      <c r="BX35" s="214"/>
      <c r="BY35" s="199">
        <f t="shared" si="29"/>
        <v>630</v>
      </c>
      <c r="BZ35" s="199"/>
      <c r="CA35" s="247">
        <f t="shared" si="18"/>
        <v>2590</v>
      </c>
    </row>
    <row r="36" spans="2:79" ht="15.75" thickBot="1" x14ac:dyDescent="0.3">
      <c r="B36" s="217" t="s">
        <v>202</v>
      </c>
      <c r="C36" s="198"/>
      <c r="D36" s="217" t="s">
        <v>88</v>
      </c>
      <c r="E36" s="219" t="str">
        <f t="shared" si="19"/>
        <v>3300</v>
      </c>
      <c r="F36" s="220">
        <f t="shared" si="20"/>
        <v>110</v>
      </c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V36" s="222"/>
      <c r="W36" s="222"/>
      <c r="X36" s="222"/>
      <c r="Y36" s="222"/>
      <c r="Z36" s="222"/>
      <c r="AA36" s="222"/>
      <c r="AB36" s="222"/>
      <c r="AC36" s="222"/>
      <c r="AD36" s="222"/>
      <c r="AE36" s="222"/>
      <c r="AF36" s="222"/>
      <c r="AG36" s="222"/>
      <c r="AH36" s="222" t="s">
        <v>67</v>
      </c>
      <c r="AI36" s="222" t="s">
        <v>67</v>
      </c>
      <c r="AJ36" s="222" t="s">
        <v>67</v>
      </c>
      <c r="AK36" s="222" t="s">
        <v>67</v>
      </c>
      <c r="AL36" s="222" t="s">
        <v>67</v>
      </c>
      <c r="AM36" s="222" t="s">
        <v>67</v>
      </c>
      <c r="AN36" s="222" t="s">
        <v>67</v>
      </c>
      <c r="AO36" s="222" t="s">
        <v>67</v>
      </c>
      <c r="AP36" s="222" t="s">
        <v>67</v>
      </c>
      <c r="AQ36" s="222" t="s">
        <v>67</v>
      </c>
      <c r="AR36" s="222" t="s">
        <v>67</v>
      </c>
      <c r="AS36" s="222" t="s">
        <v>67</v>
      </c>
      <c r="AT36" s="222" t="s">
        <v>67</v>
      </c>
      <c r="AU36" s="222" t="s">
        <v>67</v>
      </c>
      <c r="AV36" s="222" t="s">
        <v>67</v>
      </c>
      <c r="AW36" s="222" t="s">
        <v>67</v>
      </c>
      <c r="AX36" s="222" t="s">
        <v>67</v>
      </c>
      <c r="AZ36" s="223">
        <f t="shared" si="5"/>
        <v>17</v>
      </c>
      <c r="BA36" s="223" t="str">
        <f t="shared" si="6"/>
        <v/>
      </c>
      <c r="BB36" s="223">
        <f t="shared" si="7"/>
        <v>0</v>
      </c>
      <c r="BC36" s="223">
        <f t="shared" si="8"/>
        <v>17</v>
      </c>
      <c r="BE36" s="199">
        <f t="shared" si="21"/>
        <v>1870</v>
      </c>
      <c r="BF36" s="27"/>
      <c r="BG36" s="200">
        <f t="shared" si="22"/>
        <v>0</v>
      </c>
      <c r="BH36" s="200"/>
      <c r="BI36" s="226"/>
      <c r="BJ36" s="228"/>
      <c r="BK36" s="226"/>
      <c r="BL36" s="228"/>
      <c r="BM36" s="226"/>
      <c r="BN36" s="228"/>
      <c r="BO36" s="226"/>
      <c r="BP36" s="228"/>
      <c r="BQ36" s="227">
        <f t="shared" si="23"/>
        <v>0</v>
      </c>
      <c r="BS36" s="241">
        <f t="shared" si="24"/>
        <v>214.5</v>
      </c>
      <c r="BT36" s="225">
        <f t="shared" si="25"/>
        <v>33</v>
      </c>
      <c r="BU36" s="224">
        <f t="shared" si="26"/>
        <v>214.5</v>
      </c>
      <c r="BV36" s="224">
        <f t="shared" si="27"/>
        <v>33</v>
      </c>
      <c r="BW36" s="243">
        <f t="shared" si="28"/>
        <v>495</v>
      </c>
      <c r="BX36" s="214"/>
      <c r="BY36" s="199">
        <f t="shared" si="29"/>
        <v>495</v>
      </c>
      <c r="BZ36" s="199"/>
      <c r="CA36" s="247">
        <f t="shared" si="18"/>
        <v>1375</v>
      </c>
    </row>
    <row r="37" spans="2:79" ht="15.75" thickBot="1" x14ac:dyDescent="0.3">
      <c r="B37" s="217" t="s">
        <v>171</v>
      </c>
      <c r="C37" s="198"/>
      <c r="D37" s="217" t="s">
        <v>88</v>
      </c>
      <c r="E37" s="219" t="str">
        <f t="shared" si="19"/>
        <v>3300</v>
      </c>
      <c r="F37" s="220">
        <f t="shared" si="20"/>
        <v>110</v>
      </c>
      <c r="H37" s="222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Y37" s="222"/>
      <c r="Z37" s="222"/>
      <c r="AA37" s="222"/>
      <c r="AB37" s="222"/>
      <c r="AC37" s="222"/>
      <c r="AD37" s="222"/>
      <c r="AE37" s="222"/>
      <c r="AF37" s="222"/>
      <c r="AG37" s="222"/>
      <c r="AH37" s="222"/>
      <c r="AI37" s="222" t="s">
        <v>67</v>
      </c>
      <c r="AJ37" s="222" t="s">
        <v>67</v>
      </c>
      <c r="AK37" s="222" t="s">
        <v>67</v>
      </c>
      <c r="AL37" s="222" t="s">
        <v>67</v>
      </c>
      <c r="AM37" s="222" t="s">
        <v>67</v>
      </c>
      <c r="AN37" s="222" t="s">
        <v>67</v>
      </c>
      <c r="AO37" s="222" t="s">
        <v>67</v>
      </c>
      <c r="AP37" s="222" t="s">
        <v>67</v>
      </c>
      <c r="AQ37" s="222" t="s">
        <v>67</v>
      </c>
      <c r="AR37" s="222" t="s">
        <v>67</v>
      </c>
      <c r="AS37" s="222" t="s">
        <v>67</v>
      </c>
      <c r="AT37" s="222" t="s">
        <v>67</v>
      </c>
      <c r="AU37" s="222" t="s">
        <v>67</v>
      </c>
      <c r="AV37" s="222" t="s">
        <v>67</v>
      </c>
      <c r="AW37" s="222" t="s">
        <v>67</v>
      </c>
      <c r="AX37" s="222" t="s">
        <v>78</v>
      </c>
      <c r="AZ37" s="223">
        <f t="shared" si="5"/>
        <v>15</v>
      </c>
      <c r="BA37" s="223">
        <f t="shared" si="6"/>
        <v>1</v>
      </c>
      <c r="BB37" s="223">
        <f t="shared" si="7"/>
        <v>0</v>
      </c>
      <c r="BC37" s="223">
        <f t="shared" si="8"/>
        <v>16</v>
      </c>
      <c r="BE37" s="199">
        <f t="shared" si="21"/>
        <v>1650</v>
      </c>
      <c r="BF37" s="27"/>
      <c r="BG37" s="200">
        <f t="shared" si="22"/>
        <v>0</v>
      </c>
      <c r="BH37" s="200"/>
      <c r="BI37" s="226"/>
      <c r="BJ37" s="228"/>
      <c r="BK37" s="226"/>
      <c r="BL37" s="228"/>
      <c r="BM37" s="226"/>
      <c r="BN37" s="228"/>
      <c r="BO37" s="226"/>
      <c r="BP37" s="228"/>
      <c r="BQ37" s="227">
        <f t="shared" si="23"/>
        <v>0</v>
      </c>
      <c r="BS37" s="241">
        <f t="shared" si="24"/>
        <v>214.5</v>
      </c>
      <c r="BT37" s="225">
        <f t="shared" si="25"/>
        <v>33</v>
      </c>
      <c r="BU37" s="224">
        <f t="shared" si="26"/>
        <v>214.5</v>
      </c>
      <c r="BV37" s="224">
        <f t="shared" si="27"/>
        <v>33</v>
      </c>
      <c r="BW37" s="243">
        <f t="shared" si="28"/>
        <v>495</v>
      </c>
      <c r="BX37" s="214"/>
      <c r="BY37" s="199">
        <f t="shared" si="29"/>
        <v>495</v>
      </c>
      <c r="BZ37" s="199"/>
      <c r="CA37" s="247">
        <f t="shared" si="18"/>
        <v>1155</v>
      </c>
    </row>
    <row r="38" spans="2:79" ht="15.75" thickBot="1" x14ac:dyDescent="0.3">
      <c r="B38" s="217" t="s">
        <v>184</v>
      </c>
      <c r="C38" s="198"/>
      <c r="D38" s="217" t="str">
        <f>IFERROR(VLOOKUP(B38,'DATOS GRALES 1'!$B$2:$E$91,4,0),"")</f>
        <v>OPERARIO</v>
      </c>
      <c r="E38" s="219" t="str">
        <f t="shared" si="19"/>
        <v>4200</v>
      </c>
      <c r="F38" s="220">
        <f t="shared" si="20"/>
        <v>140</v>
      </c>
      <c r="H38" s="222"/>
      <c r="I38" s="222"/>
      <c r="J38" s="222"/>
      <c r="K38" s="222"/>
      <c r="L38" s="222"/>
      <c r="M38" s="222"/>
      <c r="N38" s="222"/>
      <c r="O38" s="222"/>
      <c r="P38" s="222"/>
      <c r="Q38" s="222"/>
      <c r="R38" s="222"/>
      <c r="S38" s="222"/>
      <c r="T38" s="222"/>
      <c r="U38" s="222"/>
      <c r="V38" s="222"/>
      <c r="W38" s="222"/>
      <c r="X38" s="222"/>
      <c r="Y38" s="222"/>
      <c r="Z38" s="222"/>
      <c r="AA38" s="222"/>
      <c r="AB38" s="222"/>
      <c r="AC38" s="222"/>
      <c r="AD38" s="222"/>
      <c r="AE38" s="222"/>
      <c r="AF38" s="222"/>
      <c r="AG38" s="222"/>
      <c r="AH38" s="222"/>
      <c r="AI38" s="222"/>
      <c r="AJ38" s="222"/>
      <c r="AK38" s="222"/>
      <c r="AL38" s="222"/>
      <c r="AM38" s="222"/>
      <c r="AN38" s="222"/>
      <c r="AO38" s="222"/>
      <c r="AP38" s="222"/>
      <c r="AQ38" s="222"/>
      <c r="AR38" s="222"/>
      <c r="AS38" s="222"/>
      <c r="AT38" s="222"/>
      <c r="AU38" s="222"/>
      <c r="AV38" s="222"/>
      <c r="AW38" s="222"/>
      <c r="AX38" s="222"/>
      <c r="AZ38" s="223" t="str">
        <f t="shared" si="5"/>
        <v/>
      </c>
      <c r="BA38" s="223" t="str">
        <f t="shared" si="6"/>
        <v/>
      </c>
      <c r="BB38" s="223">
        <f t="shared" si="7"/>
        <v>0</v>
      </c>
      <c r="BC38" s="223" t="str">
        <f t="shared" si="8"/>
        <v/>
      </c>
      <c r="BE38" s="199" t="str">
        <f t="shared" si="21"/>
        <v/>
      </c>
      <c r="BF38" s="27"/>
      <c r="BG38" s="200">
        <f t="shared" si="22"/>
        <v>0</v>
      </c>
      <c r="BH38" s="200"/>
      <c r="BI38" s="226"/>
      <c r="BJ38" s="228"/>
      <c r="BK38" s="226"/>
      <c r="BL38" s="228"/>
      <c r="BM38" s="226"/>
      <c r="BN38" s="228"/>
      <c r="BO38" s="226"/>
      <c r="BP38" s="228"/>
      <c r="BQ38" s="227">
        <f t="shared" si="23"/>
        <v>0</v>
      </c>
      <c r="BS38" s="241">
        <f t="shared" si="24"/>
        <v>273</v>
      </c>
      <c r="BT38" s="225">
        <f t="shared" si="25"/>
        <v>42</v>
      </c>
      <c r="BU38" s="224">
        <f t="shared" si="26"/>
        <v>273</v>
      </c>
      <c r="BV38" s="224">
        <f t="shared" si="27"/>
        <v>42</v>
      </c>
      <c r="BW38" s="243">
        <f t="shared" si="28"/>
        <v>630</v>
      </c>
      <c r="BX38" s="214"/>
      <c r="BY38" s="199">
        <f t="shared" si="29"/>
        <v>630</v>
      </c>
      <c r="BZ38" s="199"/>
      <c r="CA38" s="247" t="str">
        <f t="shared" si="18"/>
        <v/>
      </c>
    </row>
    <row r="39" spans="2:79" ht="15.75" thickBot="1" x14ac:dyDescent="0.3">
      <c r="B39" s="217" t="s">
        <v>196</v>
      </c>
      <c r="C39" s="198"/>
      <c r="D39" s="217" t="str">
        <f>IFERROR(VLOOKUP(B39,'DATOS GRALES 1'!$B$2:$E$91,4,0),"")</f>
        <v>OPERARIO</v>
      </c>
      <c r="E39" s="219" t="str">
        <f t="shared" si="19"/>
        <v>4200</v>
      </c>
      <c r="F39" s="220">
        <f t="shared" si="20"/>
        <v>140</v>
      </c>
      <c r="H39" s="222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Y39" s="222"/>
      <c r="Z39" s="222"/>
      <c r="AA39" s="222"/>
      <c r="AB39" s="222"/>
      <c r="AC39" s="222"/>
      <c r="AD39" s="222"/>
      <c r="AE39" s="222"/>
      <c r="AF39" s="222"/>
      <c r="AG39" s="222"/>
      <c r="AH39" s="222"/>
      <c r="AI39" s="222"/>
      <c r="AJ39" s="222"/>
      <c r="AK39" s="222"/>
      <c r="AL39" s="222"/>
      <c r="AM39" s="222"/>
      <c r="AN39" s="222"/>
      <c r="AO39" s="222"/>
      <c r="AP39" s="222" t="s">
        <v>67</v>
      </c>
      <c r="AQ39" s="222" t="s">
        <v>67</v>
      </c>
      <c r="AR39" s="222" t="s">
        <v>67</v>
      </c>
      <c r="AS39" s="222" t="s">
        <v>67</v>
      </c>
      <c r="AT39" s="222" t="s">
        <v>67</v>
      </c>
      <c r="AU39" s="222" t="s">
        <v>67</v>
      </c>
      <c r="AV39" s="222" t="s">
        <v>67</v>
      </c>
      <c r="AW39" s="222" t="s">
        <v>67</v>
      </c>
      <c r="AX39" s="222" t="s">
        <v>67</v>
      </c>
      <c r="AZ39" s="223">
        <f t="shared" si="5"/>
        <v>9</v>
      </c>
      <c r="BA39" s="223" t="str">
        <f t="shared" si="6"/>
        <v/>
      </c>
      <c r="BB39" s="223">
        <f t="shared" si="7"/>
        <v>0</v>
      </c>
      <c r="BC39" s="223">
        <f t="shared" si="8"/>
        <v>9</v>
      </c>
      <c r="BE39" s="199">
        <f t="shared" si="21"/>
        <v>1260</v>
      </c>
      <c r="BF39" s="27"/>
      <c r="BG39" s="200">
        <f t="shared" si="22"/>
        <v>0</v>
      </c>
      <c r="BH39" s="200"/>
      <c r="BI39" s="226"/>
      <c r="BJ39" s="228"/>
      <c r="BK39" s="226"/>
      <c r="BL39" s="228"/>
      <c r="BM39" s="226"/>
      <c r="BN39" s="228"/>
      <c r="BO39" s="226"/>
      <c r="BP39" s="228"/>
      <c r="BQ39" s="227">
        <f t="shared" si="23"/>
        <v>0</v>
      </c>
      <c r="BS39" s="241">
        <f t="shared" si="24"/>
        <v>273</v>
      </c>
      <c r="BT39" s="225">
        <f t="shared" si="25"/>
        <v>42</v>
      </c>
      <c r="BU39" s="224">
        <f t="shared" si="26"/>
        <v>273</v>
      </c>
      <c r="BV39" s="224">
        <f t="shared" si="27"/>
        <v>42</v>
      </c>
      <c r="BW39" s="243">
        <f t="shared" si="28"/>
        <v>630</v>
      </c>
      <c r="BX39" s="214"/>
      <c r="BY39" s="199">
        <f t="shared" si="29"/>
        <v>630</v>
      </c>
      <c r="BZ39" s="199"/>
      <c r="CA39" s="247">
        <f t="shared" si="18"/>
        <v>630</v>
      </c>
    </row>
    <row r="40" spans="2:79" ht="15.75" thickBot="1" x14ac:dyDescent="0.3">
      <c r="B40" s="217" t="s">
        <v>243</v>
      </c>
      <c r="C40" s="198"/>
      <c r="D40" s="217" t="str">
        <f>IFERROR(VLOOKUP(B40,'DATOS GRALES 1'!$B$2:$E$91,4,0),"")</f>
        <v>PEON</v>
      </c>
      <c r="E40" s="219" t="str">
        <f t="shared" si="19"/>
        <v>3300</v>
      </c>
      <c r="F40" s="220">
        <f t="shared" si="20"/>
        <v>110</v>
      </c>
      <c r="H40" s="222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Y40" s="222"/>
      <c r="Z40" s="222"/>
      <c r="AA40" s="222"/>
      <c r="AB40" s="222"/>
      <c r="AC40" s="222"/>
      <c r="AD40" s="222"/>
      <c r="AE40" s="222"/>
      <c r="AF40" s="222"/>
      <c r="AG40" s="222"/>
      <c r="AH40" s="222"/>
      <c r="AI40" s="222"/>
      <c r="AJ40" s="222"/>
      <c r="AK40" s="222"/>
      <c r="AL40" s="222"/>
      <c r="AM40" s="222"/>
      <c r="AN40" s="222"/>
      <c r="AO40" s="222"/>
      <c r="AP40" s="222"/>
      <c r="AQ40" s="222"/>
      <c r="AR40" s="222"/>
      <c r="AS40" s="222"/>
      <c r="AT40" s="222"/>
      <c r="AU40" s="222"/>
      <c r="AV40" s="222"/>
      <c r="AW40" s="222"/>
      <c r="AX40" s="222"/>
      <c r="AZ40" s="223" t="str">
        <f t="shared" si="5"/>
        <v/>
      </c>
      <c r="BA40" s="223" t="str">
        <f t="shared" si="6"/>
        <v/>
      </c>
      <c r="BB40" s="223">
        <f t="shared" si="7"/>
        <v>0</v>
      </c>
      <c r="BC40" s="223" t="str">
        <f t="shared" si="8"/>
        <v/>
      </c>
      <c r="BE40" s="199" t="str">
        <f t="shared" si="21"/>
        <v/>
      </c>
      <c r="BF40" s="27"/>
      <c r="BG40" s="200">
        <f t="shared" si="22"/>
        <v>0</v>
      </c>
      <c r="BH40" s="200"/>
      <c r="BI40" s="226"/>
      <c r="BJ40" s="228"/>
      <c r="BK40" s="226"/>
      <c r="BL40" s="228"/>
      <c r="BM40" s="226"/>
      <c r="BN40" s="228"/>
      <c r="BO40" s="226"/>
      <c r="BP40" s="228"/>
      <c r="BQ40" s="227">
        <f t="shared" si="23"/>
        <v>0</v>
      </c>
      <c r="BS40" s="241">
        <f t="shared" si="24"/>
        <v>214.5</v>
      </c>
      <c r="BT40" s="225">
        <f t="shared" si="25"/>
        <v>33</v>
      </c>
      <c r="BU40" s="224">
        <f t="shared" si="26"/>
        <v>214.5</v>
      </c>
      <c r="BV40" s="224">
        <f t="shared" si="27"/>
        <v>33</v>
      </c>
      <c r="BW40" s="243">
        <f t="shared" si="28"/>
        <v>495</v>
      </c>
      <c r="BX40" s="214"/>
      <c r="BY40" s="199">
        <f t="shared" si="29"/>
        <v>495</v>
      </c>
      <c r="BZ40" s="199"/>
      <c r="CA40" s="247" t="str">
        <f t="shared" si="18"/>
        <v/>
      </c>
    </row>
    <row r="41" spans="2:79" ht="15.75" thickBot="1" x14ac:dyDescent="0.3">
      <c r="B41" s="217" t="s">
        <v>244</v>
      </c>
      <c r="C41" s="198"/>
      <c r="D41" s="217" t="str">
        <f>IFERROR(VLOOKUP(B41,'DATOS GRALES 1'!$B$2:$E$91,4,0),"")</f>
        <v>PEON</v>
      </c>
      <c r="E41" s="219" t="str">
        <f t="shared" si="19"/>
        <v>3300</v>
      </c>
      <c r="F41" s="220">
        <f t="shared" si="20"/>
        <v>110</v>
      </c>
      <c r="H41" s="222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Y41" s="222"/>
      <c r="Z41" s="222"/>
      <c r="AA41" s="222"/>
      <c r="AB41" s="222"/>
      <c r="AC41" s="222"/>
      <c r="AD41" s="222"/>
      <c r="AE41" s="222"/>
      <c r="AF41" s="222"/>
      <c r="AG41" s="222"/>
      <c r="AH41" s="222"/>
      <c r="AI41" s="222"/>
      <c r="AJ41" s="222"/>
      <c r="AK41" s="222"/>
      <c r="AL41" s="222"/>
      <c r="AM41" s="222"/>
      <c r="AN41" s="222"/>
      <c r="AO41" s="222"/>
      <c r="AP41" s="222"/>
      <c r="AQ41" s="222"/>
      <c r="AR41" s="222"/>
      <c r="AS41" s="222"/>
      <c r="AT41" s="222"/>
      <c r="AU41" s="222"/>
      <c r="AV41" s="222"/>
      <c r="AW41" s="222"/>
      <c r="AX41" s="222"/>
      <c r="AZ41" s="223" t="str">
        <f t="shared" si="5"/>
        <v/>
      </c>
      <c r="BA41" s="223" t="str">
        <f t="shared" si="6"/>
        <v/>
      </c>
      <c r="BB41" s="223">
        <f t="shared" si="7"/>
        <v>0</v>
      </c>
      <c r="BC41" s="223" t="str">
        <f t="shared" si="8"/>
        <v/>
      </c>
      <c r="BE41" s="199" t="str">
        <f t="shared" si="21"/>
        <v/>
      </c>
      <c r="BF41" s="27"/>
      <c r="BG41" s="200">
        <f t="shared" si="22"/>
        <v>0</v>
      </c>
      <c r="BH41" s="200"/>
      <c r="BI41" s="226"/>
      <c r="BJ41" s="228"/>
      <c r="BK41" s="226"/>
      <c r="BL41" s="228"/>
      <c r="BM41" s="226"/>
      <c r="BN41" s="228"/>
      <c r="BO41" s="226"/>
      <c r="BP41" s="228"/>
      <c r="BQ41" s="227">
        <f t="shared" si="23"/>
        <v>0</v>
      </c>
      <c r="BS41" s="241">
        <f t="shared" si="24"/>
        <v>214.5</v>
      </c>
      <c r="BT41" s="225">
        <f t="shared" si="25"/>
        <v>33</v>
      </c>
      <c r="BU41" s="224">
        <f t="shared" si="26"/>
        <v>214.5</v>
      </c>
      <c r="BV41" s="224">
        <f t="shared" si="27"/>
        <v>33</v>
      </c>
      <c r="BW41" s="243">
        <f t="shared" si="28"/>
        <v>495</v>
      </c>
      <c r="BX41" s="214"/>
      <c r="BY41" s="199">
        <f t="shared" si="29"/>
        <v>495</v>
      </c>
      <c r="BZ41" s="199"/>
      <c r="CA41" s="247" t="str">
        <f t="shared" si="18"/>
        <v/>
      </c>
    </row>
    <row r="42" spans="2:79" ht="15.75" thickBot="1" x14ac:dyDescent="0.3">
      <c r="B42" s="217" t="s">
        <v>245</v>
      </c>
      <c r="C42" s="198"/>
      <c r="D42" s="217" t="str">
        <f>IFERROR(VLOOKUP(B42,'DATOS GRALES 1'!$B$2:$E$91,4,0),"")</f>
        <v>OPERARIO</v>
      </c>
      <c r="E42" s="219" t="str">
        <f t="shared" si="19"/>
        <v>4200</v>
      </c>
      <c r="F42" s="220">
        <f t="shared" si="20"/>
        <v>140</v>
      </c>
      <c r="H42" s="222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Y42" s="222"/>
      <c r="Z42" s="222"/>
      <c r="AA42" s="222"/>
      <c r="AB42" s="222"/>
      <c r="AC42" s="222"/>
      <c r="AD42" s="222"/>
      <c r="AE42" s="222"/>
      <c r="AF42" s="222"/>
      <c r="AG42" s="222"/>
      <c r="AH42" s="222"/>
      <c r="AI42" s="222"/>
      <c r="AJ42" s="222"/>
      <c r="AK42" s="222"/>
      <c r="AL42" s="222"/>
      <c r="AM42" s="222"/>
      <c r="AN42" s="222"/>
      <c r="AO42" s="222"/>
      <c r="AP42" s="222"/>
      <c r="AQ42" s="222"/>
      <c r="AR42" s="222"/>
      <c r="AS42" s="222"/>
      <c r="AT42" s="222"/>
      <c r="AU42" s="222"/>
      <c r="AV42" s="222"/>
      <c r="AW42" s="222"/>
      <c r="AX42" s="222"/>
      <c r="AZ42" s="223" t="str">
        <f t="shared" si="5"/>
        <v/>
      </c>
      <c r="BA42" s="223" t="str">
        <f t="shared" si="6"/>
        <v/>
      </c>
      <c r="BB42" s="223">
        <f t="shared" si="7"/>
        <v>0</v>
      </c>
      <c r="BC42" s="223" t="str">
        <f t="shared" si="8"/>
        <v/>
      </c>
      <c r="BE42" s="199" t="str">
        <f t="shared" si="21"/>
        <v/>
      </c>
      <c r="BF42" s="27"/>
      <c r="BG42" s="200">
        <f t="shared" si="22"/>
        <v>0</v>
      </c>
      <c r="BH42" s="200"/>
      <c r="BI42" s="226"/>
      <c r="BJ42" s="228"/>
      <c r="BK42" s="226"/>
      <c r="BL42" s="228"/>
      <c r="BM42" s="226"/>
      <c r="BN42" s="228"/>
      <c r="BO42" s="226"/>
      <c r="BP42" s="228"/>
      <c r="BQ42" s="227">
        <f t="shared" si="23"/>
        <v>0</v>
      </c>
      <c r="BS42" s="241">
        <f t="shared" si="24"/>
        <v>273</v>
      </c>
      <c r="BT42" s="225">
        <f t="shared" si="25"/>
        <v>42</v>
      </c>
      <c r="BU42" s="224">
        <f t="shared" si="26"/>
        <v>273</v>
      </c>
      <c r="BV42" s="224">
        <f t="shared" si="27"/>
        <v>42</v>
      </c>
      <c r="BW42" s="243">
        <f t="shared" si="28"/>
        <v>630</v>
      </c>
      <c r="BX42" s="214"/>
      <c r="BY42" s="199">
        <f t="shared" si="29"/>
        <v>630</v>
      </c>
      <c r="BZ42" s="199"/>
      <c r="CA42" s="247" t="str">
        <f t="shared" si="18"/>
        <v/>
      </c>
    </row>
    <row r="43" spans="2:79" ht="15.75" thickBot="1" x14ac:dyDescent="0.3">
      <c r="B43" s="217" t="s">
        <v>246</v>
      </c>
      <c r="C43" s="198"/>
      <c r="D43" s="217" t="str">
        <f>IFERROR(VLOOKUP(B43,'DATOS GRALES 1'!$B$2:$E$91,4,0),"")</f>
        <v>OPERARIO</v>
      </c>
      <c r="E43" s="219" t="str">
        <f t="shared" si="19"/>
        <v>4200</v>
      </c>
      <c r="F43" s="220">
        <f t="shared" si="20"/>
        <v>140</v>
      </c>
      <c r="H43" s="22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Y43" s="222"/>
      <c r="Z43" s="222"/>
      <c r="AA43" s="222"/>
      <c r="AB43" s="222"/>
      <c r="AC43" s="222"/>
      <c r="AD43" s="222"/>
      <c r="AE43" s="222"/>
      <c r="AF43" s="222"/>
      <c r="AG43" s="222"/>
      <c r="AH43" s="222"/>
      <c r="AI43" s="222"/>
      <c r="AJ43" s="222"/>
      <c r="AK43" s="222"/>
      <c r="AL43" s="222"/>
      <c r="AM43" s="222"/>
      <c r="AN43" s="222"/>
      <c r="AO43" s="222"/>
      <c r="AP43" s="222"/>
      <c r="AQ43" s="222"/>
      <c r="AR43" s="222"/>
      <c r="AS43" s="222"/>
      <c r="AT43" s="222"/>
      <c r="AU43" s="222"/>
      <c r="AV43" s="222"/>
      <c r="AW43" s="222"/>
      <c r="AX43" s="222"/>
      <c r="AZ43" s="223" t="str">
        <f t="shared" si="5"/>
        <v/>
      </c>
      <c r="BA43" s="223" t="str">
        <f t="shared" si="6"/>
        <v/>
      </c>
      <c r="BB43" s="223">
        <f t="shared" si="7"/>
        <v>0</v>
      </c>
      <c r="BC43" s="223" t="str">
        <f t="shared" si="8"/>
        <v/>
      </c>
      <c r="BE43" s="199" t="str">
        <f t="shared" si="21"/>
        <v/>
      </c>
      <c r="BF43" s="27"/>
      <c r="BG43" s="200">
        <f t="shared" si="22"/>
        <v>0</v>
      </c>
      <c r="BH43" s="200"/>
      <c r="BI43" s="226"/>
      <c r="BJ43" s="228"/>
      <c r="BK43" s="226"/>
      <c r="BL43" s="228"/>
      <c r="BM43" s="226"/>
      <c r="BN43" s="228"/>
      <c r="BO43" s="226"/>
      <c r="BP43" s="228"/>
      <c r="BQ43" s="227">
        <f t="shared" si="23"/>
        <v>0</v>
      </c>
      <c r="BS43" s="241">
        <f t="shared" si="24"/>
        <v>273</v>
      </c>
      <c r="BT43" s="225">
        <f t="shared" si="25"/>
        <v>42</v>
      </c>
      <c r="BU43" s="224">
        <f t="shared" si="26"/>
        <v>273</v>
      </c>
      <c r="BV43" s="224">
        <f t="shared" si="27"/>
        <v>42</v>
      </c>
      <c r="BW43" s="243">
        <f t="shared" si="28"/>
        <v>630</v>
      </c>
      <c r="BX43" s="214"/>
      <c r="BY43" s="199">
        <f t="shared" si="29"/>
        <v>630</v>
      </c>
      <c r="BZ43" s="199"/>
      <c r="CA43" s="247" t="str">
        <f t="shared" si="18"/>
        <v/>
      </c>
    </row>
    <row r="44" spans="2:79" ht="15.75" thickBot="1" x14ac:dyDescent="0.3">
      <c r="B44" s="217" t="s">
        <v>247</v>
      </c>
      <c r="C44" s="198"/>
      <c r="D44" s="217" t="str">
        <f>IFERROR(VLOOKUP(B44,'DATOS GRALES 1'!$B$2:$E$91,4,0),"")</f>
        <v>PEON</v>
      </c>
      <c r="E44" s="219" t="str">
        <f t="shared" si="19"/>
        <v>3300</v>
      </c>
      <c r="F44" s="220">
        <f t="shared" si="20"/>
        <v>110</v>
      </c>
      <c r="H44" s="222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Y44" s="222"/>
      <c r="Z44" s="222"/>
      <c r="AA44" s="222"/>
      <c r="AB44" s="222"/>
      <c r="AC44" s="222"/>
      <c r="AD44" s="222"/>
      <c r="AE44" s="222"/>
      <c r="AF44" s="222"/>
      <c r="AG44" s="222"/>
      <c r="AH44" s="222"/>
      <c r="AI44" s="222"/>
      <c r="AJ44" s="222"/>
      <c r="AK44" s="222"/>
      <c r="AL44" s="222"/>
      <c r="AM44" s="222"/>
      <c r="AN44" s="222"/>
      <c r="AO44" s="222"/>
      <c r="AP44" s="222"/>
      <c r="AQ44" s="222"/>
      <c r="AR44" s="222"/>
      <c r="AS44" s="222"/>
      <c r="AT44" s="222"/>
      <c r="AU44" s="222"/>
      <c r="AV44" s="222"/>
      <c r="AW44" s="222"/>
      <c r="AX44" s="222" t="s">
        <v>67</v>
      </c>
      <c r="AZ44" s="223">
        <f t="shared" si="5"/>
        <v>1</v>
      </c>
      <c r="BA44" s="223" t="str">
        <f t="shared" si="6"/>
        <v/>
      </c>
      <c r="BB44" s="223">
        <f t="shared" si="7"/>
        <v>0</v>
      </c>
      <c r="BC44" s="223">
        <f t="shared" si="8"/>
        <v>1</v>
      </c>
      <c r="BE44" s="199">
        <f t="shared" si="21"/>
        <v>110</v>
      </c>
      <c r="BF44" s="27"/>
      <c r="BG44" s="200">
        <f t="shared" si="22"/>
        <v>0</v>
      </c>
      <c r="BH44" s="200"/>
      <c r="BI44" s="226"/>
      <c r="BJ44" s="228"/>
      <c r="BK44" s="226"/>
      <c r="BL44" s="228"/>
      <c r="BM44" s="226"/>
      <c r="BN44" s="228"/>
      <c r="BO44" s="226"/>
      <c r="BP44" s="228"/>
      <c r="BQ44" s="227">
        <f t="shared" si="23"/>
        <v>0</v>
      </c>
      <c r="BS44" s="241">
        <f t="shared" si="24"/>
        <v>214.5</v>
      </c>
      <c r="BT44" s="225">
        <f t="shared" si="25"/>
        <v>33</v>
      </c>
      <c r="BU44" s="224">
        <f t="shared" si="26"/>
        <v>214.5</v>
      </c>
      <c r="BV44" s="224">
        <f t="shared" si="27"/>
        <v>33</v>
      </c>
      <c r="BW44" s="243">
        <f t="shared" si="28"/>
        <v>495</v>
      </c>
      <c r="BX44" s="214"/>
      <c r="BY44" s="199">
        <f t="shared" si="29"/>
        <v>495</v>
      </c>
      <c r="BZ44" s="199"/>
      <c r="CA44" s="247">
        <f t="shared" si="18"/>
        <v>-385</v>
      </c>
    </row>
    <row r="45" spans="2:79" ht="15.75" thickBot="1" x14ac:dyDescent="0.3">
      <c r="B45" s="217" t="s">
        <v>248</v>
      </c>
      <c r="C45" s="198"/>
      <c r="D45" s="217" t="str">
        <f>IFERROR(VLOOKUP(B45,'DATOS GRALES 1'!$B$2:$E$91,4,0),"")</f>
        <v>PEON</v>
      </c>
      <c r="E45" s="219" t="str">
        <f t="shared" si="19"/>
        <v>3300</v>
      </c>
      <c r="F45" s="220">
        <f t="shared" si="20"/>
        <v>110</v>
      </c>
      <c r="H45" s="22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Y45" s="222"/>
      <c r="Z45" s="222"/>
      <c r="AA45" s="222"/>
      <c r="AB45" s="222"/>
      <c r="AC45" s="222"/>
      <c r="AD45" s="222"/>
      <c r="AE45" s="222"/>
      <c r="AF45" s="222"/>
      <c r="AG45" s="222"/>
      <c r="AH45" s="222"/>
      <c r="AI45" s="222"/>
      <c r="AJ45" s="222"/>
      <c r="AK45" s="222"/>
      <c r="AL45" s="222"/>
      <c r="AM45" s="222"/>
      <c r="AN45" s="222"/>
      <c r="AO45" s="222"/>
      <c r="AP45" s="222"/>
      <c r="AQ45" s="222"/>
      <c r="AR45" s="222"/>
      <c r="AS45" s="222"/>
      <c r="AT45" s="222"/>
      <c r="AU45" s="222"/>
      <c r="AV45" s="222"/>
      <c r="AW45" s="222"/>
      <c r="AX45" s="222" t="s">
        <v>67</v>
      </c>
      <c r="AZ45" s="223">
        <f t="shared" si="5"/>
        <v>1</v>
      </c>
      <c r="BA45" s="223" t="str">
        <f t="shared" si="6"/>
        <v/>
      </c>
      <c r="BB45" s="223">
        <f t="shared" si="7"/>
        <v>0</v>
      </c>
      <c r="BC45" s="223">
        <f t="shared" si="8"/>
        <v>1</v>
      </c>
      <c r="BE45" s="199">
        <f t="shared" si="21"/>
        <v>110</v>
      </c>
      <c r="BF45" s="27"/>
      <c r="BG45" s="200">
        <f t="shared" si="22"/>
        <v>0</v>
      </c>
      <c r="BH45" s="200"/>
      <c r="BI45" s="226"/>
      <c r="BJ45" s="228"/>
      <c r="BK45" s="226"/>
      <c r="BL45" s="228"/>
      <c r="BM45" s="226"/>
      <c r="BN45" s="228"/>
      <c r="BO45" s="226"/>
      <c r="BP45" s="228"/>
      <c r="BQ45" s="227">
        <f t="shared" si="23"/>
        <v>0</v>
      </c>
      <c r="BS45" s="241">
        <f t="shared" si="24"/>
        <v>214.5</v>
      </c>
      <c r="BT45" s="225">
        <f t="shared" si="25"/>
        <v>33</v>
      </c>
      <c r="BU45" s="224">
        <f t="shared" si="26"/>
        <v>214.5</v>
      </c>
      <c r="BV45" s="224">
        <f t="shared" si="27"/>
        <v>33</v>
      </c>
      <c r="BW45" s="243">
        <f t="shared" si="28"/>
        <v>495</v>
      </c>
      <c r="BX45" s="214"/>
      <c r="BY45" s="199">
        <f t="shared" si="29"/>
        <v>495</v>
      </c>
      <c r="BZ45" s="199"/>
      <c r="CA45" s="247">
        <f t="shared" si="18"/>
        <v>-385</v>
      </c>
    </row>
    <row r="46" spans="2:79" ht="15.75" thickBot="1" x14ac:dyDescent="0.3">
      <c r="B46" s="218"/>
      <c r="D46" s="218" t="str">
        <f>IFERROR(VLOOKUP(B46,'DATOS GRALES 1'!$B$2:$E$91,4,0),"")</f>
        <v/>
      </c>
      <c r="E46" s="219" t="str">
        <f t="shared" si="19"/>
        <v/>
      </c>
      <c r="F46" s="220" t="str">
        <f t="shared" si="20"/>
        <v/>
      </c>
      <c r="H46" s="222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Y46" s="222"/>
      <c r="Z46" s="222"/>
      <c r="AA46" s="222"/>
      <c r="AB46" s="222"/>
      <c r="AC46" s="222"/>
      <c r="AD46" s="222"/>
      <c r="AE46" s="222"/>
      <c r="AF46" s="222"/>
      <c r="AG46" s="222"/>
      <c r="AH46" s="222"/>
      <c r="AI46" s="222"/>
      <c r="AJ46" s="222"/>
      <c r="AK46" s="222"/>
      <c r="AL46" s="222"/>
      <c r="AM46" s="222"/>
      <c r="AN46" s="222"/>
      <c r="AO46" s="222"/>
      <c r="AP46" s="222"/>
      <c r="AQ46" s="222"/>
      <c r="AR46" s="222"/>
      <c r="AS46" s="222"/>
      <c r="AT46" s="222"/>
      <c r="AU46" s="222"/>
      <c r="AV46" s="222"/>
      <c r="AW46" s="222"/>
      <c r="AX46" s="222"/>
      <c r="AZ46" s="223" t="str">
        <f t="shared" si="5"/>
        <v/>
      </c>
      <c r="BA46" s="223" t="str">
        <f t="shared" si="6"/>
        <v/>
      </c>
      <c r="BB46" s="223">
        <f t="shared" si="7"/>
        <v>0</v>
      </c>
      <c r="BC46" s="223" t="str">
        <f t="shared" si="8"/>
        <v/>
      </c>
      <c r="BE46" s="199" t="str">
        <f t="shared" si="21"/>
        <v/>
      </c>
      <c r="BF46" s="27"/>
      <c r="BG46" s="200" t="str">
        <f t="shared" si="22"/>
        <v/>
      </c>
      <c r="BH46" s="200"/>
      <c r="BI46" s="226"/>
      <c r="BJ46" s="228"/>
      <c r="BK46" s="226"/>
      <c r="BL46" s="228"/>
      <c r="BM46" s="226"/>
      <c r="BN46" s="228"/>
      <c r="BO46" s="226"/>
      <c r="BP46" s="228"/>
      <c r="BQ46" s="227">
        <f t="shared" si="23"/>
        <v>0</v>
      </c>
      <c r="BS46" s="241" t="str">
        <f t="shared" si="24"/>
        <v/>
      </c>
      <c r="BT46" s="225" t="str">
        <f t="shared" si="25"/>
        <v/>
      </c>
      <c r="BU46" s="224" t="str">
        <f t="shared" si="26"/>
        <v/>
      </c>
      <c r="BV46" s="224" t="str">
        <f t="shared" si="27"/>
        <v/>
      </c>
      <c r="BW46" s="243">
        <f t="shared" si="28"/>
        <v>0</v>
      </c>
      <c r="BX46" s="214"/>
      <c r="BY46" s="199">
        <f t="shared" si="29"/>
        <v>0</v>
      </c>
      <c r="BZ46" s="199"/>
      <c r="CA46" s="247" t="str">
        <f t="shared" si="18"/>
        <v/>
      </c>
    </row>
    <row r="47" spans="2:79" ht="15.75" thickBot="1" x14ac:dyDescent="0.3">
      <c r="B47" s="218"/>
      <c r="D47" s="218" t="str">
        <f>IFERROR(VLOOKUP(B47,'DATOS GRALES 1'!$B$2:$E$91,4,0),"")</f>
        <v/>
      </c>
      <c r="E47" s="219" t="str">
        <f t="shared" si="19"/>
        <v/>
      </c>
      <c r="F47" s="220" t="str">
        <f t="shared" si="20"/>
        <v/>
      </c>
      <c r="H47" s="222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Y47" s="222"/>
      <c r="Z47" s="222"/>
      <c r="AA47" s="222"/>
      <c r="AB47" s="222"/>
      <c r="AC47" s="222"/>
      <c r="AD47" s="222"/>
      <c r="AE47" s="222"/>
      <c r="AF47" s="222"/>
      <c r="AG47" s="222"/>
      <c r="AH47" s="222"/>
      <c r="AI47" s="222"/>
      <c r="AJ47" s="222"/>
      <c r="AK47" s="222"/>
      <c r="AL47" s="222"/>
      <c r="AM47" s="222"/>
      <c r="AN47" s="222"/>
      <c r="AO47" s="222"/>
      <c r="AP47" s="222"/>
      <c r="AQ47" s="222"/>
      <c r="AR47" s="222"/>
      <c r="AS47" s="222"/>
      <c r="AT47" s="222"/>
      <c r="AU47" s="222"/>
      <c r="AV47" s="222"/>
      <c r="AW47" s="222"/>
      <c r="AX47" s="222"/>
      <c r="AZ47" s="223" t="str">
        <f t="shared" si="5"/>
        <v/>
      </c>
      <c r="BA47" s="223" t="str">
        <f t="shared" si="6"/>
        <v/>
      </c>
      <c r="BB47" s="223">
        <f t="shared" si="7"/>
        <v>0</v>
      </c>
      <c r="BC47" s="223" t="str">
        <f t="shared" si="8"/>
        <v/>
      </c>
      <c r="BE47" s="199" t="str">
        <f t="shared" si="21"/>
        <v/>
      </c>
      <c r="BF47" s="27"/>
      <c r="BG47" s="200" t="str">
        <f t="shared" si="22"/>
        <v/>
      </c>
      <c r="BH47" s="200"/>
      <c r="BI47" s="226"/>
      <c r="BJ47" s="228"/>
      <c r="BK47" s="226"/>
      <c r="BL47" s="228"/>
      <c r="BM47" s="226"/>
      <c r="BN47" s="228"/>
      <c r="BO47" s="226"/>
      <c r="BP47" s="228"/>
      <c r="BQ47" s="227">
        <f t="shared" si="23"/>
        <v>0</v>
      </c>
      <c r="BS47" s="241" t="str">
        <f t="shared" si="24"/>
        <v/>
      </c>
      <c r="BT47" s="225" t="str">
        <f t="shared" si="25"/>
        <v/>
      </c>
      <c r="BU47" s="224" t="str">
        <f t="shared" si="26"/>
        <v/>
      </c>
      <c r="BV47" s="224" t="str">
        <f t="shared" si="27"/>
        <v/>
      </c>
      <c r="BW47" s="243">
        <f t="shared" si="28"/>
        <v>0</v>
      </c>
      <c r="BX47" s="214"/>
      <c r="BY47" s="199">
        <f t="shared" si="29"/>
        <v>0</v>
      </c>
      <c r="BZ47" s="199"/>
      <c r="CA47" s="247" t="str">
        <f t="shared" si="18"/>
        <v/>
      </c>
    </row>
    <row r="48" spans="2:79" ht="15.75" thickBot="1" x14ac:dyDescent="0.3">
      <c r="B48" s="218"/>
      <c r="D48" s="218" t="str">
        <f>IFERROR(VLOOKUP(B48,'DATOS GRALES 1'!$B$2:$E$91,4,0),"")</f>
        <v/>
      </c>
      <c r="E48" s="219" t="str">
        <f t="shared" si="19"/>
        <v/>
      </c>
      <c r="F48" s="220" t="str">
        <f t="shared" si="20"/>
        <v/>
      </c>
      <c r="H48" s="222"/>
      <c r="I48" s="222"/>
      <c r="J48" s="222"/>
      <c r="K48" s="222"/>
      <c r="L48" s="222"/>
      <c r="M48" s="222"/>
      <c r="N48" s="222"/>
      <c r="O48" s="222"/>
      <c r="P48" s="222"/>
      <c r="Q48" s="222"/>
      <c r="R48" s="222"/>
      <c r="S48" s="222"/>
      <c r="T48" s="222"/>
      <c r="U48" s="222"/>
      <c r="V48" s="222"/>
      <c r="W48" s="222"/>
      <c r="X48" s="222"/>
      <c r="Y48" s="222"/>
      <c r="Z48" s="222"/>
      <c r="AA48" s="222"/>
      <c r="AB48" s="222"/>
      <c r="AC48" s="222"/>
      <c r="AD48" s="222"/>
      <c r="AE48" s="222"/>
      <c r="AF48" s="222"/>
      <c r="AG48" s="222"/>
      <c r="AH48" s="222"/>
      <c r="AI48" s="222"/>
      <c r="AJ48" s="222"/>
      <c r="AK48" s="222"/>
      <c r="AL48" s="222"/>
      <c r="AM48" s="222"/>
      <c r="AN48" s="222"/>
      <c r="AO48" s="222"/>
      <c r="AP48" s="222"/>
      <c r="AQ48" s="222"/>
      <c r="AR48" s="222"/>
      <c r="AS48" s="222"/>
      <c r="AT48" s="222"/>
      <c r="AU48" s="222"/>
      <c r="AV48" s="222"/>
      <c r="AW48" s="222"/>
      <c r="AX48" s="222"/>
      <c r="AZ48" s="223" t="str">
        <f t="shared" si="5"/>
        <v/>
      </c>
      <c r="BA48" s="223" t="str">
        <f t="shared" si="6"/>
        <v/>
      </c>
      <c r="BB48" s="223">
        <f t="shared" si="7"/>
        <v>0</v>
      </c>
      <c r="BC48" s="223" t="str">
        <f t="shared" si="8"/>
        <v/>
      </c>
      <c r="BE48" s="199" t="str">
        <f t="shared" si="21"/>
        <v/>
      </c>
      <c r="BF48" s="27"/>
      <c r="BG48" s="200" t="str">
        <f t="shared" si="22"/>
        <v/>
      </c>
      <c r="BH48" s="200"/>
      <c r="BI48" s="226"/>
      <c r="BJ48" s="228"/>
      <c r="BK48" s="226"/>
      <c r="BL48" s="228"/>
      <c r="BM48" s="226"/>
      <c r="BN48" s="228"/>
      <c r="BO48" s="226"/>
      <c r="BP48" s="228"/>
      <c r="BQ48" s="227">
        <f t="shared" si="23"/>
        <v>0</v>
      </c>
      <c r="BS48" s="241" t="str">
        <f t="shared" si="24"/>
        <v/>
      </c>
      <c r="BT48" s="225" t="str">
        <f t="shared" si="25"/>
        <v/>
      </c>
      <c r="BU48" s="224" t="str">
        <f t="shared" si="26"/>
        <v/>
      </c>
      <c r="BV48" s="224" t="str">
        <f t="shared" si="27"/>
        <v/>
      </c>
      <c r="BW48" s="243">
        <f t="shared" si="28"/>
        <v>0</v>
      </c>
      <c r="BX48" s="214"/>
      <c r="BY48" s="199">
        <f t="shared" si="29"/>
        <v>0</v>
      </c>
      <c r="BZ48" s="199"/>
      <c r="CA48" s="247" t="str">
        <f t="shared" si="18"/>
        <v/>
      </c>
    </row>
    <row r="49" spans="2:79" ht="15.75" thickBot="1" x14ac:dyDescent="0.3">
      <c r="B49" s="218"/>
      <c r="D49" s="218" t="str">
        <f>IFERROR(VLOOKUP(B49,'DATOS GRALES 1'!$B$2:$E$91,4,0),"")</f>
        <v/>
      </c>
      <c r="E49" s="219" t="str">
        <f t="shared" si="19"/>
        <v/>
      </c>
      <c r="F49" s="220" t="str">
        <f t="shared" si="20"/>
        <v/>
      </c>
      <c r="H49" s="222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Y49" s="222"/>
      <c r="Z49" s="222"/>
      <c r="AA49" s="222"/>
      <c r="AB49" s="222"/>
      <c r="AC49" s="222"/>
      <c r="AD49" s="222"/>
      <c r="AE49" s="222"/>
      <c r="AF49" s="222"/>
      <c r="AG49" s="222"/>
      <c r="AH49" s="222"/>
      <c r="AI49" s="222"/>
      <c r="AJ49" s="222"/>
      <c r="AK49" s="222"/>
      <c r="AL49" s="222"/>
      <c r="AM49" s="222"/>
      <c r="AN49" s="222"/>
      <c r="AO49" s="222"/>
      <c r="AP49" s="222"/>
      <c r="AQ49" s="222"/>
      <c r="AR49" s="222"/>
      <c r="AS49" s="222"/>
      <c r="AT49" s="222"/>
      <c r="AU49" s="222"/>
      <c r="AV49" s="222"/>
      <c r="AW49" s="222"/>
      <c r="AX49" s="222"/>
      <c r="AZ49" s="223" t="str">
        <f t="shared" si="5"/>
        <v/>
      </c>
      <c r="BA49" s="223" t="str">
        <f t="shared" si="6"/>
        <v/>
      </c>
      <c r="BB49" s="223">
        <f t="shared" si="7"/>
        <v>0</v>
      </c>
      <c r="BC49" s="223" t="str">
        <f t="shared" si="8"/>
        <v/>
      </c>
      <c r="BE49" s="199" t="str">
        <f t="shared" si="21"/>
        <v/>
      </c>
      <c r="BF49" s="27"/>
      <c r="BG49" s="200" t="str">
        <f t="shared" si="22"/>
        <v/>
      </c>
      <c r="BH49" s="200"/>
      <c r="BI49" s="226"/>
      <c r="BJ49" s="228"/>
      <c r="BK49" s="226"/>
      <c r="BL49" s="228"/>
      <c r="BM49" s="226"/>
      <c r="BN49" s="228"/>
      <c r="BO49" s="226"/>
      <c r="BP49" s="228"/>
      <c r="BQ49" s="227">
        <f t="shared" si="23"/>
        <v>0</v>
      </c>
      <c r="BS49" s="241" t="str">
        <f t="shared" si="24"/>
        <v/>
      </c>
      <c r="BT49" s="225" t="str">
        <f t="shared" si="25"/>
        <v/>
      </c>
      <c r="BU49" s="224" t="str">
        <f t="shared" si="26"/>
        <v/>
      </c>
      <c r="BV49" s="224" t="str">
        <f t="shared" si="27"/>
        <v/>
      </c>
      <c r="BW49" s="243">
        <f t="shared" si="28"/>
        <v>0</v>
      </c>
      <c r="BX49" s="214"/>
      <c r="BY49" s="199">
        <f t="shared" si="29"/>
        <v>0</v>
      </c>
      <c r="BZ49" s="199"/>
      <c r="CA49" s="247" t="str">
        <f t="shared" si="18"/>
        <v/>
      </c>
    </row>
    <row r="50" spans="2:79" ht="15.75" thickBot="1" x14ac:dyDescent="0.3">
      <c r="B50" s="218"/>
      <c r="D50" s="218" t="str">
        <f>IFERROR(VLOOKUP(B50,'DATOS GRALES 1'!$B$2:$E$91,4,0),"")</f>
        <v/>
      </c>
      <c r="E50" s="219" t="str">
        <f t="shared" si="19"/>
        <v/>
      </c>
      <c r="F50" s="220" t="str">
        <f t="shared" si="20"/>
        <v/>
      </c>
      <c r="H50" s="222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Y50" s="222"/>
      <c r="Z50" s="222"/>
      <c r="AA50" s="222"/>
      <c r="AB50" s="222"/>
      <c r="AC50" s="222"/>
      <c r="AD50" s="222"/>
      <c r="AE50" s="222"/>
      <c r="AF50" s="222"/>
      <c r="AG50" s="222"/>
      <c r="AH50" s="222"/>
      <c r="AI50" s="222"/>
      <c r="AJ50" s="222"/>
      <c r="AK50" s="222"/>
      <c r="AL50" s="222"/>
      <c r="AM50" s="222"/>
      <c r="AN50" s="222"/>
      <c r="AO50" s="222"/>
      <c r="AP50" s="222"/>
      <c r="AQ50" s="222"/>
      <c r="AR50" s="222"/>
      <c r="AS50" s="222"/>
      <c r="AT50" s="222"/>
      <c r="AU50" s="222"/>
      <c r="AV50" s="222"/>
      <c r="AW50" s="222"/>
      <c r="AX50" s="222"/>
      <c r="AZ50" s="223" t="str">
        <f t="shared" si="5"/>
        <v/>
      </c>
      <c r="BA50" s="223" t="str">
        <f t="shared" si="6"/>
        <v/>
      </c>
      <c r="BB50" s="223">
        <f t="shared" si="7"/>
        <v>0</v>
      </c>
      <c r="BC50" s="223" t="str">
        <f t="shared" si="8"/>
        <v/>
      </c>
      <c r="BE50" s="199" t="str">
        <f t="shared" si="21"/>
        <v/>
      </c>
      <c r="BF50" s="27"/>
      <c r="BG50" s="200" t="str">
        <f t="shared" si="22"/>
        <v/>
      </c>
      <c r="BH50" s="200"/>
      <c r="BI50" s="226"/>
      <c r="BJ50" s="228"/>
      <c r="BK50" s="226"/>
      <c r="BL50" s="228"/>
      <c r="BM50" s="226"/>
      <c r="BN50" s="228"/>
      <c r="BO50" s="226"/>
      <c r="BP50" s="228"/>
      <c r="BQ50" s="227">
        <f t="shared" si="23"/>
        <v>0</v>
      </c>
      <c r="BS50" s="241" t="str">
        <f t="shared" si="24"/>
        <v/>
      </c>
      <c r="BT50" s="225" t="str">
        <f t="shared" si="25"/>
        <v/>
      </c>
      <c r="BU50" s="224" t="str">
        <f t="shared" si="26"/>
        <v/>
      </c>
      <c r="BV50" s="224" t="str">
        <f t="shared" si="27"/>
        <v/>
      </c>
      <c r="BW50" s="243">
        <f t="shared" si="28"/>
        <v>0</v>
      </c>
      <c r="BX50" s="214"/>
      <c r="BY50" s="199">
        <f t="shared" si="29"/>
        <v>0</v>
      </c>
      <c r="BZ50" s="199"/>
      <c r="CA50" s="247" t="str">
        <f t="shared" si="18"/>
        <v/>
      </c>
    </row>
    <row r="51" spans="2:79" ht="15.75" thickBot="1" x14ac:dyDescent="0.3">
      <c r="B51" s="218"/>
      <c r="D51" s="218" t="str">
        <f>IFERROR(VLOOKUP(B51,'DATOS GRALES 1'!$B$2:$E$91,4,0),"")</f>
        <v/>
      </c>
      <c r="E51" s="219" t="str">
        <f t="shared" si="19"/>
        <v/>
      </c>
      <c r="F51" s="220" t="str">
        <f t="shared" si="20"/>
        <v/>
      </c>
      <c r="H51" s="222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Y51" s="222"/>
      <c r="Z51" s="222"/>
      <c r="AA51" s="222"/>
      <c r="AB51" s="222"/>
      <c r="AC51" s="222"/>
      <c r="AD51" s="222"/>
      <c r="AE51" s="222"/>
      <c r="AF51" s="222"/>
      <c r="AG51" s="222"/>
      <c r="AH51" s="222"/>
      <c r="AI51" s="222"/>
      <c r="AJ51" s="222"/>
      <c r="AK51" s="222"/>
      <c r="AL51" s="222"/>
      <c r="AM51" s="222"/>
      <c r="AN51" s="222"/>
      <c r="AO51" s="222"/>
      <c r="AP51" s="222"/>
      <c r="AQ51" s="222"/>
      <c r="AR51" s="222"/>
      <c r="AS51" s="222"/>
      <c r="AT51" s="222"/>
      <c r="AU51" s="222"/>
      <c r="AV51" s="222"/>
      <c r="AW51" s="222"/>
      <c r="AX51" s="222"/>
      <c r="AZ51" s="223" t="str">
        <f t="shared" si="5"/>
        <v/>
      </c>
      <c r="BA51" s="223" t="str">
        <f t="shared" si="6"/>
        <v/>
      </c>
      <c r="BB51" s="223">
        <f t="shared" si="7"/>
        <v>0</v>
      </c>
      <c r="BC51" s="223" t="str">
        <f t="shared" si="8"/>
        <v/>
      </c>
      <c r="BE51" s="199" t="str">
        <f t="shared" si="21"/>
        <v/>
      </c>
      <c r="BF51" s="27"/>
      <c r="BG51" s="200" t="str">
        <f t="shared" si="22"/>
        <v/>
      </c>
      <c r="BH51" s="200"/>
      <c r="BI51" s="226"/>
      <c r="BJ51" s="228"/>
      <c r="BK51" s="226"/>
      <c r="BL51" s="228"/>
      <c r="BM51" s="226"/>
      <c r="BN51" s="228"/>
      <c r="BO51" s="226"/>
      <c r="BP51" s="228"/>
      <c r="BQ51" s="227">
        <f t="shared" si="23"/>
        <v>0</v>
      </c>
      <c r="BS51" s="241" t="str">
        <f t="shared" si="24"/>
        <v/>
      </c>
      <c r="BT51" s="225" t="str">
        <f t="shared" si="25"/>
        <v/>
      </c>
      <c r="BU51" s="224" t="str">
        <f t="shared" si="26"/>
        <v/>
      </c>
      <c r="BV51" s="224" t="str">
        <f t="shared" si="27"/>
        <v/>
      </c>
      <c r="BW51" s="243">
        <f t="shared" si="28"/>
        <v>0</v>
      </c>
      <c r="BX51" s="214"/>
      <c r="BY51" s="199">
        <f t="shared" si="29"/>
        <v>0</v>
      </c>
      <c r="BZ51" s="199"/>
      <c r="CA51" s="247" t="str">
        <f t="shared" si="18"/>
        <v/>
      </c>
    </row>
    <row r="52" spans="2:79" ht="15.75" thickBot="1" x14ac:dyDescent="0.3">
      <c r="B52" s="218"/>
      <c r="D52" s="218" t="str">
        <f>IFERROR(VLOOKUP(B52,'DATOS GRALES 1'!$B$2:$E$91,4,0),"")</f>
        <v/>
      </c>
      <c r="E52" s="219" t="str">
        <f t="shared" si="19"/>
        <v/>
      </c>
      <c r="F52" s="220" t="str">
        <f t="shared" si="20"/>
        <v/>
      </c>
      <c r="H52" s="222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Y52" s="222"/>
      <c r="Z52" s="222"/>
      <c r="AA52" s="222"/>
      <c r="AB52" s="222"/>
      <c r="AC52" s="222"/>
      <c r="AD52" s="222"/>
      <c r="AE52" s="222"/>
      <c r="AF52" s="222"/>
      <c r="AG52" s="222"/>
      <c r="AH52" s="222"/>
      <c r="AI52" s="222"/>
      <c r="AJ52" s="222"/>
      <c r="AK52" s="222"/>
      <c r="AL52" s="222"/>
      <c r="AM52" s="222"/>
      <c r="AN52" s="222"/>
      <c r="AO52" s="222"/>
      <c r="AP52" s="222"/>
      <c r="AQ52" s="222"/>
      <c r="AR52" s="222"/>
      <c r="AS52" s="222"/>
      <c r="AT52" s="222"/>
      <c r="AU52" s="222"/>
      <c r="AV52" s="222"/>
      <c r="AW52" s="222"/>
      <c r="AX52" s="222"/>
      <c r="AZ52" s="223" t="str">
        <f t="shared" si="5"/>
        <v/>
      </c>
      <c r="BA52" s="223" t="str">
        <f t="shared" si="6"/>
        <v/>
      </c>
      <c r="BB52" s="223">
        <f t="shared" si="7"/>
        <v>0</v>
      </c>
      <c r="BC52" s="223" t="str">
        <f t="shared" si="8"/>
        <v/>
      </c>
      <c r="BE52" s="199" t="str">
        <f t="shared" si="21"/>
        <v/>
      </c>
      <c r="BF52" s="27"/>
      <c r="BG52" s="200" t="str">
        <f t="shared" si="22"/>
        <v/>
      </c>
      <c r="BH52" s="200"/>
      <c r="BI52" s="226"/>
      <c r="BJ52" s="228"/>
      <c r="BK52" s="226"/>
      <c r="BL52" s="228"/>
      <c r="BM52" s="226"/>
      <c r="BN52" s="228"/>
      <c r="BO52" s="226"/>
      <c r="BP52" s="228"/>
      <c r="BQ52" s="227">
        <f t="shared" si="23"/>
        <v>0</v>
      </c>
      <c r="BS52" s="241" t="str">
        <f t="shared" si="24"/>
        <v/>
      </c>
      <c r="BT52" s="225" t="str">
        <f t="shared" si="25"/>
        <v/>
      </c>
      <c r="BU52" s="224" t="str">
        <f t="shared" si="26"/>
        <v/>
      </c>
      <c r="BV52" s="224" t="str">
        <f t="shared" si="27"/>
        <v/>
      </c>
      <c r="BW52" s="243">
        <f t="shared" si="28"/>
        <v>0</v>
      </c>
      <c r="BX52" s="214"/>
      <c r="BY52" s="199">
        <f t="shared" si="29"/>
        <v>0</v>
      </c>
      <c r="BZ52" s="199"/>
      <c r="CA52" s="247" t="str">
        <f t="shared" si="18"/>
        <v/>
      </c>
    </row>
    <row r="53" spans="2:79" ht="15.75" thickBot="1" x14ac:dyDescent="0.3">
      <c r="B53" s="218"/>
      <c r="D53" s="218" t="str">
        <f>IFERROR(VLOOKUP(B53,'DATOS GRALES 1'!$B$2:$E$91,4,0),"")</f>
        <v/>
      </c>
      <c r="E53" s="219" t="str">
        <f t="shared" si="19"/>
        <v/>
      </c>
      <c r="F53" s="220" t="str">
        <f t="shared" si="20"/>
        <v/>
      </c>
      <c r="H53" s="222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Y53" s="222"/>
      <c r="Z53" s="222"/>
      <c r="AA53" s="222"/>
      <c r="AB53" s="222"/>
      <c r="AC53" s="222"/>
      <c r="AD53" s="222"/>
      <c r="AE53" s="222"/>
      <c r="AF53" s="222"/>
      <c r="AG53" s="222"/>
      <c r="AH53" s="222"/>
      <c r="AI53" s="222"/>
      <c r="AJ53" s="222"/>
      <c r="AK53" s="222"/>
      <c r="AL53" s="222"/>
      <c r="AM53" s="222"/>
      <c r="AN53" s="222"/>
      <c r="AO53" s="222"/>
      <c r="AP53" s="222"/>
      <c r="AQ53" s="222"/>
      <c r="AR53" s="222"/>
      <c r="AS53" s="222"/>
      <c r="AT53" s="222"/>
      <c r="AU53" s="222"/>
      <c r="AV53" s="222"/>
      <c r="AW53" s="222"/>
      <c r="AX53" s="222"/>
      <c r="AZ53" s="223" t="str">
        <f t="shared" si="5"/>
        <v/>
      </c>
      <c r="BA53" s="223" t="str">
        <f t="shared" si="6"/>
        <v/>
      </c>
      <c r="BB53" s="223">
        <f t="shared" si="7"/>
        <v>0</v>
      </c>
      <c r="BC53" s="223" t="str">
        <f t="shared" si="8"/>
        <v/>
      </c>
      <c r="BE53" s="199" t="str">
        <f t="shared" si="21"/>
        <v/>
      </c>
      <c r="BF53" s="27"/>
      <c r="BG53" s="200" t="str">
        <f t="shared" si="22"/>
        <v/>
      </c>
      <c r="BH53" s="200"/>
      <c r="BI53" s="226"/>
      <c r="BJ53" s="228"/>
      <c r="BK53" s="226"/>
      <c r="BL53" s="228"/>
      <c r="BM53" s="226"/>
      <c r="BN53" s="228"/>
      <c r="BO53" s="226"/>
      <c r="BP53" s="228"/>
      <c r="BQ53" s="227">
        <f t="shared" si="23"/>
        <v>0</v>
      </c>
      <c r="BS53" s="241" t="str">
        <f t="shared" si="24"/>
        <v/>
      </c>
      <c r="BT53" s="225" t="str">
        <f t="shared" si="25"/>
        <v/>
      </c>
      <c r="BU53" s="224" t="str">
        <f t="shared" si="26"/>
        <v/>
      </c>
      <c r="BV53" s="224" t="str">
        <f t="shared" si="27"/>
        <v/>
      </c>
      <c r="BW53" s="243">
        <f t="shared" si="28"/>
        <v>0</v>
      </c>
      <c r="BX53" s="214"/>
      <c r="BY53" s="199">
        <f t="shared" si="29"/>
        <v>0</v>
      </c>
      <c r="BZ53" s="199"/>
      <c r="CA53" s="247" t="str">
        <f t="shared" si="18"/>
        <v/>
      </c>
    </row>
    <row r="54" spans="2:79" ht="15.75" thickBot="1" x14ac:dyDescent="0.3">
      <c r="B54" s="218"/>
      <c r="D54" s="218" t="str">
        <f>IFERROR(VLOOKUP(B54,'DATOS GRALES 1'!$B$2:$E$91,4,0),"")</f>
        <v/>
      </c>
      <c r="E54" s="219" t="str">
        <f t="shared" si="19"/>
        <v/>
      </c>
      <c r="F54" s="220" t="str">
        <f t="shared" si="20"/>
        <v/>
      </c>
      <c r="H54" s="222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Y54" s="222"/>
      <c r="Z54" s="222"/>
      <c r="AA54" s="222"/>
      <c r="AB54" s="222"/>
      <c r="AC54" s="222"/>
      <c r="AD54" s="222"/>
      <c r="AE54" s="222"/>
      <c r="AF54" s="222"/>
      <c r="AG54" s="222"/>
      <c r="AH54" s="222"/>
      <c r="AI54" s="222"/>
      <c r="AJ54" s="222"/>
      <c r="AK54" s="222"/>
      <c r="AL54" s="222"/>
      <c r="AM54" s="222"/>
      <c r="AN54" s="222"/>
      <c r="AO54" s="222"/>
      <c r="AP54" s="222"/>
      <c r="AQ54" s="222"/>
      <c r="AR54" s="222"/>
      <c r="AS54" s="222"/>
      <c r="AT54" s="222"/>
      <c r="AU54" s="222"/>
      <c r="AV54" s="222"/>
      <c r="AW54" s="222"/>
      <c r="AX54" s="222"/>
      <c r="AZ54" s="223" t="str">
        <f t="shared" si="5"/>
        <v/>
      </c>
      <c r="BA54" s="223" t="str">
        <f t="shared" si="6"/>
        <v/>
      </c>
      <c r="BB54" s="223">
        <f t="shared" si="7"/>
        <v>0</v>
      </c>
      <c r="BC54" s="223" t="str">
        <f t="shared" si="8"/>
        <v/>
      </c>
      <c r="BE54" s="199" t="str">
        <f t="shared" si="21"/>
        <v/>
      </c>
      <c r="BF54" s="27"/>
      <c r="BG54" s="200" t="str">
        <f t="shared" si="22"/>
        <v/>
      </c>
      <c r="BH54" s="200"/>
      <c r="BI54" s="226"/>
      <c r="BJ54" s="228"/>
      <c r="BK54" s="226"/>
      <c r="BL54" s="228"/>
      <c r="BM54" s="226"/>
      <c r="BN54" s="228"/>
      <c r="BO54" s="226"/>
      <c r="BP54" s="228"/>
      <c r="BQ54" s="227">
        <f t="shared" si="23"/>
        <v>0</v>
      </c>
      <c r="BS54" s="241" t="str">
        <f t="shared" si="24"/>
        <v/>
      </c>
      <c r="BT54" s="225" t="str">
        <f t="shared" si="25"/>
        <v/>
      </c>
      <c r="BU54" s="224" t="str">
        <f t="shared" si="26"/>
        <v/>
      </c>
      <c r="BV54" s="224" t="str">
        <f t="shared" si="27"/>
        <v/>
      </c>
      <c r="BW54" s="243">
        <f t="shared" si="28"/>
        <v>0</v>
      </c>
      <c r="BX54" s="214"/>
      <c r="BY54" s="199">
        <f t="shared" si="29"/>
        <v>0</v>
      </c>
      <c r="BZ54" s="199"/>
      <c r="CA54" s="247" t="str">
        <f t="shared" si="18"/>
        <v/>
      </c>
    </row>
    <row r="55" spans="2:79" ht="15.75" thickBot="1" x14ac:dyDescent="0.3">
      <c r="B55" s="218"/>
      <c r="D55" s="218" t="str">
        <f>IFERROR(VLOOKUP(B55,'DATOS GRALES 1'!$B$2:$E$91,4,0),"")</f>
        <v/>
      </c>
      <c r="E55" s="219" t="str">
        <f t="shared" si="19"/>
        <v/>
      </c>
      <c r="F55" s="220" t="str">
        <f t="shared" si="20"/>
        <v/>
      </c>
      <c r="H55" s="22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Y55" s="222"/>
      <c r="Z55" s="222"/>
      <c r="AA55" s="222"/>
      <c r="AB55" s="222"/>
      <c r="AC55" s="222"/>
      <c r="AD55" s="222"/>
      <c r="AE55" s="222"/>
      <c r="AF55" s="222"/>
      <c r="AG55" s="222"/>
      <c r="AH55" s="222"/>
      <c r="AI55" s="222"/>
      <c r="AJ55" s="222"/>
      <c r="AK55" s="222"/>
      <c r="AL55" s="222"/>
      <c r="AM55" s="222"/>
      <c r="AN55" s="222"/>
      <c r="AO55" s="222"/>
      <c r="AP55" s="222"/>
      <c r="AQ55" s="222"/>
      <c r="AR55" s="222"/>
      <c r="AS55" s="222"/>
      <c r="AT55" s="222"/>
      <c r="AU55" s="222"/>
      <c r="AV55" s="222"/>
      <c r="AW55" s="222"/>
      <c r="AX55" s="222"/>
      <c r="AZ55" s="223" t="str">
        <f t="shared" si="5"/>
        <v/>
      </c>
      <c r="BA55" s="223" t="str">
        <f t="shared" si="6"/>
        <v/>
      </c>
      <c r="BB55" s="223">
        <f t="shared" si="7"/>
        <v>0</v>
      </c>
      <c r="BC55" s="223" t="str">
        <f t="shared" si="8"/>
        <v/>
      </c>
      <c r="BE55" s="199" t="str">
        <f t="shared" si="21"/>
        <v/>
      </c>
      <c r="BF55" s="27"/>
      <c r="BG55" s="200" t="str">
        <f t="shared" si="22"/>
        <v/>
      </c>
      <c r="BH55" s="200"/>
      <c r="BI55" s="226"/>
      <c r="BJ55" s="228"/>
      <c r="BK55" s="226"/>
      <c r="BL55" s="228"/>
      <c r="BM55" s="226"/>
      <c r="BN55" s="228"/>
      <c r="BO55" s="226"/>
      <c r="BP55" s="228"/>
      <c r="BQ55" s="227">
        <f t="shared" si="23"/>
        <v>0</v>
      </c>
      <c r="BS55" s="241" t="str">
        <f t="shared" si="24"/>
        <v/>
      </c>
      <c r="BT55" s="225" t="str">
        <f t="shared" si="25"/>
        <v/>
      </c>
      <c r="BU55" s="224" t="str">
        <f t="shared" si="26"/>
        <v/>
      </c>
      <c r="BV55" s="224" t="str">
        <f t="shared" si="27"/>
        <v/>
      </c>
      <c r="BW55" s="243">
        <f t="shared" si="28"/>
        <v>0</v>
      </c>
      <c r="BX55" s="214"/>
      <c r="BY55" s="199">
        <f t="shared" si="29"/>
        <v>0</v>
      </c>
      <c r="BZ55" s="199"/>
      <c r="CA55" s="247" t="str">
        <f t="shared" si="18"/>
        <v/>
      </c>
    </row>
    <row r="56" spans="2:79" ht="15.75" thickBot="1" x14ac:dyDescent="0.3">
      <c r="B56" s="218"/>
      <c r="D56" s="218" t="str">
        <f>IFERROR(VLOOKUP(B56,'DATOS GRALES 1'!$B$2:$E$91,4,0),"")</f>
        <v/>
      </c>
      <c r="E56" s="219" t="str">
        <f t="shared" si="19"/>
        <v/>
      </c>
      <c r="F56" s="220" t="str">
        <f t="shared" si="20"/>
        <v/>
      </c>
      <c r="H56" s="222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Y56" s="222"/>
      <c r="Z56" s="222"/>
      <c r="AA56" s="222"/>
      <c r="AB56" s="222"/>
      <c r="AC56" s="222"/>
      <c r="AD56" s="222"/>
      <c r="AE56" s="222"/>
      <c r="AF56" s="222"/>
      <c r="AG56" s="222"/>
      <c r="AH56" s="222"/>
      <c r="AI56" s="222"/>
      <c r="AJ56" s="222"/>
      <c r="AK56" s="222"/>
      <c r="AL56" s="222"/>
      <c r="AM56" s="222"/>
      <c r="AN56" s="222"/>
      <c r="AO56" s="222"/>
      <c r="AP56" s="222"/>
      <c r="AQ56" s="222"/>
      <c r="AR56" s="222"/>
      <c r="AS56" s="222"/>
      <c r="AT56" s="222"/>
      <c r="AU56" s="222"/>
      <c r="AV56" s="222"/>
      <c r="AW56" s="222"/>
      <c r="AX56" s="222"/>
      <c r="AZ56" s="223" t="str">
        <f t="shared" si="5"/>
        <v/>
      </c>
      <c r="BA56" s="223" t="str">
        <f t="shared" si="6"/>
        <v/>
      </c>
      <c r="BB56" s="223">
        <f t="shared" si="7"/>
        <v>0</v>
      </c>
      <c r="BC56" s="223" t="str">
        <f t="shared" si="8"/>
        <v/>
      </c>
      <c r="BE56" s="199" t="str">
        <f t="shared" si="21"/>
        <v/>
      </c>
      <c r="BF56" s="27"/>
      <c r="BG56" s="200" t="str">
        <f t="shared" si="22"/>
        <v/>
      </c>
      <c r="BH56" s="200"/>
      <c r="BI56" s="226"/>
      <c r="BJ56" s="228"/>
      <c r="BK56" s="226"/>
      <c r="BL56" s="228"/>
      <c r="BM56" s="226"/>
      <c r="BN56" s="228"/>
      <c r="BO56" s="226"/>
      <c r="BP56" s="228"/>
      <c r="BQ56" s="227">
        <f t="shared" si="23"/>
        <v>0</v>
      </c>
      <c r="BS56" s="241" t="str">
        <f t="shared" si="24"/>
        <v/>
      </c>
      <c r="BT56" s="225" t="str">
        <f t="shared" si="25"/>
        <v/>
      </c>
      <c r="BU56" s="224" t="str">
        <f t="shared" si="26"/>
        <v/>
      </c>
      <c r="BV56" s="224" t="str">
        <f t="shared" si="27"/>
        <v/>
      </c>
      <c r="BW56" s="243">
        <f t="shared" si="28"/>
        <v>0</v>
      </c>
      <c r="BX56" s="214"/>
      <c r="BY56" s="199">
        <f t="shared" si="29"/>
        <v>0</v>
      </c>
      <c r="BZ56" s="199"/>
      <c r="CA56" s="247" t="str">
        <f t="shared" si="18"/>
        <v/>
      </c>
    </row>
    <row r="57" spans="2:79" ht="15.75" thickBot="1" x14ac:dyDescent="0.3">
      <c r="B57" s="218"/>
      <c r="D57" s="218" t="str">
        <f>IFERROR(VLOOKUP(B57,'DATOS GRALES 1'!$B$2:$E$91,4,0),"")</f>
        <v/>
      </c>
      <c r="E57" s="219" t="str">
        <f t="shared" si="19"/>
        <v/>
      </c>
      <c r="F57" s="220" t="str">
        <f t="shared" si="20"/>
        <v/>
      </c>
      <c r="H57" s="22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Y57" s="222"/>
      <c r="Z57" s="222"/>
      <c r="AA57" s="222"/>
      <c r="AB57" s="222"/>
      <c r="AC57" s="222"/>
      <c r="AD57" s="222"/>
      <c r="AE57" s="222"/>
      <c r="AF57" s="222"/>
      <c r="AG57" s="222"/>
      <c r="AH57" s="222"/>
      <c r="AI57" s="222"/>
      <c r="AJ57" s="222"/>
      <c r="AK57" s="222"/>
      <c r="AL57" s="222"/>
      <c r="AM57" s="222"/>
      <c r="AN57" s="222"/>
      <c r="AO57" s="222"/>
      <c r="AP57" s="222"/>
      <c r="AQ57" s="222"/>
      <c r="AR57" s="222"/>
      <c r="AS57" s="222"/>
      <c r="AT57" s="222"/>
      <c r="AU57" s="222"/>
      <c r="AV57" s="222"/>
      <c r="AW57" s="222"/>
      <c r="AX57" s="222"/>
      <c r="AZ57" s="223" t="str">
        <f t="shared" si="5"/>
        <v/>
      </c>
      <c r="BA57" s="223" t="str">
        <f t="shared" si="6"/>
        <v/>
      </c>
      <c r="BB57" s="223">
        <f t="shared" si="7"/>
        <v>0</v>
      </c>
      <c r="BC57" s="223" t="str">
        <f t="shared" si="8"/>
        <v/>
      </c>
      <c r="BE57" s="199" t="str">
        <f t="shared" si="21"/>
        <v/>
      </c>
      <c r="BF57" s="27"/>
      <c r="BG57" s="200" t="str">
        <f t="shared" si="22"/>
        <v/>
      </c>
      <c r="BH57" s="200"/>
      <c r="BI57" s="226"/>
      <c r="BJ57" s="228"/>
      <c r="BK57" s="226"/>
      <c r="BL57" s="228"/>
      <c r="BM57" s="226"/>
      <c r="BN57" s="228"/>
      <c r="BO57" s="226"/>
      <c r="BP57" s="228"/>
      <c r="BQ57" s="227">
        <f t="shared" si="23"/>
        <v>0</v>
      </c>
      <c r="BS57" s="241" t="str">
        <f t="shared" si="24"/>
        <v/>
      </c>
      <c r="BT57" s="225" t="str">
        <f t="shared" si="25"/>
        <v/>
      </c>
      <c r="BU57" s="224" t="str">
        <f t="shared" si="26"/>
        <v/>
      </c>
      <c r="BV57" s="224" t="str">
        <f t="shared" si="27"/>
        <v/>
      </c>
      <c r="BW57" s="243">
        <f t="shared" si="28"/>
        <v>0</v>
      </c>
      <c r="BX57" s="214"/>
      <c r="BY57" s="199">
        <f t="shared" si="29"/>
        <v>0</v>
      </c>
      <c r="BZ57" s="199"/>
      <c r="CA57" s="247" t="str">
        <f t="shared" si="18"/>
        <v/>
      </c>
    </row>
    <row r="58" spans="2:79" ht="15.75" thickBot="1" x14ac:dyDescent="0.3">
      <c r="B58" s="218"/>
      <c r="D58" s="218" t="str">
        <f>IFERROR(VLOOKUP(B58,'DATOS GRALES 1'!$B$2:$E$91,4,0),"")</f>
        <v/>
      </c>
      <c r="E58" s="219" t="str">
        <f t="shared" si="19"/>
        <v/>
      </c>
      <c r="F58" s="220" t="str">
        <f t="shared" si="20"/>
        <v/>
      </c>
      <c r="H58" s="222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Y58" s="222"/>
      <c r="Z58" s="222"/>
      <c r="AA58" s="222"/>
      <c r="AB58" s="222"/>
      <c r="AC58" s="222"/>
      <c r="AD58" s="222"/>
      <c r="AE58" s="222"/>
      <c r="AF58" s="222"/>
      <c r="AG58" s="222"/>
      <c r="AH58" s="222"/>
      <c r="AI58" s="222"/>
      <c r="AJ58" s="222"/>
      <c r="AK58" s="222"/>
      <c r="AL58" s="222"/>
      <c r="AM58" s="222"/>
      <c r="AN58" s="222"/>
      <c r="AO58" s="222"/>
      <c r="AP58" s="222"/>
      <c r="AQ58" s="222"/>
      <c r="AR58" s="222"/>
      <c r="AS58" s="222"/>
      <c r="AT58" s="222"/>
      <c r="AU58" s="222"/>
      <c r="AV58" s="222"/>
      <c r="AW58" s="222"/>
      <c r="AX58" s="222"/>
      <c r="AZ58" s="223" t="str">
        <f t="shared" si="5"/>
        <v/>
      </c>
      <c r="BA58" s="223" t="str">
        <f t="shared" si="6"/>
        <v/>
      </c>
      <c r="BB58" s="223">
        <f t="shared" si="7"/>
        <v>0</v>
      </c>
      <c r="BC58" s="223" t="str">
        <f t="shared" si="8"/>
        <v/>
      </c>
      <c r="BE58" s="199" t="str">
        <f t="shared" si="21"/>
        <v/>
      </c>
      <c r="BF58" s="27"/>
      <c r="BG58" s="200" t="str">
        <f t="shared" si="22"/>
        <v/>
      </c>
      <c r="BH58" s="200"/>
      <c r="BI58" s="226"/>
      <c r="BJ58" s="228"/>
      <c r="BK58" s="226"/>
      <c r="BL58" s="228"/>
      <c r="BM58" s="226"/>
      <c r="BN58" s="228"/>
      <c r="BO58" s="226"/>
      <c r="BP58" s="228"/>
      <c r="BQ58" s="227">
        <f t="shared" si="23"/>
        <v>0</v>
      </c>
      <c r="BS58" s="241" t="str">
        <f t="shared" si="24"/>
        <v/>
      </c>
      <c r="BT58" s="225" t="str">
        <f t="shared" si="25"/>
        <v/>
      </c>
      <c r="BU58" s="224" t="str">
        <f t="shared" si="26"/>
        <v/>
      </c>
      <c r="BV58" s="224" t="str">
        <f t="shared" si="27"/>
        <v/>
      </c>
      <c r="BW58" s="243">
        <f t="shared" si="28"/>
        <v>0</v>
      </c>
      <c r="BX58" s="214"/>
      <c r="BY58" s="199">
        <f t="shared" si="29"/>
        <v>0</v>
      </c>
      <c r="BZ58" s="199"/>
      <c r="CA58" s="247" t="str">
        <f t="shared" si="18"/>
        <v/>
      </c>
    </row>
    <row r="59" spans="2:79" ht="15.75" thickBot="1" x14ac:dyDescent="0.3">
      <c r="B59" s="218"/>
      <c r="D59" s="218" t="str">
        <f>IFERROR(VLOOKUP(B59,'DATOS GRALES 1'!$B$2:$E$91,4,0),"")</f>
        <v/>
      </c>
      <c r="E59" s="219" t="str">
        <f t="shared" si="19"/>
        <v/>
      </c>
      <c r="F59" s="220" t="str">
        <f t="shared" si="20"/>
        <v/>
      </c>
      <c r="H59" s="222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Y59" s="222"/>
      <c r="Z59" s="222"/>
      <c r="AA59" s="222"/>
      <c r="AB59" s="222"/>
      <c r="AC59" s="222"/>
      <c r="AD59" s="222"/>
      <c r="AE59" s="222"/>
      <c r="AF59" s="222"/>
      <c r="AG59" s="222"/>
      <c r="AH59" s="222"/>
      <c r="AI59" s="222"/>
      <c r="AJ59" s="222"/>
      <c r="AK59" s="222"/>
      <c r="AL59" s="222"/>
      <c r="AM59" s="222"/>
      <c r="AN59" s="222"/>
      <c r="AO59" s="222"/>
      <c r="AP59" s="222"/>
      <c r="AQ59" s="222"/>
      <c r="AR59" s="222"/>
      <c r="AS59" s="222"/>
      <c r="AT59" s="222"/>
      <c r="AU59" s="222"/>
      <c r="AV59" s="222"/>
      <c r="AW59" s="222"/>
      <c r="AX59" s="222"/>
      <c r="AZ59" s="223" t="str">
        <f t="shared" si="5"/>
        <v/>
      </c>
      <c r="BA59" s="223" t="str">
        <f t="shared" si="6"/>
        <v/>
      </c>
      <c r="BB59" s="223">
        <f t="shared" si="7"/>
        <v>0</v>
      </c>
      <c r="BC59" s="223" t="str">
        <f t="shared" si="8"/>
        <v/>
      </c>
      <c r="BE59" s="199" t="str">
        <f t="shared" si="21"/>
        <v/>
      </c>
      <c r="BF59" s="27"/>
      <c r="BG59" s="200" t="str">
        <f t="shared" si="22"/>
        <v/>
      </c>
      <c r="BH59" s="200"/>
      <c r="BI59" s="226"/>
      <c r="BJ59" s="228"/>
      <c r="BK59" s="226"/>
      <c r="BL59" s="228"/>
      <c r="BM59" s="226"/>
      <c r="BN59" s="228"/>
      <c r="BO59" s="226"/>
      <c r="BP59" s="228"/>
      <c r="BQ59" s="227">
        <f t="shared" si="23"/>
        <v>0</v>
      </c>
      <c r="BS59" s="241" t="str">
        <f t="shared" si="24"/>
        <v/>
      </c>
      <c r="BT59" s="225" t="str">
        <f t="shared" si="25"/>
        <v/>
      </c>
      <c r="BU59" s="224" t="str">
        <f t="shared" si="26"/>
        <v/>
      </c>
      <c r="BV59" s="224" t="str">
        <f t="shared" si="27"/>
        <v/>
      </c>
      <c r="BW59" s="243">
        <f t="shared" si="28"/>
        <v>0</v>
      </c>
      <c r="BX59" s="214"/>
      <c r="BY59" s="199">
        <f t="shared" si="29"/>
        <v>0</v>
      </c>
      <c r="BZ59" s="199"/>
      <c r="CA59" s="247" t="str">
        <f t="shared" si="18"/>
        <v/>
      </c>
    </row>
    <row r="60" spans="2:79" ht="15.75" thickBot="1" x14ac:dyDescent="0.3">
      <c r="B60" s="218"/>
      <c r="D60" s="218" t="str">
        <f>IFERROR(VLOOKUP(B60,'DATOS GRALES 1'!$B$2:$E$91,4,0),"")</f>
        <v/>
      </c>
      <c r="E60" s="219" t="str">
        <f t="shared" si="19"/>
        <v/>
      </c>
      <c r="F60" s="220" t="str">
        <f t="shared" si="20"/>
        <v/>
      </c>
      <c r="H60" s="222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Y60" s="222"/>
      <c r="Z60" s="222"/>
      <c r="AA60" s="222"/>
      <c r="AB60" s="222"/>
      <c r="AC60" s="222"/>
      <c r="AD60" s="222"/>
      <c r="AE60" s="222"/>
      <c r="AF60" s="222"/>
      <c r="AG60" s="222"/>
      <c r="AH60" s="222"/>
      <c r="AI60" s="222"/>
      <c r="AJ60" s="222"/>
      <c r="AK60" s="222"/>
      <c r="AL60" s="222"/>
      <c r="AM60" s="222"/>
      <c r="AN60" s="222"/>
      <c r="AO60" s="222"/>
      <c r="AP60" s="222"/>
      <c r="AQ60" s="222"/>
      <c r="AR60" s="222"/>
      <c r="AS60" s="222"/>
      <c r="AT60" s="222"/>
      <c r="AU60" s="222"/>
      <c r="AV60" s="222"/>
      <c r="AW60" s="222"/>
      <c r="AX60" s="222"/>
      <c r="AZ60" s="223" t="str">
        <f t="shared" si="5"/>
        <v/>
      </c>
      <c r="BA60" s="223" t="str">
        <f t="shared" si="6"/>
        <v/>
      </c>
      <c r="BB60" s="223">
        <f t="shared" si="7"/>
        <v>0</v>
      </c>
      <c r="BC60" s="223" t="str">
        <f t="shared" si="8"/>
        <v/>
      </c>
      <c r="BE60" s="199" t="str">
        <f t="shared" si="21"/>
        <v/>
      </c>
      <c r="BF60" s="27"/>
      <c r="BG60" s="200" t="str">
        <f t="shared" si="22"/>
        <v/>
      </c>
      <c r="BH60" s="200"/>
      <c r="BI60" s="226"/>
      <c r="BJ60" s="228"/>
      <c r="BK60" s="226"/>
      <c r="BL60" s="228"/>
      <c r="BM60" s="226"/>
      <c r="BN60" s="228"/>
      <c r="BO60" s="226"/>
      <c r="BP60" s="228"/>
      <c r="BQ60" s="227">
        <f t="shared" si="23"/>
        <v>0</v>
      </c>
      <c r="BS60" s="241" t="str">
        <f t="shared" si="24"/>
        <v/>
      </c>
      <c r="BT60" s="225" t="str">
        <f t="shared" si="25"/>
        <v/>
      </c>
      <c r="BU60" s="224" t="str">
        <f t="shared" si="26"/>
        <v/>
      </c>
      <c r="BV60" s="224" t="str">
        <f t="shared" si="27"/>
        <v/>
      </c>
      <c r="BW60" s="243">
        <f t="shared" si="28"/>
        <v>0</v>
      </c>
      <c r="BX60" s="214"/>
      <c r="BY60" s="199">
        <f t="shared" si="29"/>
        <v>0</v>
      </c>
      <c r="BZ60" s="199"/>
      <c r="CA60" s="247" t="str">
        <f t="shared" si="18"/>
        <v/>
      </c>
    </row>
    <row r="61" spans="2:79" ht="15.75" thickBot="1" x14ac:dyDescent="0.3">
      <c r="B61" s="218"/>
      <c r="D61" s="218" t="str">
        <f>IFERROR(VLOOKUP(B61,'DATOS GRALES 1'!$B$2:$E$91,4,0),"")</f>
        <v/>
      </c>
      <c r="E61" s="219" t="str">
        <f t="shared" si="19"/>
        <v/>
      </c>
      <c r="F61" s="220" t="str">
        <f t="shared" si="20"/>
        <v/>
      </c>
      <c r="H61" s="222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Y61" s="222"/>
      <c r="Z61" s="222"/>
      <c r="AA61" s="222"/>
      <c r="AB61" s="222"/>
      <c r="AC61" s="222"/>
      <c r="AD61" s="222"/>
      <c r="AE61" s="222"/>
      <c r="AF61" s="222"/>
      <c r="AG61" s="222"/>
      <c r="AH61" s="222"/>
      <c r="AI61" s="222"/>
      <c r="AJ61" s="222"/>
      <c r="AK61" s="222"/>
      <c r="AL61" s="222"/>
      <c r="AM61" s="222"/>
      <c r="AN61" s="222"/>
      <c r="AO61" s="222"/>
      <c r="AP61" s="222"/>
      <c r="AQ61" s="222"/>
      <c r="AR61" s="222"/>
      <c r="AS61" s="222"/>
      <c r="AT61" s="222"/>
      <c r="AU61" s="222"/>
      <c r="AV61" s="222"/>
      <c r="AW61" s="222"/>
      <c r="AX61" s="222"/>
      <c r="AZ61" s="223" t="str">
        <f t="shared" si="5"/>
        <v/>
      </c>
      <c r="BA61" s="223" t="str">
        <f t="shared" si="6"/>
        <v/>
      </c>
      <c r="BB61" s="223">
        <f t="shared" si="7"/>
        <v>0</v>
      </c>
      <c r="BC61" s="223" t="str">
        <f t="shared" si="8"/>
        <v/>
      </c>
      <c r="BE61" s="199" t="str">
        <f t="shared" si="21"/>
        <v/>
      </c>
      <c r="BF61" s="27"/>
      <c r="BG61" s="200" t="str">
        <f t="shared" si="22"/>
        <v/>
      </c>
      <c r="BH61" s="200"/>
      <c r="BI61" s="226"/>
      <c r="BJ61" s="228"/>
      <c r="BK61" s="226"/>
      <c r="BL61" s="228"/>
      <c r="BM61" s="226"/>
      <c r="BN61" s="228"/>
      <c r="BO61" s="226"/>
      <c r="BP61" s="228"/>
      <c r="BQ61" s="227">
        <f>BJ61+BL61+BN61+BP61</f>
        <v>0</v>
      </c>
      <c r="BS61" s="241" t="str">
        <f t="shared" si="24"/>
        <v/>
      </c>
      <c r="BT61" s="225" t="str">
        <f t="shared" si="25"/>
        <v/>
      </c>
      <c r="BU61" s="224" t="str">
        <f t="shared" si="26"/>
        <v/>
      </c>
      <c r="BV61" s="224" t="str">
        <f t="shared" si="27"/>
        <v/>
      </c>
      <c r="BW61" s="244">
        <f t="shared" si="28"/>
        <v>0</v>
      </c>
      <c r="BX61" s="214"/>
      <c r="BY61" s="199">
        <f t="shared" si="29"/>
        <v>0</v>
      </c>
      <c r="BZ61" s="199"/>
      <c r="CA61" s="248" t="str">
        <f t="shared" si="18"/>
        <v/>
      </c>
    </row>
    <row r="62" spans="2:79" ht="15.75" thickTop="1" x14ac:dyDescent="0.25">
      <c r="BG62" s="200"/>
      <c r="BH62" s="200"/>
    </row>
  </sheetData>
  <phoneticPr fontId="11" type="noConversion"/>
  <conditionalFormatting sqref="H12:AX61">
    <cfRule type="containsText" dxfId="20" priority="1" operator="containsText" text="MED">
      <formula>NOT(ISERROR(SEARCH("MED",H12)))</formula>
    </cfRule>
    <cfRule type="containsText" dxfId="19" priority="2" operator="containsText" text="NO">
      <formula>NOT(ISERROR(SEARCH("NO",H12)))</formula>
    </cfRule>
    <cfRule type="containsText" dxfId="18" priority="3" operator="containsText" text="SI">
      <formula>NOT(ISERROR(SEARCH("SI",H12)))</formula>
    </cfRule>
  </conditionalFormatting>
  <conditionalFormatting sqref="H10:AY10">
    <cfRule type="expression" dxfId="17" priority="8">
      <formula>MONTH(_Fechainicial1)=MONTH($D$2&amp;1)</formula>
    </cfRule>
    <cfRule type="expression" dxfId="16" priority="9">
      <formula>MONTH(_Fechainicial1)=MONTH($B$2&amp;1)</formula>
    </cfRule>
  </conditionalFormatting>
  <conditionalFormatting sqref="H11:AY11">
    <cfRule type="expression" dxfId="15" priority="10">
      <formula>WEEKDAY(_Fechainicial1,2)&gt;WEEKDAY(_Fechasiguiente,2)</formula>
    </cfRule>
  </conditionalFormatting>
  <conditionalFormatting sqref="H12:AY61">
    <cfRule type="expression" dxfId="14" priority="4">
      <formula>WEEKDAY(_Fechainicial1,2)&gt;WEEKDAY(_Fechasiguiente,2)</formula>
    </cfRule>
  </conditionalFormatting>
  <dataValidations disablePrompts="1" count="1">
    <dataValidation type="list" allowBlank="1" showInputMessage="1" showErrorMessage="1" sqref="B2:C2" xr:uid="{3EF1C605-9F2F-4B38-BA52-93F0A4ABE73E}">
      <formula1>"ENERO, FEBRERO, MARZO, ABRIL, MAYO, JUNIO, JULIO, AGOSTO, SETIEMBRE, OCTUBRE, NOVIEMBRE, DICEMBRE"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CE9DB597-5004-476D-B6BD-F2773F9409D0}">
          <x14:formula1>
            <xm:f>'DATOS GRALES 1'!$B$2:$B$91</xm:f>
          </x14:formula1>
          <xm:sqref>B12:B19 B21:B61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E78C9-6841-4633-8EF2-7AA3AA7D8B92}">
  <dimension ref="B2:CJ62"/>
  <sheetViews>
    <sheetView workbookViewId="0">
      <pane xSplit="3" topLeftCell="D1" activePane="topRight" state="frozen"/>
      <selection activeCell="A6" sqref="A6"/>
      <selection pane="topRight" activeCell="I41" sqref="I41"/>
    </sheetView>
  </sheetViews>
  <sheetFormatPr baseColWidth="10" defaultRowHeight="15" x14ac:dyDescent="0.25"/>
  <cols>
    <col min="1" max="1" width="1.42578125" customWidth="1"/>
    <col min="2" max="2" width="39.7109375" customWidth="1"/>
    <col min="3" max="3" width="1.140625" customWidth="1"/>
    <col min="4" max="4" width="16.28515625" customWidth="1"/>
    <col min="7" max="7" width="1.28515625" customWidth="1"/>
    <col min="8" max="38" width="4.85546875" customWidth="1"/>
    <col min="39" max="39" width="1.5703125" customWidth="1"/>
    <col min="40" max="44" width="4.85546875" customWidth="1"/>
    <col min="45" max="50" width="0.28515625" customWidth="1"/>
    <col min="51" max="51" width="0.85546875" customWidth="1"/>
    <col min="52" max="55" width="6.7109375" style="191" customWidth="1"/>
    <col min="56" max="56" width="2" customWidth="1"/>
    <col min="60" max="60" width="0.5703125" customWidth="1"/>
    <col min="69" max="69" width="13.5703125" customWidth="1"/>
    <col min="70" max="70" width="1.42578125" customWidth="1"/>
    <col min="71" max="74" width="12.7109375" customWidth="1"/>
    <col min="76" max="76" width="0.85546875" customWidth="1"/>
    <col min="77" max="77" width="11.85546875" customWidth="1"/>
    <col min="78" max="78" width="1.28515625" customWidth="1"/>
    <col min="79" max="79" width="11.85546875" customWidth="1"/>
  </cols>
  <sheetData>
    <row r="2" spans="2:88" x14ac:dyDescent="0.25">
      <c r="B2" s="27" t="s">
        <v>41</v>
      </c>
      <c r="C2" s="27"/>
      <c r="D2" s="27" t="s">
        <v>42</v>
      </c>
    </row>
    <row r="4" spans="2:88" x14ac:dyDescent="0.25">
      <c r="B4" s="27">
        <v>2025</v>
      </c>
      <c r="C4" s="27"/>
    </row>
    <row r="7" spans="2:88" ht="2.4500000000000002" customHeight="1" x14ac:dyDescent="0.25"/>
    <row r="8" spans="2:88" ht="2.4500000000000002" customHeight="1" x14ac:dyDescent="0.25"/>
    <row r="9" spans="2:88" ht="51" customHeight="1" x14ac:dyDescent="0.25">
      <c r="H9" s="189">
        <f>DATE(B4,MONTH(B2&amp;1),21)</f>
        <v>45951</v>
      </c>
      <c r="I9" s="189">
        <f>H9+1</f>
        <v>45952</v>
      </c>
      <c r="J9" s="189">
        <f t="shared" ref="J9:AL9" si="0">I9+1</f>
        <v>45953</v>
      </c>
      <c r="K9" s="189">
        <f t="shared" si="0"/>
        <v>45954</v>
      </c>
      <c r="L9" s="189">
        <f t="shared" si="0"/>
        <v>45955</v>
      </c>
      <c r="M9" s="189">
        <f t="shared" si="0"/>
        <v>45956</v>
      </c>
      <c r="N9" s="189">
        <f t="shared" si="0"/>
        <v>45957</v>
      </c>
      <c r="O9" s="189">
        <f t="shared" si="0"/>
        <v>45958</v>
      </c>
      <c r="P9" s="189">
        <f t="shared" si="0"/>
        <v>45959</v>
      </c>
      <c r="Q9" s="189">
        <f t="shared" si="0"/>
        <v>45960</v>
      </c>
      <c r="R9" s="189">
        <f t="shared" si="0"/>
        <v>45961</v>
      </c>
      <c r="S9" s="189">
        <f t="shared" si="0"/>
        <v>45962</v>
      </c>
      <c r="T9" s="189">
        <f t="shared" si="0"/>
        <v>45963</v>
      </c>
      <c r="U9" s="189">
        <f t="shared" si="0"/>
        <v>45964</v>
      </c>
      <c r="V9" s="189">
        <f t="shared" si="0"/>
        <v>45965</v>
      </c>
      <c r="W9" s="189">
        <f t="shared" si="0"/>
        <v>45966</v>
      </c>
      <c r="X9" s="189">
        <f t="shared" si="0"/>
        <v>45967</v>
      </c>
      <c r="Y9" s="189">
        <f>X9+1</f>
        <v>45968</v>
      </c>
      <c r="Z9" s="189">
        <f t="shared" si="0"/>
        <v>45969</v>
      </c>
      <c r="AA9" s="189">
        <f t="shared" si="0"/>
        <v>45970</v>
      </c>
      <c r="AB9" s="189">
        <f t="shared" si="0"/>
        <v>45971</v>
      </c>
      <c r="AC9" s="189">
        <f t="shared" si="0"/>
        <v>45972</v>
      </c>
      <c r="AD9" s="189">
        <f t="shared" si="0"/>
        <v>45973</v>
      </c>
      <c r="AE9" s="189">
        <f>AD9+1</f>
        <v>45974</v>
      </c>
      <c r="AF9" s="189">
        <f t="shared" si="0"/>
        <v>45975</v>
      </c>
      <c r="AG9" s="189">
        <f t="shared" si="0"/>
        <v>45976</v>
      </c>
      <c r="AH9" s="189">
        <f t="shared" si="0"/>
        <v>45977</v>
      </c>
      <c r="AI9" s="189">
        <f t="shared" si="0"/>
        <v>45978</v>
      </c>
      <c r="AJ9" s="189">
        <f t="shared" si="0"/>
        <v>45979</v>
      </c>
      <c r="AK9" s="189">
        <f t="shared" si="0"/>
        <v>45980</v>
      </c>
      <c r="AL9" s="189">
        <f t="shared" si="0"/>
        <v>45981</v>
      </c>
      <c r="AM9" s="189"/>
      <c r="AN9" s="189" t="s">
        <v>273</v>
      </c>
      <c r="AO9" s="189" t="s">
        <v>272</v>
      </c>
      <c r="AP9" s="189" t="s">
        <v>274</v>
      </c>
      <c r="AQ9" s="189" t="s">
        <v>275</v>
      </c>
      <c r="AR9" s="189" t="s">
        <v>276</v>
      </c>
      <c r="AS9" s="189"/>
      <c r="AT9" s="189"/>
      <c r="AU9" s="189"/>
      <c r="AV9" s="189"/>
      <c r="AW9" s="189"/>
      <c r="AX9" s="189"/>
      <c r="AY9" s="189"/>
      <c r="BI9" s="205" t="s">
        <v>256</v>
      </c>
      <c r="BJ9" s="205"/>
      <c r="BK9" s="205"/>
      <c r="BL9" s="205"/>
      <c r="BM9" s="205"/>
      <c r="BN9" s="205"/>
      <c r="BO9" s="205"/>
      <c r="BP9" s="205"/>
      <c r="BQ9" s="206"/>
      <c r="BS9" s="216" t="s">
        <v>257</v>
      </c>
      <c r="BT9" s="215"/>
      <c r="BU9" s="215"/>
      <c r="BV9" s="215"/>
      <c r="BW9" s="215"/>
      <c r="CF9" s="11" t="s">
        <v>258</v>
      </c>
      <c r="CG9" s="250">
        <v>0.13</v>
      </c>
      <c r="CI9" s="11" t="s">
        <v>260</v>
      </c>
      <c r="CJ9" s="250">
        <v>0.02</v>
      </c>
    </row>
    <row r="10" spans="2:88" ht="7.15" customHeight="1" thickBot="1" x14ac:dyDescent="0.3">
      <c r="H10" s="189" t="s">
        <v>237</v>
      </c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  <c r="AJ10" s="189"/>
      <c r="AK10" s="189"/>
      <c r="AL10" s="189"/>
      <c r="AM10" s="189"/>
      <c r="AN10" s="189"/>
      <c r="AO10" s="189"/>
      <c r="AP10" s="189"/>
      <c r="AQ10" s="189"/>
      <c r="AR10" s="189"/>
      <c r="AS10" s="189"/>
      <c r="AT10" s="189"/>
      <c r="AU10" s="189"/>
      <c r="AV10" s="189"/>
      <c r="AW10" s="189"/>
      <c r="AX10" s="189"/>
      <c r="AY10" s="189"/>
      <c r="CF10" s="11"/>
      <c r="CG10" s="11"/>
    </row>
    <row r="11" spans="2:88" ht="41.25" thickBot="1" x14ac:dyDescent="0.3">
      <c r="B11" s="209" t="s">
        <v>29</v>
      </c>
      <c r="C11" s="209"/>
      <c r="D11" s="209" t="s">
        <v>86</v>
      </c>
      <c r="E11" s="209" t="s">
        <v>241</v>
      </c>
      <c r="F11" s="209" t="s">
        <v>242</v>
      </c>
      <c r="G11" s="30"/>
      <c r="H11" s="210" t="str">
        <f>PROPER(LEFT(TEXT(H9,"dddd"),3))</f>
        <v>Mar</v>
      </c>
      <c r="I11" s="210" t="str">
        <f t="shared" ref="I11:AX11" si="1">PROPER(LEFT(TEXT(I9,"dddd"),3))</f>
        <v>Mié</v>
      </c>
      <c r="J11" s="210" t="str">
        <f t="shared" si="1"/>
        <v>Jue</v>
      </c>
      <c r="K11" s="210" t="str">
        <f t="shared" si="1"/>
        <v>Vie</v>
      </c>
      <c r="L11" s="210" t="str">
        <f t="shared" si="1"/>
        <v>Sáb</v>
      </c>
      <c r="M11" s="210" t="str">
        <f t="shared" si="1"/>
        <v>Dom</v>
      </c>
      <c r="N11" s="210" t="str">
        <f t="shared" si="1"/>
        <v>Lun</v>
      </c>
      <c r="O11" s="210" t="str">
        <f t="shared" si="1"/>
        <v>Mar</v>
      </c>
      <c r="P11" s="210" t="str">
        <f t="shared" si="1"/>
        <v>Mié</v>
      </c>
      <c r="Q11" s="210" t="str">
        <f t="shared" si="1"/>
        <v>Jue</v>
      </c>
      <c r="R11" s="210" t="str">
        <f t="shared" si="1"/>
        <v>Vie</v>
      </c>
      <c r="S11" s="210" t="str">
        <f t="shared" si="1"/>
        <v>Sáb</v>
      </c>
      <c r="T11" s="210" t="str">
        <f t="shared" si="1"/>
        <v>Dom</v>
      </c>
      <c r="U11" s="210" t="str">
        <f t="shared" si="1"/>
        <v>Lun</v>
      </c>
      <c r="V11" s="210" t="str">
        <f t="shared" si="1"/>
        <v>Mar</v>
      </c>
      <c r="W11" s="210" t="str">
        <f t="shared" si="1"/>
        <v>Mié</v>
      </c>
      <c r="X11" s="210" t="str">
        <f t="shared" si="1"/>
        <v>Jue</v>
      </c>
      <c r="Y11" s="210" t="str">
        <f t="shared" si="1"/>
        <v>Vie</v>
      </c>
      <c r="Z11" s="210" t="str">
        <f t="shared" si="1"/>
        <v>Sáb</v>
      </c>
      <c r="AA11" s="210" t="str">
        <f t="shared" si="1"/>
        <v>Dom</v>
      </c>
      <c r="AB11" s="210" t="str">
        <f t="shared" si="1"/>
        <v>Lun</v>
      </c>
      <c r="AC11" s="210" t="str">
        <f t="shared" si="1"/>
        <v>Mar</v>
      </c>
      <c r="AD11" s="210" t="str">
        <f t="shared" si="1"/>
        <v>Mié</v>
      </c>
      <c r="AE11" s="210" t="str">
        <f t="shared" si="1"/>
        <v>Jue</v>
      </c>
      <c r="AF11" s="210" t="str">
        <f t="shared" si="1"/>
        <v>Vie</v>
      </c>
      <c r="AG11" s="210" t="str">
        <f t="shared" si="1"/>
        <v>Sáb</v>
      </c>
      <c r="AH11" s="210" t="str">
        <f t="shared" si="1"/>
        <v>Dom</v>
      </c>
      <c r="AI11" s="210" t="str">
        <f t="shared" si="1"/>
        <v>Lun</v>
      </c>
      <c r="AJ11" s="210" t="str">
        <f t="shared" si="1"/>
        <v>Mar</v>
      </c>
      <c r="AK11" s="210" t="str">
        <f t="shared" si="1"/>
        <v>Mié</v>
      </c>
      <c r="AL11" s="210" t="str">
        <f t="shared" si="1"/>
        <v>Jue</v>
      </c>
      <c r="AM11" s="190" t="str">
        <f t="shared" si="1"/>
        <v>Sáb</v>
      </c>
      <c r="AN11" s="210" t="str">
        <f t="shared" si="1"/>
        <v>Adi</v>
      </c>
      <c r="AO11" s="210" t="str">
        <f t="shared" si="1"/>
        <v>Adi</v>
      </c>
      <c r="AP11" s="210" t="str">
        <f>PROPER(LEFT(TEXT(AP9,"dddd"),3))</f>
        <v>Adi</v>
      </c>
      <c r="AQ11" s="210" t="str">
        <f t="shared" si="1"/>
        <v>Adi</v>
      </c>
      <c r="AR11" s="210" t="str">
        <f t="shared" si="1"/>
        <v>Adi</v>
      </c>
      <c r="AS11" s="190" t="str">
        <f t="shared" si="1"/>
        <v>Sáb</v>
      </c>
      <c r="AT11" s="190" t="str">
        <f t="shared" si="1"/>
        <v>Sáb</v>
      </c>
      <c r="AU11" s="190" t="str">
        <f t="shared" si="1"/>
        <v>Sáb</v>
      </c>
      <c r="AV11" s="190" t="str">
        <f t="shared" si="1"/>
        <v>Sáb</v>
      </c>
      <c r="AW11" s="190" t="str">
        <f t="shared" si="1"/>
        <v>Sáb</v>
      </c>
      <c r="AX11" s="190" t="str">
        <f t="shared" si="1"/>
        <v>Sáb</v>
      </c>
      <c r="AY11" s="190"/>
      <c r="AZ11" s="192" t="s">
        <v>238</v>
      </c>
      <c r="BA11" s="193" t="s">
        <v>239</v>
      </c>
      <c r="BB11" s="195" t="s">
        <v>240</v>
      </c>
      <c r="BC11" s="194" t="s">
        <v>7</v>
      </c>
      <c r="BE11" s="229" t="s">
        <v>203</v>
      </c>
      <c r="BF11" s="230" t="s">
        <v>204</v>
      </c>
      <c r="BG11" s="230" t="s">
        <v>206</v>
      </c>
      <c r="BH11" s="204"/>
      <c r="BI11" s="234" t="s">
        <v>252</v>
      </c>
      <c r="BJ11" s="234" t="s">
        <v>210</v>
      </c>
      <c r="BK11" s="234" t="s">
        <v>252</v>
      </c>
      <c r="BL11" s="234" t="s">
        <v>253</v>
      </c>
      <c r="BM11" s="234" t="s">
        <v>252</v>
      </c>
      <c r="BN11" s="234" t="s">
        <v>254</v>
      </c>
      <c r="BO11" s="234" t="s">
        <v>252</v>
      </c>
      <c r="BP11" s="234" t="s">
        <v>255</v>
      </c>
      <c r="BQ11" s="235" t="s">
        <v>222</v>
      </c>
      <c r="BS11" s="236" t="s">
        <v>223</v>
      </c>
      <c r="BT11" s="236" t="s">
        <v>226</v>
      </c>
      <c r="BU11" s="236" t="s">
        <v>227</v>
      </c>
      <c r="BV11" s="236" t="s">
        <v>230</v>
      </c>
      <c r="BW11" s="237" t="s">
        <v>231</v>
      </c>
      <c r="BX11" s="208"/>
      <c r="BY11" s="207" t="s">
        <v>236</v>
      </c>
      <c r="BZ11" s="208"/>
      <c r="CA11" s="245" t="s">
        <v>234</v>
      </c>
      <c r="CF11" s="11" t="s">
        <v>259</v>
      </c>
      <c r="CG11" s="250">
        <v>0.09</v>
      </c>
    </row>
    <row r="12" spans="2:88" ht="16.5" thickTop="1" thickBot="1" x14ac:dyDescent="0.3">
      <c r="B12" s="217" t="s">
        <v>102</v>
      </c>
      <c r="C12" s="198"/>
      <c r="D12" s="217" t="str">
        <f>IFERROR(VLOOKUP(B12,'DATOS GRALES 1'!$B$2:$E$91,4,0),"")</f>
        <v>RESIDENTE</v>
      </c>
      <c r="E12" s="220"/>
      <c r="F12" s="218">
        <f>E12/30</f>
        <v>0</v>
      </c>
      <c r="H12" s="253" t="s">
        <v>67</v>
      </c>
      <c r="I12" s="253" t="s">
        <v>67</v>
      </c>
      <c r="J12" s="253" t="s">
        <v>67</v>
      </c>
      <c r="K12" s="253" t="s">
        <v>67</v>
      </c>
      <c r="L12" s="253" t="s">
        <v>67</v>
      </c>
      <c r="M12" s="253" t="s">
        <v>67</v>
      </c>
      <c r="N12" s="253" t="s">
        <v>67</v>
      </c>
      <c r="O12" s="253" t="s">
        <v>67</v>
      </c>
      <c r="P12" s="253" t="s">
        <v>67</v>
      </c>
      <c r="Q12" s="253" t="s">
        <v>67</v>
      </c>
      <c r="R12" s="253" t="s">
        <v>67</v>
      </c>
      <c r="S12" s="253" t="s">
        <v>67</v>
      </c>
      <c r="T12" s="253" t="s">
        <v>67</v>
      </c>
      <c r="U12" s="253" t="s">
        <v>67</v>
      </c>
      <c r="V12" s="253" t="s">
        <v>67</v>
      </c>
      <c r="W12" s="253" t="s">
        <v>67</v>
      </c>
      <c r="X12" s="253" t="s">
        <v>67</v>
      </c>
      <c r="Y12" s="253" t="s">
        <v>67</v>
      </c>
      <c r="Z12" s="253"/>
      <c r="AA12" s="253"/>
      <c r="AB12" s="253"/>
      <c r="AC12" s="253"/>
      <c r="AD12" s="253"/>
      <c r="AE12" s="253"/>
      <c r="AF12" s="253"/>
      <c r="AG12" s="253"/>
      <c r="AH12" s="253"/>
      <c r="AI12" s="253"/>
      <c r="AJ12" s="253"/>
      <c r="AK12" s="253"/>
      <c r="AL12" s="253"/>
      <c r="AM12" s="255"/>
      <c r="AN12" s="253"/>
      <c r="AO12" s="253"/>
      <c r="AP12" s="253"/>
      <c r="AQ12" s="253"/>
      <c r="AR12" s="253"/>
      <c r="AS12" s="255"/>
      <c r="AT12" s="255"/>
      <c r="AU12" s="255"/>
      <c r="AV12" s="255"/>
      <c r="AW12" s="255"/>
      <c r="AX12" s="255"/>
      <c r="AY12" s="254"/>
      <c r="AZ12" s="223">
        <f>IF(COUNTIF(H12:AX12,"SI")=0,"",COUNTIF(H12:AX12,"SI"))</f>
        <v>18</v>
      </c>
      <c r="BA12" s="223" t="str">
        <f>IF(COUNTIF(H12:AX12,"NO")=0,"",COUNTIF(H12:AX12,"NO"))</f>
        <v/>
      </c>
      <c r="BB12" s="223">
        <f>COUNTIF(H12:AL12,"MED")</f>
        <v>0</v>
      </c>
      <c r="BC12" s="223">
        <f>IF(SUM(AZ12:BB12)=0,"",SUM(AZ12:BB12))</f>
        <v>18</v>
      </c>
      <c r="BE12" s="199">
        <f>IFERROR((F12/2*BB12)+(AZ12*F12),0)</f>
        <v>0</v>
      </c>
      <c r="BF12" s="27"/>
      <c r="BG12" s="200">
        <f>F12/8*BF12</f>
        <v>0</v>
      </c>
      <c r="BH12" s="200"/>
      <c r="BI12" s="231"/>
      <c r="BJ12" s="232"/>
      <c r="BK12" s="231"/>
      <c r="BL12" s="233"/>
      <c r="BM12" s="231"/>
      <c r="BN12" s="233"/>
      <c r="BO12" s="231"/>
      <c r="BP12" s="233"/>
      <c r="BQ12" s="232">
        <f>BJ12+BL12+BN12+BP12</f>
        <v>0</v>
      </c>
      <c r="BS12" s="225">
        <f>IF(CB12=$CF$9,(E12*$CG$9/2),IF(CB12=$CF$11,(E12*$CG$11/2),0))</f>
        <v>0</v>
      </c>
      <c r="BT12" s="225">
        <f>IF(CB12=$CF$9,(E12*$CJ$9/2),IF(CB12=$CF$11,(E12*$CJ$9/2),0))</f>
        <v>0</v>
      </c>
      <c r="BU12" s="225">
        <f>IF(CB12=$CF$9,(E12*$CG$9/2),IF(CB12=$CF$11,(E12*$CG$11/2),0))</f>
        <v>0</v>
      </c>
      <c r="BV12" s="224">
        <f>IF(CB12=$CF$9,(E12*$CJ$9/2),IF(CB12=$CF$11,(E12*$CJ$9/2),0))</f>
        <v>0</v>
      </c>
      <c r="BW12" s="238">
        <f>SUM(BS12:BV12)</f>
        <v>0</v>
      </c>
      <c r="BX12" s="199"/>
      <c r="BY12" s="199">
        <f t="shared" ref="BY12:BY18" si="2">BQ12+BW12</f>
        <v>0</v>
      </c>
      <c r="BZ12" s="199"/>
      <c r="CA12" s="246">
        <f t="shared" ref="CA12:CA18" si="3">BE12-BY12</f>
        <v>0</v>
      </c>
      <c r="CB12" s="11" t="s">
        <v>258</v>
      </c>
    </row>
    <row r="13" spans="2:88" ht="15.75" thickBot="1" x14ac:dyDescent="0.3">
      <c r="B13" s="217" t="s">
        <v>95</v>
      </c>
      <c r="C13" s="198"/>
      <c r="D13" s="217" t="str">
        <f>IFERROR(VLOOKUP(B13,'DATOS GRALES 1'!$B$2:$E$91,4,0),"")</f>
        <v>ING. CALIDAD</v>
      </c>
      <c r="E13" s="220"/>
      <c r="F13" s="218">
        <f t="shared" ref="F13:F18" si="4">E13/30</f>
        <v>0</v>
      </c>
      <c r="H13" s="253" t="s">
        <v>67</v>
      </c>
      <c r="I13" s="253" t="s">
        <v>67</v>
      </c>
      <c r="J13" s="253" t="s">
        <v>67</v>
      </c>
      <c r="K13" s="253" t="s">
        <v>67</v>
      </c>
      <c r="L13" s="253" t="s">
        <v>67</v>
      </c>
      <c r="M13" s="253" t="s">
        <v>67</v>
      </c>
      <c r="N13" s="253" t="s">
        <v>67</v>
      </c>
      <c r="O13" s="253" t="s">
        <v>67</v>
      </c>
      <c r="P13" s="253" t="s">
        <v>67</v>
      </c>
      <c r="Q13" s="253" t="s">
        <v>67</v>
      </c>
      <c r="R13" s="253" t="s">
        <v>67</v>
      </c>
      <c r="S13" s="253" t="s">
        <v>67</v>
      </c>
      <c r="T13" s="253" t="s">
        <v>67</v>
      </c>
      <c r="U13" s="253" t="s">
        <v>67</v>
      </c>
      <c r="V13" s="253" t="s">
        <v>67</v>
      </c>
      <c r="W13" s="253" t="s">
        <v>67</v>
      </c>
      <c r="X13" s="253" t="s">
        <v>67</v>
      </c>
      <c r="Y13" s="253" t="s">
        <v>67</v>
      </c>
      <c r="Z13" s="253"/>
      <c r="AA13" s="253"/>
      <c r="AB13" s="253"/>
      <c r="AC13" s="253"/>
      <c r="AD13" s="253"/>
      <c r="AE13" s="253"/>
      <c r="AF13" s="253"/>
      <c r="AG13" s="253"/>
      <c r="AH13" s="253"/>
      <c r="AI13" s="253"/>
      <c r="AJ13" s="253"/>
      <c r="AK13" s="253"/>
      <c r="AL13" s="253"/>
      <c r="AM13" s="255"/>
      <c r="AN13" s="253"/>
      <c r="AO13" s="253"/>
      <c r="AP13" s="253"/>
      <c r="AQ13" s="253"/>
      <c r="AR13" s="253"/>
      <c r="AS13" s="255"/>
      <c r="AT13" s="255"/>
      <c r="AU13" s="255"/>
      <c r="AV13" s="255"/>
      <c r="AW13" s="255"/>
      <c r="AX13" s="255"/>
      <c r="AY13" s="254"/>
      <c r="AZ13" s="223">
        <f t="shared" ref="AZ13:AZ61" si="5">IF(COUNTIF(H13:AX13,"SI")=0,"",COUNTIF(H13:AX13,"SI"))</f>
        <v>18</v>
      </c>
      <c r="BA13" s="223" t="str">
        <f t="shared" ref="BA13:BA61" si="6">IF(COUNTIF(H13:AX13,"NO")=0,"",COUNTIF(H13:AX13,"NO"))</f>
        <v/>
      </c>
      <c r="BB13" s="223">
        <f t="shared" ref="BB13:BB61" si="7">COUNTIF(H13:AL13,"MED")</f>
        <v>0</v>
      </c>
      <c r="BC13" s="223">
        <f t="shared" ref="BC13:BC61" si="8">IF(SUM(AZ13:BB13)=0,"",SUM(AZ13:BB13))</f>
        <v>18</v>
      </c>
      <c r="BE13" s="199">
        <f t="shared" ref="BE13:BE18" si="9">IFERROR((F13/2*BB13)+(AZ13*F13),0)</f>
        <v>0</v>
      </c>
      <c r="BF13" s="27"/>
      <c r="BG13" s="200">
        <f t="shared" ref="BG13:BG18" si="10">F13/8*BF13</f>
        <v>0</v>
      </c>
      <c r="BH13" s="200"/>
      <c r="BI13" s="226"/>
      <c r="BJ13" s="227"/>
      <c r="BK13" s="226"/>
      <c r="BL13" s="228"/>
      <c r="BM13" s="226"/>
      <c r="BN13" s="228"/>
      <c r="BO13" s="226"/>
      <c r="BP13" s="228"/>
      <c r="BQ13" s="227">
        <f t="shared" ref="BQ13:BQ18" si="11">BJ13+BL13+BN13+BP13</f>
        <v>0</v>
      </c>
      <c r="BS13" s="225">
        <f t="shared" ref="BS13:BS18" si="12">IF(CB13=$CF$9,(E13*$CG$9/2),IF(CB13=$CF$11,(E13*$CG$11/2),0))</f>
        <v>0</v>
      </c>
      <c r="BT13" s="225">
        <f t="shared" ref="BT13:BT18" si="13">IF(CB13=$CF$9,(E13*$CJ$9/2),IF(CB13=$CF$11,(E13*$CJ$9/2),0))</f>
        <v>0</v>
      </c>
      <c r="BU13" s="225">
        <f t="shared" ref="BU13:BU18" si="14">IF(CB13=$CF$9,(E13*$CG$9/2),IF(CB13=$CF$11,(E13*$CG$11/2),0))</f>
        <v>0</v>
      </c>
      <c r="BV13" s="224">
        <f t="shared" ref="BV13:BV18" si="15">IF(CB13=$CF$9,(E13*$CJ$9/2),IF(CB13=$CF$11,(E13*$CJ$9/2),0))</f>
        <v>0</v>
      </c>
      <c r="BW13" s="239">
        <f t="shared" ref="BW13:BW18" si="16">SUM(BS13:BV13)</f>
        <v>0</v>
      </c>
      <c r="BX13" s="199"/>
      <c r="BY13" s="199">
        <f t="shared" si="2"/>
        <v>0</v>
      </c>
      <c r="BZ13" s="199"/>
      <c r="CA13" s="247">
        <f t="shared" si="3"/>
        <v>0</v>
      </c>
      <c r="CB13" s="11" t="s">
        <v>258</v>
      </c>
    </row>
    <row r="14" spans="2:88" ht="15.75" thickBot="1" x14ac:dyDescent="0.3">
      <c r="B14" s="217" t="s">
        <v>139</v>
      </c>
      <c r="C14" s="198"/>
      <c r="D14" s="217" t="str">
        <f>IFERROR(VLOOKUP(B14,'DATOS GRALES 1'!$B$2:$E$91,4,0),"")</f>
        <v>ESP. SEGURIDAD</v>
      </c>
      <c r="E14" s="220"/>
      <c r="F14" s="218">
        <f t="shared" si="4"/>
        <v>0</v>
      </c>
      <c r="H14" s="253" t="s">
        <v>67</v>
      </c>
      <c r="I14" s="253" t="s">
        <v>67</v>
      </c>
      <c r="J14" s="253" t="s">
        <v>67</v>
      </c>
      <c r="K14" s="253" t="s">
        <v>67</v>
      </c>
      <c r="L14" s="253" t="s">
        <v>67</v>
      </c>
      <c r="M14" s="253" t="s">
        <v>67</v>
      </c>
      <c r="N14" s="253" t="s">
        <v>67</v>
      </c>
      <c r="O14" s="253" t="s">
        <v>67</v>
      </c>
      <c r="P14" s="253" t="s">
        <v>67</v>
      </c>
      <c r="Q14" s="253" t="s">
        <v>67</v>
      </c>
      <c r="R14" s="253" t="s">
        <v>67</v>
      </c>
      <c r="S14" s="253" t="s">
        <v>67</v>
      </c>
      <c r="T14" s="253" t="s">
        <v>67</v>
      </c>
      <c r="U14" s="253" t="s">
        <v>67</v>
      </c>
      <c r="V14" s="253" t="s">
        <v>67</v>
      </c>
      <c r="W14" s="253" t="s">
        <v>132</v>
      </c>
      <c r="X14" s="253" t="s">
        <v>67</v>
      </c>
      <c r="Y14" s="253" t="s">
        <v>67</v>
      </c>
      <c r="Z14" s="253"/>
      <c r="AA14" s="253"/>
      <c r="AB14" s="253"/>
      <c r="AC14" s="253"/>
      <c r="AD14" s="253"/>
      <c r="AE14" s="253"/>
      <c r="AF14" s="253"/>
      <c r="AG14" s="253"/>
      <c r="AH14" s="253"/>
      <c r="AI14" s="253"/>
      <c r="AJ14" s="253"/>
      <c r="AK14" s="253"/>
      <c r="AL14" s="253"/>
      <c r="AM14" s="255"/>
      <c r="AN14" s="253"/>
      <c r="AO14" s="253"/>
      <c r="AP14" s="253"/>
      <c r="AQ14" s="253"/>
      <c r="AR14" s="253"/>
      <c r="AS14" s="255"/>
      <c r="AT14" s="255"/>
      <c r="AU14" s="255"/>
      <c r="AV14" s="255"/>
      <c r="AW14" s="255"/>
      <c r="AX14" s="255"/>
      <c r="AY14" s="254"/>
      <c r="AZ14" s="223">
        <f t="shared" si="5"/>
        <v>17</v>
      </c>
      <c r="BA14" s="223" t="str">
        <f t="shared" si="6"/>
        <v/>
      </c>
      <c r="BB14" s="223">
        <f t="shared" si="7"/>
        <v>1</v>
      </c>
      <c r="BC14" s="223">
        <f t="shared" si="8"/>
        <v>18</v>
      </c>
      <c r="BE14" s="199">
        <f t="shared" si="9"/>
        <v>0</v>
      </c>
      <c r="BF14" s="27"/>
      <c r="BG14" s="200">
        <f t="shared" si="10"/>
        <v>0</v>
      </c>
      <c r="BH14" s="200"/>
      <c r="BI14" s="226"/>
      <c r="BJ14" s="227"/>
      <c r="BK14" s="226"/>
      <c r="BL14" s="228"/>
      <c r="BM14" s="226"/>
      <c r="BN14" s="228"/>
      <c r="BO14" s="226"/>
      <c r="BP14" s="228"/>
      <c r="BQ14" s="227">
        <f t="shared" si="11"/>
        <v>0</v>
      </c>
      <c r="BS14" s="225">
        <f t="shared" si="12"/>
        <v>0</v>
      </c>
      <c r="BT14" s="225">
        <f t="shared" si="13"/>
        <v>0</v>
      </c>
      <c r="BU14" s="225">
        <f t="shared" si="14"/>
        <v>0</v>
      </c>
      <c r="BV14" s="224">
        <f t="shared" si="15"/>
        <v>0</v>
      </c>
      <c r="BW14" s="239">
        <f t="shared" si="16"/>
        <v>0</v>
      </c>
      <c r="BX14" s="199"/>
      <c r="BY14" s="199">
        <f t="shared" si="2"/>
        <v>0</v>
      </c>
      <c r="BZ14" s="199"/>
      <c r="CA14" s="247">
        <f t="shared" si="3"/>
        <v>0</v>
      </c>
      <c r="CB14" s="11" t="s">
        <v>259</v>
      </c>
    </row>
    <row r="15" spans="2:88" ht="15.75" thickBot="1" x14ac:dyDescent="0.3">
      <c r="B15" s="217" t="s">
        <v>98</v>
      </c>
      <c r="C15" s="198"/>
      <c r="D15" s="217" t="str">
        <f>IFERROR(VLOOKUP(B15,'DATOS GRALES 1'!$B$2:$E$91,4,0),"")</f>
        <v>ASIS. ING.</v>
      </c>
      <c r="E15" s="220"/>
      <c r="F15" s="218">
        <f t="shared" si="4"/>
        <v>0</v>
      </c>
      <c r="H15" s="253" t="s">
        <v>67</v>
      </c>
      <c r="I15" s="253" t="s">
        <v>67</v>
      </c>
      <c r="J15" s="253" t="s">
        <v>67</v>
      </c>
      <c r="K15" s="253" t="s">
        <v>67</v>
      </c>
      <c r="L15" s="253" t="s">
        <v>67</v>
      </c>
      <c r="M15" s="253" t="s">
        <v>67</v>
      </c>
      <c r="N15" s="253" t="s">
        <v>67</v>
      </c>
      <c r="O15" s="253" t="s">
        <v>67</v>
      </c>
      <c r="P15" s="253" t="s">
        <v>67</v>
      </c>
      <c r="Q15" s="253" t="s">
        <v>67</v>
      </c>
      <c r="R15" s="253" t="s">
        <v>67</v>
      </c>
      <c r="S15" s="253" t="s">
        <v>67</v>
      </c>
      <c r="T15" s="253" t="s">
        <v>67</v>
      </c>
      <c r="U15" s="253" t="s">
        <v>67</v>
      </c>
      <c r="V15" s="253" t="s">
        <v>67</v>
      </c>
      <c r="W15" s="253" t="s">
        <v>67</v>
      </c>
      <c r="X15" s="253" t="s">
        <v>67</v>
      </c>
      <c r="Y15" s="253" t="s">
        <v>67</v>
      </c>
      <c r="Z15" s="253"/>
      <c r="AA15" s="253"/>
      <c r="AB15" s="253"/>
      <c r="AC15" s="253"/>
      <c r="AD15" s="253"/>
      <c r="AE15" s="253"/>
      <c r="AF15" s="253"/>
      <c r="AG15" s="253"/>
      <c r="AH15" s="253"/>
      <c r="AI15" s="253"/>
      <c r="AJ15" s="253"/>
      <c r="AK15" s="253"/>
      <c r="AL15" s="253"/>
      <c r="AM15" s="255"/>
      <c r="AN15" s="253"/>
      <c r="AO15" s="253"/>
      <c r="AP15" s="253"/>
      <c r="AQ15" s="253"/>
      <c r="AR15" s="253"/>
      <c r="AS15" s="255"/>
      <c r="AT15" s="255"/>
      <c r="AU15" s="255"/>
      <c r="AV15" s="255"/>
      <c r="AW15" s="255"/>
      <c r="AX15" s="255"/>
      <c r="AY15" s="254"/>
      <c r="AZ15" s="223">
        <f t="shared" si="5"/>
        <v>18</v>
      </c>
      <c r="BA15" s="223" t="str">
        <f t="shared" si="6"/>
        <v/>
      </c>
      <c r="BB15" s="223">
        <f t="shared" si="7"/>
        <v>0</v>
      </c>
      <c r="BC15" s="223">
        <f t="shared" si="8"/>
        <v>18</v>
      </c>
      <c r="BE15" s="199">
        <f t="shared" si="9"/>
        <v>0</v>
      </c>
      <c r="BF15" s="27"/>
      <c r="BG15" s="200">
        <f t="shared" si="10"/>
        <v>0</v>
      </c>
      <c r="BH15" s="200"/>
      <c r="BI15" s="226"/>
      <c r="BJ15" s="227"/>
      <c r="BK15" s="226"/>
      <c r="BL15" s="228"/>
      <c r="BM15" s="226"/>
      <c r="BN15" s="228"/>
      <c r="BO15" s="226"/>
      <c r="BP15" s="228"/>
      <c r="BQ15" s="227">
        <f t="shared" si="11"/>
        <v>0</v>
      </c>
      <c r="BS15" s="225">
        <f t="shared" si="12"/>
        <v>0</v>
      </c>
      <c r="BT15" s="225">
        <f t="shared" si="13"/>
        <v>0</v>
      </c>
      <c r="BU15" s="225">
        <f t="shared" si="14"/>
        <v>0</v>
      </c>
      <c r="BV15" s="224">
        <f t="shared" si="15"/>
        <v>0</v>
      </c>
      <c r="BW15" s="239">
        <f t="shared" si="16"/>
        <v>0</v>
      </c>
      <c r="BX15" s="199"/>
      <c r="BY15" s="199">
        <f t="shared" si="2"/>
        <v>0</v>
      </c>
      <c r="BZ15" s="199"/>
      <c r="CA15" s="247">
        <f t="shared" si="3"/>
        <v>0</v>
      </c>
      <c r="CB15" s="11" t="s">
        <v>261</v>
      </c>
    </row>
    <row r="16" spans="2:88" ht="15.75" thickBot="1" x14ac:dyDescent="0.3">
      <c r="B16" s="217" t="s">
        <v>131</v>
      </c>
      <c r="C16" s="198"/>
      <c r="D16" s="217" t="str">
        <f>IFERROR(VLOOKUP(B16,'DATOS GRALES 1'!$B$2:$E$91,4,0),"")</f>
        <v>TOPOGRAFO</v>
      </c>
      <c r="E16" s="220"/>
      <c r="F16" s="218">
        <f t="shared" si="4"/>
        <v>0</v>
      </c>
      <c r="H16" s="253" t="s">
        <v>67</v>
      </c>
      <c r="I16" s="253" t="s">
        <v>67</v>
      </c>
      <c r="J16" s="253" t="s">
        <v>67</v>
      </c>
      <c r="K16" s="253" t="s">
        <v>67</v>
      </c>
      <c r="L16" s="253" t="s">
        <v>67</v>
      </c>
      <c r="M16" s="253" t="s">
        <v>67</v>
      </c>
      <c r="N16" s="253" t="s">
        <v>67</v>
      </c>
      <c r="O16" s="253" t="s">
        <v>67</v>
      </c>
      <c r="P16" s="253" t="s">
        <v>67</v>
      </c>
      <c r="Q16" s="253" t="s">
        <v>67</v>
      </c>
      <c r="R16" s="253" t="s">
        <v>67</v>
      </c>
      <c r="S16" s="253" t="s">
        <v>67</v>
      </c>
      <c r="T16" s="253" t="s">
        <v>67</v>
      </c>
      <c r="U16" s="253" t="s">
        <v>78</v>
      </c>
      <c r="V16" s="253" t="s">
        <v>67</v>
      </c>
      <c r="W16" s="253" t="s">
        <v>67</v>
      </c>
      <c r="X16" s="253" t="s">
        <v>67</v>
      </c>
      <c r="Y16" s="253" t="s">
        <v>67</v>
      </c>
      <c r="Z16" s="253"/>
      <c r="AA16" s="253"/>
      <c r="AB16" s="253"/>
      <c r="AC16" s="253"/>
      <c r="AD16" s="253"/>
      <c r="AE16" s="253"/>
      <c r="AF16" s="253"/>
      <c r="AG16" s="253"/>
      <c r="AH16" s="253"/>
      <c r="AI16" s="253"/>
      <c r="AJ16" s="253"/>
      <c r="AK16" s="253"/>
      <c r="AL16" s="253"/>
      <c r="AM16" s="255"/>
      <c r="AN16" s="253"/>
      <c r="AO16" s="253"/>
      <c r="AP16" s="253"/>
      <c r="AQ16" s="253"/>
      <c r="AR16" s="253"/>
      <c r="AS16" s="255"/>
      <c r="AT16" s="255"/>
      <c r="AU16" s="255"/>
      <c r="AV16" s="255"/>
      <c r="AW16" s="255"/>
      <c r="AX16" s="255"/>
      <c r="AY16" s="254"/>
      <c r="AZ16" s="223">
        <f t="shared" si="5"/>
        <v>17</v>
      </c>
      <c r="BA16" s="223">
        <f t="shared" si="6"/>
        <v>1</v>
      </c>
      <c r="BB16" s="223">
        <f t="shared" si="7"/>
        <v>0</v>
      </c>
      <c r="BC16" s="223">
        <f t="shared" si="8"/>
        <v>18</v>
      </c>
      <c r="BE16" s="199">
        <f t="shared" si="9"/>
        <v>0</v>
      </c>
      <c r="BF16" s="27"/>
      <c r="BG16" s="200">
        <f t="shared" si="10"/>
        <v>0</v>
      </c>
      <c r="BH16" s="200"/>
      <c r="BI16" s="226"/>
      <c r="BJ16" s="227"/>
      <c r="BK16" s="226"/>
      <c r="BL16" s="228"/>
      <c r="BM16" s="226"/>
      <c r="BN16" s="228"/>
      <c r="BO16" s="226"/>
      <c r="BP16" s="228"/>
      <c r="BQ16" s="227">
        <f t="shared" si="11"/>
        <v>0</v>
      </c>
      <c r="BS16" s="225">
        <f t="shared" si="12"/>
        <v>0</v>
      </c>
      <c r="BT16" s="225">
        <f t="shared" si="13"/>
        <v>0</v>
      </c>
      <c r="BU16" s="225">
        <f t="shared" si="14"/>
        <v>0</v>
      </c>
      <c r="BV16" s="224">
        <f t="shared" si="15"/>
        <v>0</v>
      </c>
      <c r="BW16" s="239">
        <f t="shared" si="16"/>
        <v>0</v>
      </c>
      <c r="BX16" s="199"/>
      <c r="BY16" s="199">
        <f t="shared" si="2"/>
        <v>0</v>
      </c>
      <c r="BZ16" s="199"/>
      <c r="CA16" s="247">
        <f t="shared" si="3"/>
        <v>0</v>
      </c>
      <c r="CB16" s="11" t="s">
        <v>261</v>
      </c>
    </row>
    <row r="17" spans="2:82" ht="15.75" thickBot="1" x14ac:dyDescent="0.3">
      <c r="B17" s="217" t="s">
        <v>100</v>
      </c>
      <c r="C17" s="198"/>
      <c r="D17" s="217" t="str">
        <f>IFERROR(VLOOKUP(B17,'DATOS GRALES 1'!$B$2:$E$91,4,0),"")</f>
        <v>MAESTRO OBRA</v>
      </c>
      <c r="E17" s="220"/>
      <c r="F17" s="218">
        <f t="shared" si="4"/>
        <v>0</v>
      </c>
      <c r="H17" s="253" t="s">
        <v>67</v>
      </c>
      <c r="I17" s="253" t="s">
        <v>67</v>
      </c>
      <c r="J17" s="253" t="s">
        <v>67</v>
      </c>
      <c r="K17" s="253" t="s">
        <v>67</v>
      </c>
      <c r="L17" s="253" t="s">
        <v>67</v>
      </c>
      <c r="M17" s="253" t="s">
        <v>67</v>
      </c>
      <c r="N17" s="253" t="s">
        <v>67</v>
      </c>
      <c r="O17" s="253" t="s">
        <v>67</v>
      </c>
      <c r="P17" s="253" t="s">
        <v>67</v>
      </c>
      <c r="Q17" s="253" t="s">
        <v>67</v>
      </c>
      <c r="R17" s="253" t="s">
        <v>67</v>
      </c>
      <c r="S17" s="253" t="s">
        <v>67</v>
      </c>
      <c r="T17" s="253" t="s">
        <v>67</v>
      </c>
      <c r="U17" s="253" t="s">
        <v>67</v>
      </c>
      <c r="V17" s="253" t="s">
        <v>67</v>
      </c>
      <c r="W17" s="253" t="s">
        <v>67</v>
      </c>
      <c r="X17" s="253" t="s">
        <v>67</v>
      </c>
      <c r="Y17" s="253" t="s">
        <v>67</v>
      </c>
      <c r="Z17" s="253"/>
      <c r="AA17" s="253"/>
      <c r="AB17" s="253"/>
      <c r="AC17" s="253"/>
      <c r="AD17" s="253"/>
      <c r="AE17" s="253"/>
      <c r="AF17" s="253"/>
      <c r="AG17" s="253"/>
      <c r="AH17" s="253"/>
      <c r="AI17" s="253"/>
      <c r="AJ17" s="253"/>
      <c r="AK17" s="253"/>
      <c r="AL17" s="253"/>
      <c r="AM17" s="255"/>
      <c r="AN17" s="253"/>
      <c r="AO17" s="253"/>
      <c r="AP17" s="253"/>
      <c r="AQ17" s="253"/>
      <c r="AR17" s="253"/>
      <c r="AS17" s="255"/>
      <c r="AT17" s="255"/>
      <c r="AU17" s="255"/>
      <c r="AV17" s="255"/>
      <c r="AW17" s="255"/>
      <c r="AX17" s="255"/>
      <c r="AY17" s="254"/>
      <c r="AZ17" s="223">
        <f t="shared" si="5"/>
        <v>18</v>
      </c>
      <c r="BA17" s="223" t="str">
        <f t="shared" si="6"/>
        <v/>
      </c>
      <c r="BB17" s="223">
        <f t="shared" si="7"/>
        <v>0</v>
      </c>
      <c r="BC17" s="223">
        <f t="shared" si="8"/>
        <v>18</v>
      </c>
      <c r="BE17" s="199">
        <f t="shared" si="9"/>
        <v>0</v>
      </c>
      <c r="BF17" s="27"/>
      <c r="BG17" s="200">
        <f t="shared" si="10"/>
        <v>0</v>
      </c>
      <c r="BH17" s="200"/>
      <c r="BI17" s="226"/>
      <c r="BJ17" s="227"/>
      <c r="BK17" s="226"/>
      <c r="BL17" s="228"/>
      <c r="BM17" s="226"/>
      <c r="BN17" s="228"/>
      <c r="BO17" s="226"/>
      <c r="BP17" s="228"/>
      <c r="BQ17" s="227">
        <f t="shared" si="11"/>
        <v>0</v>
      </c>
      <c r="BS17" s="225">
        <f t="shared" si="12"/>
        <v>0</v>
      </c>
      <c r="BT17" s="225">
        <f t="shared" si="13"/>
        <v>0</v>
      </c>
      <c r="BU17" s="225">
        <f t="shared" si="14"/>
        <v>0</v>
      </c>
      <c r="BV17" s="224">
        <f t="shared" si="15"/>
        <v>0</v>
      </c>
      <c r="BW17" s="239">
        <f t="shared" si="16"/>
        <v>0</v>
      </c>
      <c r="BX17" s="199"/>
      <c r="BY17" s="199">
        <f t="shared" si="2"/>
        <v>0</v>
      </c>
      <c r="BZ17" s="199"/>
      <c r="CA17" s="247">
        <f t="shared" si="3"/>
        <v>0</v>
      </c>
      <c r="CB17" s="11" t="s">
        <v>258</v>
      </c>
    </row>
    <row r="18" spans="2:82" ht="15.75" thickBot="1" x14ac:dyDescent="0.3">
      <c r="B18" s="217" t="s">
        <v>92</v>
      </c>
      <c r="C18" s="198"/>
      <c r="D18" s="217" t="str">
        <f>IFERROR(VLOOKUP(B18,'DATOS GRALES 1'!$B$2:$E$91,4,0),"")</f>
        <v>LOGISTICO</v>
      </c>
      <c r="E18" s="220">
        <v>3000</v>
      </c>
      <c r="F18" s="218">
        <f t="shared" si="4"/>
        <v>100</v>
      </c>
      <c r="H18" s="253" t="s">
        <v>67</v>
      </c>
      <c r="I18" s="253" t="s">
        <v>67</v>
      </c>
      <c r="J18" s="253" t="s">
        <v>67</v>
      </c>
      <c r="K18" s="253" t="s">
        <v>67</v>
      </c>
      <c r="L18" s="253" t="s">
        <v>67</v>
      </c>
      <c r="M18" s="253" t="s">
        <v>67</v>
      </c>
      <c r="N18" s="253" t="s">
        <v>67</v>
      </c>
      <c r="O18" s="253" t="s">
        <v>67</v>
      </c>
      <c r="P18" s="253" t="s">
        <v>67</v>
      </c>
      <c r="Q18" s="253" t="s">
        <v>67</v>
      </c>
      <c r="R18" s="253" t="s">
        <v>67</v>
      </c>
      <c r="S18" s="253" t="s">
        <v>67</v>
      </c>
      <c r="T18" s="253" t="s">
        <v>67</v>
      </c>
      <c r="U18" s="253" t="s">
        <v>67</v>
      </c>
      <c r="V18" s="253" t="s">
        <v>67</v>
      </c>
      <c r="W18" s="253" t="s">
        <v>67</v>
      </c>
      <c r="X18" s="253" t="s">
        <v>67</v>
      </c>
      <c r="Y18" s="253" t="s">
        <v>67</v>
      </c>
      <c r="Z18" s="253"/>
      <c r="AA18" s="253"/>
      <c r="AB18" s="253"/>
      <c r="AC18" s="253"/>
      <c r="AD18" s="253"/>
      <c r="AE18" s="253"/>
      <c r="AF18" s="253"/>
      <c r="AG18" s="253"/>
      <c r="AH18" s="253"/>
      <c r="AI18" s="253"/>
      <c r="AJ18" s="253"/>
      <c r="AK18" s="253"/>
      <c r="AL18" s="253"/>
      <c r="AM18" s="255"/>
      <c r="AN18" s="253"/>
      <c r="AO18" s="253"/>
      <c r="AP18" s="253"/>
      <c r="AQ18" s="253"/>
      <c r="AR18" s="253"/>
      <c r="AS18" s="255"/>
      <c r="AT18" s="255"/>
      <c r="AU18" s="255"/>
      <c r="AV18" s="255"/>
      <c r="AW18" s="255"/>
      <c r="AX18" s="255"/>
      <c r="AY18" s="254"/>
      <c r="AZ18" s="223">
        <f t="shared" si="5"/>
        <v>18</v>
      </c>
      <c r="BA18" s="223" t="str">
        <f t="shared" si="6"/>
        <v/>
      </c>
      <c r="BB18" s="223">
        <f t="shared" si="7"/>
        <v>0</v>
      </c>
      <c r="BC18" s="223">
        <f t="shared" si="8"/>
        <v>18</v>
      </c>
      <c r="BE18" s="199">
        <f t="shared" si="9"/>
        <v>1800</v>
      </c>
      <c r="BF18" s="27"/>
      <c r="BG18" s="200">
        <f t="shared" si="10"/>
        <v>0</v>
      </c>
      <c r="BH18" s="200"/>
      <c r="BI18" s="226"/>
      <c r="BJ18" s="227"/>
      <c r="BK18" s="226"/>
      <c r="BL18" s="228"/>
      <c r="BM18" s="226"/>
      <c r="BN18" s="228"/>
      <c r="BO18" s="226"/>
      <c r="BP18" s="228"/>
      <c r="BQ18" s="227">
        <f t="shared" si="11"/>
        <v>0</v>
      </c>
      <c r="BS18" s="225">
        <f t="shared" si="12"/>
        <v>0</v>
      </c>
      <c r="BT18" s="225">
        <f t="shared" si="13"/>
        <v>0</v>
      </c>
      <c r="BU18" s="225">
        <f t="shared" si="14"/>
        <v>0</v>
      </c>
      <c r="BV18" s="224">
        <f t="shared" si="15"/>
        <v>0</v>
      </c>
      <c r="BW18" s="240">
        <f t="shared" si="16"/>
        <v>0</v>
      </c>
      <c r="BX18" s="199"/>
      <c r="BY18" s="199">
        <f t="shared" si="2"/>
        <v>0</v>
      </c>
      <c r="BZ18" s="199"/>
      <c r="CA18" s="248">
        <f t="shared" si="3"/>
        <v>1800</v>
      </c>
      <c r="CB18" s="11" t="s">
        <v>261</v>
      </c>
      <c r="CD18" t="str">
        <f t="shared" ref="CD18" si="17">IF(CB18=$CF$9,(E18*$CG$9/2),IF(CB18=$CF$11,(E18*$CG$11/2),""))</f>
        <v/>
      </c>
    </row>
    <row r="19" spans="2:82" ht="15.75" thickTop="1" x14ac:dyDescent="0.25">
      <c r="B19" s="198"/>
      <c r="C19" s="198"/>
      <c r="D19" s="198"/>
      <c r="H19" s="222"/>
      <c r="I19" s="222"/>
      <c r="J19" s="222"/>
      <c r="K19" s="222"/>
      <c r="L19" s="222"/>
      <c r="M19" s="222"/>
      <c r="N19" s="222"/>
      <c r="O19" s="222"/>
      <c r="P19" s="222"/>
      <c r="Q19" s="222"/>
      <c r="R19" s="222"/>
      <c r="S19" s="222"/>
      <c r="T19" s="222"/>
      <c r="U19" s="222"/>
      <c r="V19" s="222"/>
      <c r="W19" s="222"/>
      <c r="X19" s="222"/>
      <c r="Y19" s="222"/>
      <c r="Z19" s="222"/>
      <c r="AA19" s="222"/>
      <c r="AB19" s="222"/>
      <c r="AC19" s="222"/>
      <c r="AD19" s="222"/>
      <c r="AE19" s="222"/>
      <c r="AF19" s="222"/>
      <c r="AG19" s="222"/>
      <c r="AH19" s="222"/>
      <c r="AI19" s="222"/>
      <c r="AJ19" s="222"/>
      <c r="AK19" s="222"/>
      <c r="AL19" s="222"/>
      <c r="AM19" s="256"/>
      <c r="AN19" s="222"/>
      <c r="AO19" s="222"/>
      <c r="AP19" s="222"/>
      <c r="AQ19" s="222"/>
      <c r="AR19" s="222"/>
      <c r="AS19" s="256"/>
      <c r="AT19" s="256"/>
      <c r="AU19" s="256"/>
      <c r="AV19" s="256"/>
      <c r="AW19" s="256"/>
      <c r="AX19" s="256"/>
      <c r="AZ19" s="196" t="str">
        <f t="shared" si="5"/>
        <v/>
      </c>
      <c r="BA19" s="196" t="str">
        <f t="shared" si="6"/>
        <v/>
      </c>
      <c r="BB19" s="196"/>
      <c r="BC19" s="196" t="str">
        <f t="shared" si="8"/>
        <v/>
      </c>
    </row>
    <row r="20" spans="2:82" ht="16.5" thickBot="1" x14ac:dyDescent="0.3">
      <c r="B20" s="211" t="s">
        <v>83</v>
      </c>
      <c r="C20" s="212"/>
      <c r="D20" s="212"/>
      <c r="E20" s="213"/>
      <c r="F20" s="213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02"/>
      <c r="X20" s="202"/>
      <c r="Y20" s="202"/>
      <c r="Z20" s="202"/>
      <c r="AA20" s="202"/>
      <c r="AB20" s="202"/>
      <c r="AC20" s="202"/>
      <c r="AD20" s="202"/>
      <c r="AE20" s="202"/>
      <c r="AF20" s="202"/>
      <c r="AG20" s="202"/>
      <c r="AH20" s="202"/>
      <c r="AI20" s="202"/>
      <c r="AJ20" s="202"/>
      <c r="AK20" s="202"/>
      <c r="AL20" s="202"/>
      <c r="AM20" s="256"/>
      <c r="AN20" s="202"/>
      <c r="AO20" s="202"/>
      <c r="AP20" s="202"/>
      <c r="AQ20" s="202"/>
      <c r="AR20" s="202"/>
      <c r="AS20" s="256"/>
      <c r="AT20" s="256"/>
      <c r="AU20" s="256"/>
      <c r="AV20" s="256"/>
      <c r="AW20" s="256"/>
      <c r="AX20" s="256"/>
      <c r="AY20" s="201"/>
      <c r="AZ20" s="203" t="str">
        <f t="shared" si="5"/>
        <v/>
      </c>
      <c r="BA20" s="203" t="str">
        <f t="shared" si="6"/>
        <v/>
      </c>
      <c r="BB20" s="203"/>
      <c r="BC20" s="203" t="str">
        <f t="shared" si="8"/>
        <v/>
      </c>
      <c r="BD20" s="201"/>
      <c r="BE20" s="201"/>
      <c r="BF20" s="201"/>
      <c r="BG20" s="201"/>
      <c r="BI20" s="201"/>
      <c r="BJ20" s="201"/>
      <c r="BK20" s="201"/>
      <c r="BL20" s="201"/>
      <c r="BM20" s="201"/>
      <c r="BN20" s="201"/>
      <c r="BO20" s="201"/>
      <c r="BP20" s="201"/>
      <c r="BQ20" s="201"/>
      <c r="BS20" s="201"/>
      <c r="BT20" s="201"/>
      <c r="BU20" s="201"/>
      <c r="BV20" s="201"/>
      <c r="BW20" s="201"/>
      <c r="BY20" s="201"/>
      <c r="CA20" s="201"/>
    </row>
    <row r="21" spans="2:82" ht="16.5" thickTop="1" thickBot="1" x14ac:dyDescent="0.3">
      <c r="B21" s="217" t="s">
        <v>18</v>
      </c>
      <c r="C21" s="198"/>
      <c r="D21" s="217" t="str">
        <f>IFERROR(VLOOKUP(B21,'DATOS GRALES 1'!$B$2:$E$91,4,0),"")</f>
        <v>PEON</v>
      </c>
      <c r="E21" s="251">
        <f>IF(D21="",0,IF(D21="PEON",3300,4200))</f>
        <v>3300</v>
      </c>
      <c r="F21" s="220">
        <f>IFERROR((E21/30),"")</f>
        <v>110</v>
      </c>
      <c r="H21" s="253" t="s">
        <v>67</v>
      </c>
      <c r="I21" s="253" t="s">
        <v>67</v>
      </c>
      <c r="J21" s="253" t="s">
        <v>67</v>
      </c>
      <c r="K21" s="253" t="s">
        <v>67</v>
      </c>
      <c r="L21" s="253" t="s">
        <v>67</v>
      </c>
      <c r="M21" s="253" t="s">
        <v>67</v>
      </c>
      <c r="N21" s="253" t="s">
        <v>67</v>
      </c>
      <c r="O21" s="253" t="s">
        <v>67</v>
      </c>
      <c r="P21" s="253" t="s">
        <v>67</v>
      </c>
      <c r="Q21" s="253" t="s">
        <v>67</v>
      </c>
      <c r="R21" s="253" t="s">
        <v>67</v>
      </c>
      <c r="S21" s="253" t="s">
        <v>67</v>
      </c>
      <c r="T21" s="253" t="s">
        <v>67</v>
      </c>
      <c r="U21" s="253" t="s">
        <v>67</v>
      </c>
      <c r="V21" s="253" t="s">
        <v>67</v>
      </c>
      <c r="W21" s="253" t="s">
        <v>67</v>
      </c>
      <c r="X21" s="253" t="s">
        <v>67</v>
      </c>
      <c r="Y21" s="253" t="s">
        <v>67</v>
      </c>
      <c r="Z21" s="253"/>
      <c r="AA21" s="253"/>
      <c r="AB21" s="253"/>
      <c r="AC21" s="253"/>
      <c r="AD21" s="253"/>
      <c r="AE21" s="253"/>
      <c r="AF21" s="253"/>
      <c r="AG21" s="253"/>
      <c r="AH21" s="253"/>
      <c r="AI21" s="253"/>
      <c r="AJ21" s="253"/>
      <c r="AK21" s="253"/>
      <c r="AL21" s="253"/>
      <c r="AM21" s="255"/>
      <c r="AN21" s="253"/>
      <c r="AO21" s="253"/>
      <c r="AP21" s="253"/>
      <c r="AQ21" s="253"/>
      <c r="AR21" s="253"/>
      <c r="AS21" s="255"/>
      <c r="AT21" s="255"/>
      <c r="AU21" s="255"/>
      <c r="AV21" s="255"/>
      <c r="AW21" s="255"/>
      <c r="AX21" s="255"/>
      <c r="AZ21" s="223">
        <f t="shared" si="5"/>
        <v>18</v>
      </c>
      <c r="BA21" s="223" t="str">
        <f t="shared" si="6"/>
        <v/>
      </c>
      <c r="BB21" s="223">
        <f t="shared" si="7"/>
        <v>0</v>
      </c>
      <c r="BC21" s="223">
        <f t="shared" si="8"/>
        <v>18</v>
      </c>
      <c r="BE21" s="199">
        <f>IFERROR((F21/2*BB21)+(AZ21*F21),"")</f>
        <v>1980</v>
      </c>
      <c r="BF21" s="27">
        <f>_xlfn.XLOOKUP(B21,'TAREO HORAS EXTRAS'!$C$15:$C$51,'TAREO HORAS EXTRAS'!$AO$15:$AO$51,0)</f>
        <v>0</v>
      </c>
      <c r="BG21" s="200">
        <f>IFERROR((F21/8*BF21),"")</f>
        <v>0</v>
      </c>
      <c r="BH21" s="200"/>
      <c r="BI21" s="226"/>
      <c r="BJ21" s="228"/>
      <c r="BK21" s="226"/>
      <c r="BL21" s="228"/>
      <c r="BM21" s="226"/>
      <c r="BN21" s="228"/>
      <c r="BO21" s="226"/>
      <c r="BP21" s="228"/>
      <c r="BQ21" s="227">
        <f>BJ21+BL21+BN21+BP21</f>
        <v>0</v>
      </c>
      <c r="BS21" s="241">
        <f>IF(CB21=$CF$9,(E21*$CG$9/2),IF(CB21=$CF$11,(E21*$CG$11/2),0))</f>
        <v>148.5</v>
      </c>
      <c r="BT21" s="225">
        <f>IF(CB21=$CF$9,(E21*$CJ$9/2),IF(CB21=$CF$11,(E21*$CJ$9/2),0))</f>
        <v>33</v>
      </c>
      <c r="BU21" s="224">
        <f>IF(CB21=$CF$9,(E21*$CG$9/2),IF(CB21=$CF$11,(E21*$CG$11/2),0))</f>
        <v>148.5</v>
      </c>
      <c r="BV21" s="224">
        <f>IF(CB21=$CF$9,(E21*$CJ$9/2),IF(CB21=$CF$11,(E21*$CJ$9/2),0))</f>
        <v>33</v>
      </c>
      <c r="BW21" s="242">
        <f>SUM(BS21:BV21)</f>
        <v>363</v>
      </c>
      <c r="BX21" s="214"/>
      <c r="BY21" s="199">
        <f>BQ21+BW21</f>
        <v>363</v>
      </c>
      <c r="BZ21" s="199"/>
      <c r="CA21" s="246">
        <f>IFERROR((BE21-BW21),0)</f>
        <v>1617</v>
      </c>
      <c r="CB21" s="11" t="s">
        <v>259</v>
      </c>
    </row>
    <row r="22" spans="2:82" ht="15.75" thickBot="1" x14ac:dyDescent="0.3">
      <c r="B22" s="217" t="s">
        <v>16</v>
      </c>
      <c r="C22" s="198"/>
      <c r="D22" s="217" t="str">
        <f>IFERROR(VLOOKUP(B22,'DATOS GRALES 1'!$B$2:$E$91,4,0),"")</f>
        <v>PEON</v>
      </c>
      <c r="E22" s="251">
        <f t="shared" ref="E22:E61" si="18">IF(D22="",0,IF(D22="PEON",3300,4200))</f>
        <v>3300</v>
      </c>
      <c r="F22" s="220">
        <f t="shared" ref="F22:F61" si="19">IFERROR((E22/30),"")</f>
        <v>110</v>
      </c>
      <c r="H22" s="253" t="s">
        <v>67</v>
      </c>
      <c r="I22" s="253" t="s">
        <v>67</v>
      </c>
      <c r="J22" s="253" t="s">
        <v>67</v>
      </c>
      <c r="K22" s="253" t="s">
        <v>67</v>
      </c>
      <c r="L22" s="253" t="s">
        <v>67</v>
      </c>
      <c r="M22" s="253" t="s">
        <v>67</v>
      </c>
      <c r="N22" s="253" t="s">
        <v>78</v>
      </c>
      <c r="O22" s="253" t="s">
        <v>67</v>
      </c>
      <c r="P22" s="253" t="s">
        <v>67</v>
      </c>
      <c r="Q22" s="253" t="s">
        <v>67</v>
      </c>
      <c r="R22" s="253" t="s">
        <v>67</v>
      </c>
      <c r="S22" s="253" t="s">
        <v>67</v>
      </c>
      <c r="T22" s="253" t="s">
        <v>78</v>
      </c>
      <c r="U22" s="253" t="s">
        <v>67</v>
      </c>
      <c r="V22" s="253" t="s">
        <v>67</v>
      </c>
      <c r="W22" s="253" t="s">
        <v>67</v>
      </c>
      <c r="X22" s="253" t="s">
        <v>67</v>
      </c>
      <c r="Y22" s="253" t="s">
        <v>67</v>
      </c>
      <c r="Z22" s="253"/>
      <c r="AA22" s="253"/>
      <c r="AB22" s="253"/>
      <c r="AC22" s="253"/>
      <c r="AD22" s="253"/>
      <c r="AE22" s="253"/>
      <c r="AF22" s="253"/>
      <c r="AG22" s="253"/>
      <c r="AH22" s="253"/>
      <c r="AI22" s="253"/>
      <c r="AJ22" s="253"/>
      <c r="AK22" s="253"/>
      <c r="AL22" s="253"/>
      <c r="AM22" s="255"/>
      <c r="AN22" s="253"/>
      <c r="AO22" s="253"/>
      <c r="AP22" s="253"/>
      <c r="AQ22" s="253"/>
      <c r="AR22" s="253"/>
      <c r="AS22" s="255"/>
      <c r="AT22" s="255"/>
      <c r="AU22" s="255"/>
      <c r="AV22" s="255"/>
      <c r="AW22" s="255"/>
      <c r="AX22" s="255"/>
      <c r="AZ22" s="223">
        <f t="shared" si="5"/>
        <v>16</v>
      </c>
      <c r="BA22" s="223">
        <f t="shared" si="6"/>
        <v>2</v>
      </c>
      <c r="BB22" s="223">
        <f t="shared" si="7"/>
        <v>0</v>
      </c>
      <c r="BC22" s="223">
        <f t="shared" si="8"/>
        <v>18</v>
      </c>
      <c r="BE22" s="199">
        <f t="shared" ref="BE22:BE61" si="20">IFERROR((F22/2*BB22)+(AZ22*F22),"")</f>
        <v>1760</v>
      </c>
      <c r="BF22" s="27">
        <f>_xlfn.XLOOKUP(B22,'TAREO HORAS EXTRAS'!$C$15:$C$51,'TAREO HORAS EXTRAS'!$AO$15:$AO$51,0)</f>
        <v>0</v>
      </c>
      <c r="BG22" s="200">
        <f t="shared" ref="BG22:BG61" si="21">IFERROR((F22/8*BF22),"")</f>
        <v>0</v>
      </c>
      <c r="BH22" s="200"/>
      <c r="BI22" s="226"/>
      <c r="BJ22" s="228"/>
      <c r="BK22" s="226"/>
      <c r="BL22" s="228"/>
      <c r="BM22" s="226"/>
      <c r="BN22" s="228"/>
      <c r="BO22" s="226"/>
      <c r="BP22" s="228"/>
      <c r="BQ22" s="227">
        <f t="shared" ref="BQ22:BQ60" si="22">BJ22+BL22+BN22+BP22</f>
        <v>0</v>
      </c>
      <c r="BS22" s="241">
        <f t="shared" ref="BS22:BS61" si="23">IF(CB22=$CF$9,(E22*$CG$9/2),IF(CB22=$CF$11,(E22*$CG$11/2),0))</f>
        <v>214.5</v>
      </c>
      <c r="BT22" s="225">
        <f t="shared" ref="BT22:BT61" si="24">IF(CB22=$CF$9,(E22*$CJ$9/2),IF(CB22=$CF$11,(E22*$CJ$9/2),0))</f>
        <v>33</v>
      </c>
      <c r="BU22" s="224">
        <f t="shared" ref="BU22:BU61" si="25">IF(CB22=$CF$9,(E22*$CG$9/2),IF(CB22=$CF$11,(E22*$CG$11/2),0))</f>
        <v>214.5</v>
      </c>
      <c r="BV22" s="224">
        <f t="shared" ref="BV22:BV61" si="26">IF(CB22=$CF$9,(E22*$CJ$9/2),IF(CB22=$CF$11,(E22*$CJ$9/2),0))</f>
        <v>33</v>
      </c>
      <c r="BW22" s="243">
        <f t="shared" ref="BW22:BW61" si="27">SUM(BS22:BV22)</f>
        <v>495</v>
      </c>
      <c r="BX22" s="214"/>
      <c r="BY22" s="199">
        <f t="shared" ref="BY22:BY61" si="28">BQ22+BW22</f>
        <v>495</v>
      </c>
      <c r="BZ22" s="199"/>
      <c r="CA22" s="247">
        <f>IFERROR((BE22-BW22),0)</f>
        <v>1265</v>
      </c>
      <c r="CB22" s="11" t="s">
        <v>258</v>
      </c>
    </row>
    <row r="23" spans="2:82" ht="15.75" thickBot="1" x14ac:dyDescent="0.3">
      <c r="B23" s="217" t="s">
        <v>17</v>
      </c>
      <c r="C23" s="198"/>
      <c r="D23" s="217" t="str">
        <f>IFERROR(VLOOKUP(B23,'DATOS GRALES 1'!$B$2:$E$91,4,0),"")</f>
        <v>PEON</v>
      </c>
      <c r="E23" s="251">
        <f t="shared" si="18"/>
        <v>3300</v>
      </c>
      <c r="F23" s="220">
        <f t="shared" si="19"/>
        <v>110</v>
      </c>
      <c r="H23" s="253" t="s">
        <v>67</v>
      </c>
      <c r="I23" s="253" t="s">
        <v>67</v>
      </c>
      <c r="J23" s="253" t="s">
        <v>78</v>
      </c>
      <c r="K23" s="253" t="s">
        <v>67</v>
      </c>
      <c r="L23" s="253" t="s">
        <v>67</v>
      </c>
      <c r="M23" s="253" t="s">
        <v>78</v>
      </c>
      <c r="N23" s="253" t="s">
        <v>67</v>
      </c>
      <c r="O23" s="253" t="s">
        <v>67</v>
      </c>
      <c r="P23" s="253" t="s">
        <v>67</v>
      </c>
      <c r="Q23" s="253" t="s">
        <v>67</v>
      </c>
      <c r="R23" s="253" t="s">
        <v>67</v>
      </c>
      <c r="S23" s="253" t="s">
        <v>67</v>
      </c>
      <c r="T23" s="253" t="s">
        <v>67</v>
      </c>
      <c r="U23" s="253" t="s">
        <v>67</v>
      </c>
      <c r="V23" s="253" t="s">
        <v>67</v>
      </c>
      <c r="W23" s="253" t="s">
        <v>67</v>
      </c>
      <c r="X23" s="253" t="s">
        <v>67</v>
      </c>
      <c r="Y23" s="253" t="s">
        <v>67</v>
      </c>
      <c r="Z23" s="253"/>
      <c r="AA23" s="253"/>
      <c r="AB23" s="253"/>
      <c r="AC23" s="253"/>
      <c r="AD23" s="253"/>
      <c r="AE23" s="253"/>
      <c r="AF23" s="253"/>
      <c r="AG23" s="253"/>
      <c r="AH23" s="253"/>
      <c r="AI23" s="253"/>
      <c r="AJ23" s="253"/>
      <c r="AK23" s="253"/>
      <c r="AL23" s="253"/>
      <c r="AM23" s="255"/>
      <c r="AN23" s="253"/>
      <c r="AO23" s="253"/>
      <c r="AP23" s="253"/>
      <c r="AQ23" s="253"/>
      <c r="AR23" s="253"/>
      <c r="AS23" s="255"/>
      <c r="AT23" s="255"/>
      <c r="AU23" s="255"/>
      <c r="AV23" s="255"/>
      <c r="AW23" s="255"/>
      <c r="AX23" s="255"/>
      <c r="AZ23" s="223">
        <f t="shared" si="5"/>
        <v>16</v>
      </c>
      <c r="BA23" s="223">
        <f t="shared" si="6"/>
        <v>2</v>
      </c>
      <c r="BB23" s="223">
        <f t="shared" si="7"/>
        <v>0</v>
      </c>
      <c r="BC23" s="223">
        <f t="shared" si="8"/>
        <v>18</v>
      </c>
      <c r="BE23" s="199">
        <f t="shared" si="20"/>
        <v>1760</v>
      </c>
      <c r="BF23" s="27">
        <f>_xlfn.XLOOKUP(B23,'TAREO HORAS EXTRAS'!$C$15:$C$51,'TAREO HORAS EXTRAS'!$AO$15:$AO$51,0)</f>
        <v>7</v>
      </c>
      <c r="BG23" s="200">
        <f t="shared" si="21"/>
        <v>96.25</v>
      </c>
      <c r="BH23" s="200"/>
      <c r="BI23" s="226"/>
      <c r="BJ23" s="228"/>
      <c r="BK23" s="226"/>
      <c r="BL23" s="228"/>
      <c r="BM23" s="226"/>
      <c r="BN23" s="228"/>
      <c r="BO23" s="226"/>
      <c r="BP23" s="228"/>
      <c r="BQ23" s="227">
        <f t="shared" si="22"/>
        <v>0</v>
      </c>
      <c r="BS23" s="241">
        <f t="shared" si="23"/>
        <v>214.5</v>
      </c>
      <c r="BT23" s="225">
        <f t="shared" si="24"/>
        <v>33</v>
      </c>
      <c r="BU23" s="224">
        <f t="shared" si="25"/>
        <v>214.5</v>
      </c>
      <c r="BV23" s="224">
        <f t="shared" si="26"/>
        <v>33</v>
      </c>
      <c r="BW23" s="243">
        <f t="shared" si="27"/>
        <v>495</v>
      </c>
      <c r="BX23" s="214"/>
      <c r="BY23" s="199">
        <f t="shared" si="28"/>
        <v>495</v>
      </c>
      <c r="BZ23" s="199"/>
      <c r="CA23" s="247">
        <f t="shared" ref="CA23:CA61" si="29">IFERROR((BE23-BW23),0)</f>
        <v>1265</v>
      </c>
      <c r="CB23" s="11" t="s">
        <v>258</v>
      </c>
    </row>
    <row r="24" spans="2:82" ht="15.75" thickBot="1" x14ac:dyDescent="0.3">
      <c r="B24" s="217" t="s">
        <v>22</v>
      </c>
      <c r="C24" s="198"/>
      <c r="D24" s="217" t="str">
        <f>IFERROR(VLOOKUP(B24,'DATOS GRALES 1'!$B$2:$E$91,4,0),"")</f>
        <v>PEON</v>
      </c>
      <c r="E24" s="251">
        <f t="shared" si="18"/>
        <v>3300</v>
      </c>
      <c r="F24" s="220">
        <f t="shared" si="19"/>
        <v>110</v>
      </c>
      <c r="H24" s="253" t="s">
        <v>67</v>
      </c>
      <c r="I24" s="253" t="s">
        <v>67</v>
      </c>
      <c r="J24" s="253" t="s">
        <v>78</v>
      </c>
      <c r="K24" s="253" t="s">
        <v>67</v>
      </c>
      <c r="L24" s="253" t="s">
        <v>67</v>
      </c>
      <c r="M24" s="253" t="s">
        <v>78</v>
      </c>
      <c r="N24" s="253" t="s">
        <v>67</v>
      </c>
      <c r="O24" s="253" t="s">
        <v>67</v>
      </c>
      <c r="P24" s="253" t="s">
        <v>67</v>
      </c>
      <c r="Q24" s="253" t="s">
        <v>67</v>
      </c>
      <c r="R24" s="253" t="s">
        <v>67</v>
      </c>
      <c r="S24" s="253" t="s">
        <v>67</v>
      </c>
      <c r="T24" s="253" t="s">
        <v>67</v>
      </c>
      <c r="U24" s="253" t="s">
        <v>67</v>
      </c>
      <c r="V24" s="253" t="s">
        <v>67</v>
      </c>
      <c r="W24" s="253" t="s">
        <v>67</v>
      </c>
      <c r="X24" s="253" t="s">
        <v>67</v>
      </c>
      <c r="Y24" s="253" t="s">
        <v>67</v>
      </c>
      <c r="Z24" s="253"/>
      <c r="AA24" s="253"/>
      <c r="AB24" s="253"/>
      <c r="AC24" s="253"/>
      <c r="AD24" s="253"/>
      <c r="AE24" s="253"/>
      <c r="AF24" s="253"/>
      <c r="AG24" s="253"/>
      <c r="AH24" s="253"/>
      <c r="AI24" s="253"/>
      <c r="AJ24" s="253"/>
      <c r="AK24" s="253"/>
      <c r="AL24" s="253"/>
      <c r="AM24" s="255"/>
      <c r="AN24" s="253"/>
      <c r="AO24" s="253"/>
      <c r="AP24" s="253"/>
      <c r="AQ24" s="253"/>
      <c r="AR24" s="253"/>
      <c r="AS24" s="255"/>
      <c r="AT24" s="255"/>
      <c r="AU24" s="255"/>
      <c r="AV24" s="255"/>
      <c r="AW24" s="255"/>
      <c r="AX24" s="255"/>
      <c r="AZ24" s="223">
        <f t="shared" si="5"/>
        <v>16</v>
      </c>
      <c r="BA24" s="223">
        <f t="shared" si="6"/>
        <v>2</v>
      </c>
      <c r="BB24" s="223">
        <f t="shared" si="7"/>
        <v>0</v>
      </c>
      <c r="BC24" s="223">
        <f t="shared" si="8"/>
        <v>18</v>
      </c>
      <c r="BE24" s="199">
        <f t="shared" si="20"/>
        <v>1760</v>
      </c>
      <c r="BF24" s="27">
        <f>_xlfn.XLOOKUP(B24,'TAREO HORAS EXTRAS'!$C$15:$C$51,'TAREO HORAS EXTRAS'!$AO$15:$AO$51,0)</f>
        <v>4</v>
      </c>
      <c r="BG24" s="200">
        <f t="shared" si="21"/>
        <v>55</v>
      </c>
      <c r="BH24" s="200"/>
      <c r="BI24" s="226"/>
      <c r="BJ24" s="228"/>
      <c r="BK24" s="226"/>
      <c r="BL24" s="228"/>
      <c r="BM24" s="226"/>
      <c r="BN24" s="228"/>
      <c r="BO24" s="226"/>
      <c r="BP24" s="228"/>
      <c r="BQ24" s="227">
        <f t="shared" si="22"/>
        <v>0</v>
      </c>
      <c r="BS24" s="241">
        <f t="shared" si="23"/>
        <v>214.5</v>
      </c>
      <c r="BT24" s="225">
        <f t="shared" si="24"/>
        <v>33</v>
      </c>
      <c r="BU24" s="224">
        <f t="shared" si="25"/>
        <v>214.5</v>
      </c>
      <c r="BV24" s="224">
        <f t="shared" si="26"/>
        <v>33</v>
      </c>
      <c r="BW24" s="243">
        <f t="shared" si="27"/>
        <v>495</v>
      </c>
      <c r="BX24" s="214"/>
      <c r="BY24" s="199">
        <f t="shared" si="28"/>
        <v>495</v>
      </c>
      <c r="BZ24" s="199"/>
      <c r="CA24" s="247">
        <f t="shared" si="29"/>
        <v>1265</v>
      </c>
      <c r="CB24" s="11" t="s">
        <v>258</v>
      </c>
    </row>
    <row r="25" spans="2:82" ht="15.75" thickBot="1" x14ac:dyDescent="0.3">
      <c r="B25" s="217" t="s">
        <v>21</v>
      </c>
      <c r="C25" s="198"/>
      <c r="D25" s="217" t="str">
        <f>IFERROR(VLOOKUP(B25,'DATOS GRALES 1'!$B$2:$E$91,4,0),"")</f>
        <v>OPERARIO</v>
      </c>
      <c r="E25" s="251">
        <f t="shared" si="18"/>
        <v>4200</v>
      </c>
      <c r="F25" s="220">
        <f t="shared" si="19"/>
        <v>140</v>
      </c>
      <c r="H25" s="253" t="s">
        <v>67</v>
      </c>
      <c r="I25" s="253" t="s">
        <v>67</v>
      </c>
      <c r="J25" s="253" t="s">
        <v>78</v>
      </c>
      <c r="K25" s="253" t="s">
        <v>67</v>
      </c>
      <c r="L25" s="253" t="s">
        <v>67</v>
      </c>
      <c r="M25" s="253" t="s">
        <v>78</v>
      </c>
      <c r="N25" s="253" t="s">
        <v>67</v>
      </c>
      <c r="O25" s="253" t="s">
        <v>67</v>
      </c>
      <c r="P25" s="253" t="s">
        <v>67</v>
      </c>
      <c r="Q25" s="253" t="s">
        <v>67</v>
      </c>
      <c r="R25" s="253" t="s">
        <v>67</v>
      </c>
      <c r="S25" s="253" t="s">
        <v>67</v>
      </c>
      <c r="T25" s="253" t="s">
        <v>67</v>
      </c>
      <c r="U25" s="253" t="s">
        <v>67</v>
      </c>
      <c r="V25" s="253" t="s">
        <v>67</v>
      </c>
      <c r="W25" s="253" t="s">
        <v>67</v>
      </c>
      <c r="X25" s="253" t="s">
        <v>67</v>
      </c>
      <c r="Y25" s="253" t="s">
        <v>67</v>
      </c>
      <c r="Z25" s="253"/>
      <c r="AA25" s="253"/>
      <c r="AB25" s="253"/>
      <c r="AC25" s="253"/>
      <c r="AD25" s="253"/>
      <c r="AE25" s="253"/>
      <c r="AF25" s="253"/>
      <c r="AG25" s="253"/>
      <c r="AH25" s="253"/>
      <c r="AI25" s="253"/>
      <c r="AJ25" s="253"/>
      <c r="AK25" s="253"/>
      <c r="AL25" s="253"/>
      <c r="AM25" s="255"/>
      <c r="AN25" s="253"/>
      <c r="AO25" s="253"/>
      <c r="AP25" s="253"/>
      <c r="AQ25" s="253"/>
      <c r="AR25" s="253"/>
      <c r="AS25" s="255"/>
      <c r="AT25" s="255"/>
      <c r="AU25" s="255"/>
      <c r="AV25" s="255"/>
      <c r="AW25" s="255"/>
      <c r="AX25" s="255"/>
      <c r="AZ25" s="223">
        <f t="shared" si="5"/>
        <v>16</v>
      </c>
      <c r="BA25" s="223">
        <f t="shared" si="6"/>
        <v>2</v>
      </c>
      <c r="BB25" s="223">
        <f t="shared" si="7"/>
        <v>0</v>
      </c>
      <c r="BC25" s="223">
        <f t="shared" si="8"/>
        <v>18</v>
      </c>
      <c r="BE25" s="199">
        <f t="shared" si="20"/>
        <v>2240</v>
      </c>
      <c r="BF25" s="27">
        <f>_xlfn.XLOOKUP(B25,'TAREO HORAS EXTRAS'!$C$15:$C$51,'TAREO HORAS EXTRAS'!$AO$15:$AO$51,0)</f>
        <v>0</v>
      </c>
      <c r="BG25" s="200">
        <f t="shared" si="21"/>
        <v>0</v>
      </c>
      <c r="BH25" s="200"/>
      <c r="BI25" s="226"/>
      <c r="BJ25" s="228"/>
      <c r="BK25" s="226"/>
      <c r="BL25" s="228"/>
      <c r="BM25" s="226"/>
      <c r="BN25" s="228"/>
      <c r="BO25" s="226"/>
      <c r="BP25" s="228"/>
      <c r="BQ25" s="227">
        <f t="shared" si="22"/>
        <v>0</v>
      </c>
      <c r="BS25" s="241">
        <f t="shared" si="23"/>
        <v>273</v>
      </c>
      <c r="BT25" s="225">
        <f t="shared" si="24"/>
        <v>42</v>
      </c>
      <c r="BU25" s="224">
        <f t="shared" si="25"/>
        <v>273</v>
      </c>
      <c r="BV25" s="224">
        <f t="shared" si="26"/>
        <v>42</v>
      </c>
      <c r="BW25" s="243">
        <f t="shared" si="27"/>
        <v>630</v>
      </c>
      <c r="BX25" s="214"/>
      <c r="BY25" s="199">
        <f t="shared" si="28"/>
        <v>630</v>
      </c>
      <c r="BZ25" s="199"/>
      <c r="CA25" s="247">
        <f t="shared" si="29"/>
        <v>1610</v>
      </c>
      <c r="CB25" s="11" t="s">
        <v>258</v>
      </c>
    </row>
    <row r="26" spans="2:82" ht="15.75" thickBot="1" x14ac:dyDescent="0.3">
      <c r="B26" s="217" t="s">
        <v>25</v>
      </c>
      <c r="C26" s="198"/>
      <c r="D26" s="217" t="str">
        <f>IFERROR(VLOOKUP(B26,'DATOS GRALES 1'!$B$2:$E$91,4,0),"")</f>
        <v>PEON</v>
      </c>
      <c r="E26" s="251">
        <f t="shared" si="18"/>
        <v>3300</v>
      </c>
      <c r="F26" s="220">
        <f t="shared" si="19"/>
        <v>110</v>
      </c>
      <c r="H26" s="253" t="s">
        <v>67</v>
      </c>
      <c r="I26" s="253" t="s">
        <v>67</v>
      </c>
      <c r="J26" s="253" t="s">
        <v>67</v>
      </c>
      <c r="K26" s="253" t="s">
        <v>67</v>
      </c>
      <c r="L26" s="253" t="s">
        <v>67</v>
      </c>
      <c r="M26" s="253" t="s">
        <v>67</v>
      </c>
      <c r="N26" s="253" t="s">
        <v>67</v>
      </c>
      <c r="O26" s="253" t="s">
        <v>67</v>
      </c>
      <c r="P26" s="253" t="s">
        <v>67</v>
      </c>
      <c r="Q26" s="253" t="s">
        <v>67</v>
      </c>
      <c r="R26" s="253" t="s">
        <v>67</v>
      </c>
      <c r="S26" s="253" t="s">
        <v>67</v>
      </c>
      <c r="T26" s="253" t="s">
        <v>67</v>
      </c>
      <c r="U26" s="253" t="s">
        <v>67</v>
      </c>
      <c r="V26" s="253" t="s">
        <v>67</v>
      </c>
      <c r="W26" s="253" t="s">
        <v>67</v>
      </c>
      <c r="X26" s="253" t="s">
        <v>67</v>
      </c>
      <c r="Y26" s="253" t="s">
        <v>67</v>
      </c>
      <c r="Z26" s="253"/>
      <c r="AA26" s="253"/>
      <c r="AB26" s="253"/>
      <c r="AC26" s="253"/>
      <c r="AD26" s="253"/>
      <c r="AE26" s="253"/>
      <c r="AF26" s="253"/>
      <c r="AG26" s="253"/>
      <c r="AH26" s="253"/>
      <c r="AI26" s="253"/>
      <c r="AJ26" s="253"/>
      <c r="AK26" s="253"/>
      <c r="AL26" s="253"/>
      <c r="AM26" s="255"/>
      <c r="AN26" s="253"/>
      <c r="AO26" s="253"/>
      <c r="AP26" s="253"/>
      <c r="AQ26" s="253"/>
      <c r="AR26" s="253"/>
      <c r="AS26" s="255"/>
      <c r="AT26" s="255"/>
      <c r="AU26" s="255"/>
      <c r="AV26" s="255"/>
      <c r="AW26" s="255"/>
      <c r="AX26" s="255"/>
      <c r="AZ26" s="223">
        <f t="shared" si="5"/>
        <v>18</v>
      </c>
      <c r="BA26" s="223" t="str">
        <f t="shared" si="6"/>
        <v/>
      </c>
      <c r="BB26" s="223">
        <f t="shared" si="7"/>
        <v>0</v>
      </c>
      <c r="BC26" s="223">
        <f t="shared" si="8"/>
        <v>18</v>
      </c>
      <c r="BE26" s="199">
        <f t="shared" si="20"/>
        <v>1980</v>
      </c>
      <c r="BF26" s="27">
        <f>_xlfn.XLOOKUP(B26,'TAREO HORAS EXTRAS'!$C$15:$C$51,'TAREO HORAS EXTRAS'!$AO$15:$AO$51,0)</f>
        <v>0</v>
      </c>
      <c r="BG26" s="200">
        <f t="shared" si="21"/>
        <v>0</v>
      </c>
      <c r="BH26" s="200"/>
      <c r="BI26" s="226"/>
      <c r="BJ26" s="228"/>
      <c r="BK26" s="226"/>
      <c r="BL26" s="228"/>
      <c r="BM26" s="226"/>
      <c r="BN26" s="228"/>
      <c r="BO26" s="226"/>
      <c r="BP26" s="228"/>
      <c r="BQ26" s="227">
        <f t="shared" si="22"/>
        <v>0</v>
      </c>
      <c r="BS26" s="241">
        <f t="shared" si="23"/>
        <v>214.5</v>
      </c>
      <c r="BT26" s="225">
        <f t="shared" si="24"/>
        <v>33</v>
      </c>
      <c r="BU26" s="224">
        <f t="shared" si="25"/>
        <v>214.5</v>
      </c>
      <c r="BV26" s="224">
        <f t="shared" si="26"/>
        <v>33</v>
      </c>
      <c r="BW26" s="243">
        <f t="shared" si="27"/>
        <v>495</v>
      </c>
      <c r="BX26" s="214"/>
      <c r="BY26" s="199">
        <f t="shared" si="28"/>
        <v>495</v>
      </c>
      <c r="BZ26" s="199"/>
      <c r="CA26" s="247">
        <f t="shared" si="29"/>
        <v>1485</v>
      </c>
      <c r="CB26" s="11" t="s">
        <v>258</v>
      </c>
    </row>
    <row r="27" spans="2:82" ht="23.25" thickBot="1" x14ac:dyDescent="0.3">
      <c r="B27" s="217" t="s">
        <v>19</v>
      </c>
      <c r="C27" s="198"/>
      <c r="D27" s="221" t="str">
        <f>IFERROR(VLOOKUP(B27,'DATOS GRALES 1'!$B$2:$E$91,4,0),"")</f>
        <v>OPERARIO/VOLQUETERO</v>
      </c>
      <c r="E27" s="251">
        <f t="shared" si="18"/>
        <v>4200</v>
      </c>
      <c r="F27" s="220">
        <f t="shared" si="19"/>
        <v>140</v>
      </c>
      <c r="H27" s="253" t="s">
        <v>67</v>
      </c>
      <c r="I27" s="253" t="s">
        <v>78</v>
      </c>
      <c r="J27" s="253" t="s">
        <v>78</v>
      </c>
      <c r="K27" s="253" t="s">
        <v>78</v>
      </c>
      <c r="L27" s="253" t="s">
        <v>78</v>
      </c>
      <c r="M27" s="253" t="s">
        <v>78</v>
      </c>
      <c r="N27" s="253" t="s">
        <v>78</v>
      </c>
      <c r="O27" s="253" t="s">
        <v>78</v>
      </c>
      <c r="P27" s="253" t="s">
        <v>78</v>
      </c>
      <c r="Q27" s="253" t="s">
        <v>78</v>
      </c>
      <c r="R27" s="253" t="s">
        <v>78</v>
      </c>
      <c r="S27" s="253" t="s">
        <v>78</v>
      </c>
      <c r="T27" s="253" t="s">
        <v>78</v>
      </c>
      <c r="U27" s="253" t="s">
        <v>78</v>
      </c>
      <c r="V27" s="253" t="s">
        <v>78</v>
      </c>
      <c r="W27" s="253" t="s">
        <v>78</v>
      </c>
      <c r="X27" s="253" t="s">
        <v>78</v>
      </c>
      <c r="Y27" s="253" t="s">
        <v>78</v>
      </c>
      <c r="Z27" s="253"/>
      <c r="AA27" s="253"/>
      <c r="AB27" s="253"/>
      <c r="AC27" s="253"/>
      <c r="AD27" s="253"/>
      <c r="AE27" s="253"/>
      <c r="AF27" s="253"/>
      <c r="AG27" s="253"/>
      <c r="AH27" s="253"/>
      <c r="AI27" s="253"/>
      <c r="AJ27" s="253"/>
      <c r="AK27" s="253"/>
      <c r="AL27" s="253"/>
      <c r="AM27" s="255"/>
      <c r="AN27" s="253"/>
      <c r="AO27" s="253"/>
      <c r="AP27" s="253"/>
      <c r="AQ27" s="253"/>
      <c r="AR27" s="253"/>
      <c r="AS27" s="255"/>
      <c r="AT27" s="255"/>
      <c r="AU27" s="255"/>
      <c r="AV27" s="255"/>
      <c r="AW27" s="255"/>
      <c r="AX27" s="255"/>
      <c r="AZ27" s="223">
        <f t="shared" si="5"/>
        <v>1</v>
      </c>
      <c r="BA27" s="223">
        <f t="shared" si="6"/>
        <v>17</v>
      </c>
      <c r="BB27" s="223">
        <f t="shared" si="7"/>
        <v>0</v>
      </c>
      <c r="BC27" s="223">
        <f t="shared" si="8"/>
        <v>18</v>
      </c>
      <c r="BE27" s="199">
        <f t="shared" si="20"/>
        <v>140</v>
      </c>
      <c r="BF27" s="27">
        <f>_xlfn.XLOOKUP(B27,'TAREO HORAS EXTRAS'!$C$15:$C$51,'TAREO HORAS EXTRAS'!$AO$15:$AO$51,0)</f>
        <v>0</v>
      </c>
      <c r="BG27" s="200">
        <f t="shared" si="21"/>
        <v>0</v>
      </c>
      <c r="BH27" s="200"/>
      <c r="BI27" s="226"/>
      <c r="BJ27" s="228"/>
      <c r="BK27" s="226"/>
      <c r="BL27" s="228"/>
      <c r="BM27" s="226"/>
      <c r="BN27" s="228"/>
      <c r="BO27" s="226"/>
      <c r="BP27" s="228"/>
      <c r="BQ27" s="227">
        <f t="shared" si="22"/>
        <v>0</v>
      </c>
      <c r="BS27" s="241">
        <f t="shared" si="23"/>
        <v>273</v>
      </c>
      <c r="BT27" s="225">
        <f t="shared" si="24"/>
        <v>42</v>
      </c>
      <c r="BU27" s="224">
        <f t="shared" si="25"/>
        <v>273</v>
      </c>
      <c r="BV27" s="224">
        <f t="shared" si="26"/>
        <v>42</v>
      </c>
      <c r="BW27" s="243">
        <f t="shared" si="27"/>
        <v>630</v>
      </c>
      <c r="BX27" s="214"/>
      <c r="BY27" s="199">
        <f t="shared" si="28"/>
        <v>630</v>
      </c>
      <c r="BZ27" s="199"/>
      <c r="CA27" s="247">
        <f t="shared" si="29"/>
        <v>-490</v>
      </c>
      <c r="CB27" s="11" t="s">
        <v>258</v>
      </c>
    </row>
    <row r="28" spans="2:82" ht="15.75" thickBot="1" x14ac:dyDescent="0.3">
      <c r="B28" s="217" t="s">
        <v>104</v>
      </c>
      <c r="C28" s="198"/>
      <c r="D28" s="217" t="str">
        <f>IFERROR(VLOOKUP(B28,'DATOS GRALES 1'!$B$2:$E$91,4,0),"")</f>
        <v>OPERARIO</v>
      </c>
      <c r="E28" s="251">
        <f t="shared" si="18"/>
        <v>4200</v>
      </c>
      <c r="F28" s="220">
        <f t="shared" si="19"/>
        <v>140</v>
      </c>
      <c r="H28" s="253" t="s">
        <v>67</v>
      </c>
      <c r="I28" s="253" t="s">
        <v>67</v>
      </c>
      <c r="J28" s="253" t="s">
        <v>67</v>
      </c>
      <c r="K28" s="253" t="s">
        <v>67</v>
      </c>
      <c r="L28" s="253" t="s">
        <v>67</v>
      </c>
      <c r="M28" s="253" t="s">
        <v>67</v>
      </c>
      <c r="N28" s="253" t="s">
        <v>67</v>
      </c>
      <c r="O28" s="253" t="s">
        <v>67</v>
      </c>
      <c r="P28" s="253" t="s">
        <v>67</v>
      </c>
      <c r="Q28" s="253" t="s">
        <v>67</v>
      </c>
      <c r="R28" s="253" t="s">
        <v>67</v>
      </c>
      <c r="S28" s="253" t="s">
        <v>67</v>
      </c>
      <c r="T28" s="253" t="s">
        <v>67</v>
      </c>
      <c r="U28" s="253" t="s">
        <v>67</v>
      </c>
      <c r="V28" s="253" t="s">
        <v>67</v>
      </c>
      <c r="W28" s="253" t="s">
        <v>67</v>
      </c>
      <c r="X28" s="253" t="s">
        <v>67</v>
      </c>
      <c r="Y28" s="253" t="s">
        <v>67</v>
      </c>
      <c r="Z28" s="253"/>
      <c r="AA28" s="253"/>
      <c r="AB28" s="253"/>
      <c r="AC28" s="253"/>
      <c r="AD28" s="253"/>
      <c r="AE28" s="253"/>
      <c r="AF28" s="253"/>
      <c r="AG28" s="253"/>
      <c r="AH28" s="253"/>
      <c r="AI28" s="253"/>
      <c r="AJ28" s="253"/>
      <c r="AK28" s="253"/>
      <c r="AL28" s="253"/>
      <c r="AM28" s="255"/>
      <c r="AN28" s="253"/>
      <c r="AO28" s="253"/>
      <c r="AP28" s="253"/>
      <c r="AQ28" s="253"/>
      <c r="AR28" s="253"/>
      <c r="AS28" s="255"/>
      <c r="AT28" s="255"/>
      <c r="AU28" s="255"/>
      <c r="AV28" s="255"/>
      <c r="AW28" s="255"/>
      <c r="AX28" s="255"/>
      <c r="AZ28" s="223">
        <f t="shared" si="5"/>
        <v>18</v>
      </c>
      <c r="BA28" s="223" t="str">
        <f t="shared" si="6"/>
        <v/>
      </c>
      <c r="BB28" s="223">
        <f t="shared" si="7"/>
        <v>0</v>
      </c>
      <c r="BC28" s="223">
        <f t="shared" si="8"/>
        <v>18</v>
      </c>
      <c r="BE28" s="199">
        <f t="shared" si="20"/>
        <v>2520</v>
      </c>
      <c r="BF28" s="27">
        <f>_xlfn.XLOOKUP(B28,'TAREO HORAS EXTRAS'!$C$15:$C$51,'TAREO HORAS EXTRAS'!$AO$15:$AO$51,0)</f>
        <v>0</v>
      </c>
      <c r="BG28" s="200">
        <f t="shared" si="21"/>
        <v>0</v>
      </c>
      <c r="BH28" s="200"/>
      <c r="BI28" s="226"/>
      <c r="BJ28" s="228"/>
      <c r="BK28" s="226"/>
      <c r="BL28" s="228"/>
      <c r="BM28" s="226"/>
      <c r="BN28" s="228"/>
      <c r="BO28" s="226"/>
      <c r="BP28" s="228"/>
      <c r="BQ28" s="227">
        <f t="shared" si="22"/>
        <v>0</v>
      </c>
      <c r="BS28" s="241">
        <f t="shared" si="23"/>
        <v>273</v>
      </c>
      <c r="BT28" s="225">
        <f t="shared" si="24"/>
        <v>42</v>
      </c>
      <c r="BU28" s="224">
        <f t="shared" si="25"/>
        <v>273</v>
      </c>
      <c r="BV28" s="224">
        <f t="shared" si="26"/>
        <v>42</v>
      </c>
      <c r="BW28" s="243">
        <f t="shared" si="27"/>
        <v>630</v>
      </c>
      <c r="BX28" s="214"/>
      <c r="BY28" s="199">
        <f t="shared" si="28"/>
        <v>630</v>
      </c>
      <c r="BZ28" s="199"/>
      <c r="CA28" s="247">
        <f t="shared" si="29"/>
        <v>1890</v>
      </c>
      <c r="CB28" s="11" t="s">
        <v>258</v>
      </c>
    </row>
    <row r="29" spans="2:82" ht="15.75" thickBot="1" x14ac:dyDescent="0.3">
      <c r="B29" s="217" t="s">
        <v>106</v>
      </c>
      <c r="C29" s="198"/>
      <c r="D29" s="217" t="str">
        <f>IFERROR(VLOOKUP(B29,'DATOS GRALES 1'!$B$2:$E$91,4,0),"")</f>
        <v>PEON</v>
      </c>
      <c r="E29" s="251">
        <f t="shared" si="18"/>
        <v>3300</v>
      </c>
      <c r="F29" s="220">
        <f t="shared" si="19"/>
        <v>110</v>
      </c>
      <c r="H29" s="253" t="s">
        <v>67</v>
      </c>
      <c r="I29" s="253" t="s">
        <v>67</v>
      </c>
      <c r="J29" s="253" t="s">
        <v>67</v>
      </c>
      <c r="K29" s="253" t="s">
        <v>67</v>
      </c>
      <c r="L29" s="253" t="s">
        <v>67</v>
      </c>
      <c r="M29" s="253" t="s">
        <v>67</v>
      </c>
      <c r="N29" s="253" t="s">
        <v>67</v>
      </c>
      <c r="O29" s="253" t="s">
        <v>67</v>
      </c>
      <c r="P29" s="253" t="s">
        <v>67</v>
      </c>
      <c r="Q29" s="253" t="s">
        <v>67</v>
      </c>
      <c r="R29" s="253" t="s">
        <v>67</v>
      </c>
      <c r="S29" s="253" t="s">
        <v>67</v>
      </c>
      <c r="T29" s="253" t="s">
        <v>67</v>
      </c>
      <c r="U29" s="253" t="s">
        <v>67</v>
      </c>
      <c r="V29" s="253" t="s">
        <v>67</v>
      </c>
      <c r="W29" s="253" t="s">
        <v>67</v>
      </c>
      <c r="X29" s="253" t="s">
        <v>67</v>
      </c>
      <c r="Y29" s="253" t="s">
        <v>67</v>
      </c>
      <c r="Z29" s="253"/>
      <c r="AA29" s="253"/>
      <c r="AB29" s="253"/>
      <c r="AC29" s="253"/>
      <c r="AD29" s="253"/>
      <c r="AE29" s="253"/>
      <c r="AF29" s="253"/>
      <c r="AG29" s="253"/>
      <c r="AH29" s="253"/>
      <c r="AI29" s="253"/>
      <c r="AJ29" s="253"/>
      <c r="AK29" s="253"/>
      <c r="AL29" s="253"/>
      <c r="AM29" s="255"/>
      <c r="AN29" s="253"/>
      <c r="AO29" s="253"/>
      <c r="AP29" s="253"/>
      <c r="AQ29" s="253"/>
      <c r="AR29" s="253"/>
      <c r="AS29" s="255"/>
      <c r="AT29" s="255"/>
      <c r="AU29" s="255"/>
      <c r="AV29" s="255"/>
      <c r="AW29" s="255"/>
      <c r="AX29" s="255"/>
      <c r="AZ29" s="223">
        <f t="shared" si="5"/>
        <v>18</v>
      </c>
      <c r="BA29" s="223" t="str">
        <f t="shared" si="6"/>
        <v/>
      </c>
      <c r="BB29" s="223">
        <f t="shared" si="7"/>
        <v>0</v>
      </c>
      <c r="BC29" s="223">
        <f t="shared" si="8"/>
        <v>18</v>
      </c>
      <c r="BE29" s="199">
        <f t="shared" si="20"/>
        <v>1980</v>
      </c>
      <c r="BF29" s="27">
        <f>_xlfn.XLOOKUP(B29,'TAREO HORAS EXTRAS'!$C$15:$C$51,'TAREO HORAS EXTRAS'!$AO$15:$AO$51,0)</f>
        <v>0</v>
      </c>
      <c r="BG29" s="200">
        <f t="shared" si="21"/>
        <v>0</v>
      </c>
      <c r="BH29" s="200"/>
      <c r="BI29" s="226"/>
      <c r="BJ29" s="228"/>
      <c r="BK29" s="226"/>
      <c r="BL29" s="228"/>
      <c r="BM29" s="226"/>
      <c r="BN29" s="228"/>
      <c r="BO29" s="226"/>
      <c r="BP29" s="228"/>
      <c r="BQ29" s="227">
        <f t="shared" si="22"/>
        <v>0</v>
      </c>
      <c r="BS29" s="241">
        <f t="shared" si="23"/>
        <v>214.5</v>
      </c>
      <c r="BT29" s="225">
        <f t="shared" si="24"/>
        <v>33</v>
      </c>
      <c r="BU29" s="224">
        <f t="shared" si="25"/>
        <v>214.5</v>
      </c>
      <c r="BV29" s="224">
        <f t="shared" si="26"/>
        <v>33</v>
      </c>
      <c r="BW29" s="243">
        <f t="shared" si="27"/>
        <v>495</v>
      </c>
      <c r="BX29" s="214"/>
      <c r="BY29" s="199">
        <f t="shared" si="28"/>
        <v>495</v>
      </c>
      <c r="BZ29" s="199"/>
      <c r="CA29" s="247">
        <f t="shared" si="29"/>
        <v>1485</v>
      </c>
      <c r="CB29" s="11" t="s">
        <v>258</v>
      </c>
    </row>
    <row r="30" spans="2:82" ht="15.75" thickBot="1" x14ac:dyDescent="0.3">
      <c r="B30" s="217" t="s">
        <v>107</v>
      </c>
      <c r="C30" s="198"/>
      <c r="D30" s="217" t="str">
        <f>IFERROR(VLOOKUP(B30,'DATOS GRALES 1'!$B$2:$E$91,4,0),"")</f>
        <v>OPERARIO</v>
      </c>
      <c r="E30" s="251">
        <f t="shared" si="18"/>
        <v>4200</v>
      </c>
      <c r="F30" s="220">
        <f t="shared" si="19"/>
        <v>140</v>
      </c>
      <c r="H30" s="253" t="s">
        <v>67</v>
      </c>
      <c r="I30" s="253" t="s">
        <v>67</v>
      </c>
      <c r="J30" s="253" t="s">
        <v>67</v>
      </c>
      <c r="K30" s="253" t="s">
        <v>67</v>
      </c>
      <c r="L30" s="253" t="s">
        <v>67</v>
      </c>
      <c r="M30" s="253" t="s">
        <v>67</v>
      </c>
      <c r="N30" s="253" t="s">
        <v>132</v>
      </c>
      <c r="O30" s="253" t="s">
        <v>67</v>
      </c>
      <c r="P30" s="253" t="s">
        <v>67</v>
      </c>
      <c r="Q30" s="253" t="s">
        <v>67</v>
      </c>
      <c r="R30" s="253" t="s">
        <v>67</v>
      </c>
      <c r="S30" s="253" t="s">
        <v>67</v>
      </c>
      <c r="T30" s="253" t="s">
        <v>67</v>
      </c>
      <c r="U30" s="253" t="s">
        <v>67</v>
      </c>
      <c r="V30" s="253" t="s">
        <v>67</v>
      </c>
      <c r="W30" s="253" t="s">
        <v>67</v>
      </c>
      <c r="X30" s="253" t="s">
        <v>67</v>
      </c>
      <c r="Y30" s="253" t="s">
        <v>67</v>
      </c>
      <c r="Z30" s="253"/>
      <c r="AA30" s="253"/>
      <c r="AB30" s="253"/>
      <c r="AC30" s="253"/>
      <c r="AD30" s="253"/>
      <c r="AE30" s="253"/>
      <c r="AF30" s="253"/>
      <c r="AG30" s="253"/>
      <c r="AH30" s="253"/>
      <c r="AI30" s="253"/>
      <c r="AJ30" s="253"/>
      <c r="AK30" s="253"/>
      <c r="AL30" s="253"/>
      <c r="AM30" s="255"/>
      <c r="AN30" s="253"/>
      <c r="AO30" s="253"/>
      <c r="AP30" s="253"/>
      <c r="AQ30" s="253"/>
      <c r="AR30" s="253"/>
      <c r="AS30" s="255"/>
      <c r="AT30" s="255"/>
      <c r="AU30" s="255"/>
      <c r="AV30" s="255"/>
      <c r="AW30" s="255"/>
      <c r="AX30" s="255"/>
      <c r="AZ30" s="223">
        <f t="shared" si="5"/>
        <v>17</v>
      </c>
      <c r="BA30" s="223" t="str">
        <f t="shared" si="6"/>
        <v/>
      </c>
      <c r="BB30" s="223">
        <f t="shared" si="7"/>
        <v>1</v>
      </c>
      <c r="BC30" s="223">
        <f t="shared" si="8"/>
        <v>18</v>
      </c>
      <c r="BE30" s="199">
        <f t="shared" si="20"/>
        <v>2450</v>
      </c>
      <c r="BF30" s="27">
        <f>_xlfn.XLOOKUP(B30,'TAREO HORAS EXTRAS'!$C$15:$C$51,'TAREO HORAS EXTRAS'!$AO$15:$AO$51,0)</f>
        <v>0</v>
      </c>
      <c r="BG30" s="200">
        <f t="shared" si="21"/>
        <v>0</v>
      </c>
      <c r="BH30" s="200"/>
      <c r="BI30" s="226"/>
      <c r="BJ30" s="228"/>
      <c r="BK30" s="226"/>
      <c r="BL30" s="228"/>
      <c r="BM30" s="226"/>
      <c r="BN30" s="228"/>
      <c r="BO30" s="226"/>
      <c r="BP30" s="228"/>
      <c r="BQ30" s="227">
        <f t="shared" si="22"/>
        <v>0</v>
      </c>
      <c r="BS30" s="241">
        <f t="shared" si="23"/>
        <v>273</v>
      </c>
      <c r="BT30" s="225">
        <f t="shared" si="24"/>
        <v>42</v>
      </c>
      <c r="BU30" s="224">
        <f t="shared" si="25"/>
        <v>273</v>
      </c>
      <c r="BV30" s="224">
        <f t="shared" si="26"/>
        <v>42</v>
      </c>
      <c r="BW30" s="243">
        <f t="shared" si="27"/>
        <v>630</v>
      </c>
      <c r="BX30" s="214"/>
      <c r="BY30" s="199">
        <f t="shared" si="28"/>
        <v>630</v>
      </c>
      <c r="BZ30" s="199"/>
      <c r="CA30" s="247">
        <f t="shared" si="29"/>
        <v>1820</v>
      </c>
      <c r="CB30" s="11" t="s">
        <v>258</v>
      </c>
    </row>
    <row r="31" spans="2:82" ht="15.75" thickBot="1" x14ac:dyDescent="0.3">
      <c r="B31" s="217" t="s">
        <v>108</v>
      </c>
      <c r="C31" s="198"/>
      <c r="D31" s="217" t="str">
        <f>IFERROR(VLOOKUP(B31,'DATOS GRALES 1'!$B$2:$E$91,4,0),"")</f>
        <v>OPERARIO</v>
      </c>
      <c r="E31" s="251">
        <f t="shared" si="18"/>
        <v>4200</v>
      </c>
      <c r="F31" s="220">
        <f t="shared" si="19"/>
        <v>140</v>
      </c>
      <c r="H31" s="253" t="s">
        <v>67</v>
      </c>
      <c r="I31" s="253" t="s">
        <v>67</v>
      </c>
      <c r="J31" s="253" t="s">
        <v>78</v>
      </c>
      <c r="K31" s="253" t="s">
        <v>78</v>
      </c>
      <c r="L31" s="253" t="s">
        <v>78</v>
      </c>
      <c r="M31" s="253" t="s">
        <v>78</v>
      </c>
      <c r="N31" s="253" t="s">
        <v>78</v>
      </c>
      <c r="O31" s="253" t="s">
        <v>78</v>
      </c>
      <c r="P31" s="253" t="s">
        <v>78</v>
      </c>
      <c r="Q31" s="253" t="s">
        <v>78</v>
      </c>
      <c r="R31" s="253" t="s">
        <v>78</v>
      </c>
      <c r="S31" s="253" t="s">
        <v>78</v>
      </c>
      <c r="T31" s="253" t="s">
        <v>78</v>
      </c>
      <c r="U31" s="253" t="s">
        <v>78</v>
      </c>
      <c r="V31" s="253" t="s">
        <v>78</v>
      </c>
      <c r="W31" s="253" t="s">
        <v>78</v>
      </c>
      <c r="X31" s="253" t="s">
        <v>78</v>
      </c>
      <c r="Y31" s="253" t="s">
        <v>78</v>
      </c>
      <c r="Z31" s="253"/>
      <c r="AA31" s="253"/>
      <c r="AB31" s="253"/>
      <c r="AC31" s="253"/>
      <c r="AD31" s="253"/>
      <c r="AE31" s="253"/>
      <c r="AF31" s="253"/>
      <c r="AG31" s="253"/>
      <c r="AH31" s="253"/>
      <c r="AI31" s="253"/>
      <c r="AJ31" s="253"/>
      <c r="AK31" s="253"/>
      <c r="AL31" s="253"/>
      <c r="AM31" s="255"/>
      <c r="AN31" s="253"/>
      <c r="AO31" s="253"/>
      <c r="AP31" s="253"/>
      <c r="AQ31" s="253"/>
      <c r="AR31" s="253"/>
      <c r="AS31" s="255"/>
      <c r="AT31" s="255"/>
      <c r="AU31" s="255"/>
      <c r="AV31" s="255"/>
      <c r="AW31" s="255"/>
      <c r="AX31" s="255"/>
      <c r="AZ31" s="223">
        <f t="shared" si="5"/>
        <v>2</v>
      </c>
      <c r="BA31" s="223">
        <f t="shared" si="6"/>
        <v>16</v>
      </c>
      <c r="BB31" s="223">
        <f t="shared" si="7"/>
        <v>0</v>
      </c>
      <c r="BC31" s="223">
        <f t="shared" si="8"/>
        <v>18</v>
      </c>
      <c r="BE31" s="199">
        <f t="shared" si="20"/>
        <v>280</v>
      </c>
      <c r="BF31" s="27">
        <f>_xlfn.XLOOKUP(B31,'TAREO HORAS EXTRAS'!$C$15:$C$51,'TAREO HORAS EXTRAS'!$AO$15:$AO$51,0)</f>
        <v>4</v>
      </c>
      <c r="BG31" s="200">
        <f t="shared" si="21"/>
        <v>70</v>
      </c>
      <c r="BH31" s="200"/>
      <c r="BI31" s="226"/>
      <c r="BJ31" s="228"/>
      <c r="BK31" s="226"/>
      <c r="BL31" s="228"/>
      <c r="BM31" s="226"/>
      <c r="BN31" s="228"/>
      <c r="BO31" s="226"/>
      <c r="BP31" s="228"/>
      <c r="BQ31" s="227">
        <f t="shared" si="22"/>
        <v>0</v>
      </c>
      <c r="BS31" s="241">
        <f t="shared" si="23"/>
        <v>273</v>
      </c>
      <c r="BT31" s="225">
        <f t="shared" si="24"/>
        <v>42</v>
      </c>
      <c r="BU31" s="224">
        <f t="shared" si="25"/>
        <v>273</v>
      </c>
      <c r="BV31" s="224">
        <f t="shared" si="26"/>
        <v>42</v>
      </c>
      <c r="BW31" s="243">
        <f t="shared" si="27"/>
        <v>630</v>
      </c>
      <c r="BX31" s="214"/>
      <c r="BY31" s="199">
        <f t="shared" si="28"/>
        <v>630</v>
      </c>
      <c r="BZ31" s="199"/>
      <c r="CA31" s="247">
        <f t="shared" si="29"/>
        <v>-350</v>
      </c>
      <c r="CB31" s="11" t="s">
        <v>258</v>
      </c>
    </row>
    <row r="32" spans="2:82" ht="15.75" thickBot="1" x14ac:dyDescent="0.3">
      <c r="B32" s="217" t="s">
        <v>109</v>
      </c>
      <c r="C32" s="198"/>
      <c r="D32" s="217" t="str">
        <f>IFERROR(VLOOKUP(B32,'DATOS GRALES 1'!$B$2:$E$91,4,0),"")</f>
        <v>PEON</v>
      </c>
      <c r="E32" s="251">
        <f t="shared" si="18"/>
        <v>3300</v>
      </c>
      <c r="F32" s="220">
        <f t="shared" si="19"/>
        <v>110</v>
      </c>
      <c r="H32" s="253" t="s">
        <v>67</v>
      </c>
      <c r="I32" s="253" t="s">
        <v>67</v>
      </c>
      <c r="J32" s="253" t="s">
        <v>67</v>
      </c>
      <c r="K32" s="253" t="s">
        <v>67</v>
      </c>
      <c r="L32" s="253" t="s">
        <v>67</v>
      </c>
      <c r="M32" s="253" t="s">
        <v>67</v>
      </c>
      <c r="N32" s="253" t="s">
        <v>78</v>
      </c>
      <c r="O32" s="253" t="s">
        <v>78</v>
      </c>
      <c r="P32" s="253" t="s">
        <v>78</v>
      </c>
      <c r="Q32" s="253" t="s">
        <v>78</v>
      </c>
      <c r="R32" s="253" t="s">
        <v>78</v>
      </c>
      <c r="S32" s="253" t="s">
        <v>78</v>
      </c>
      <c r="T32" s="253" t="s">
        <v>78</v>
      </c>
      <c r="U32" s="253" t="s">
        <v>78</v>
      </c>
      <c r="V32" s="253" t="s">
        <v>78</v>
      </c>
      <c r="W32" s="253" t="s">
        <v>78</v>
      </c>
      <c r="X32" s="253" t="s">
        <v>78</v>
      </c>
      <c r="Y32" s="253" t="s">
        <v>78</v>
      </c>
      <c r="Z32" s="253"/>
      <c r="AA32" s="253"/>
      <c r="AB32" s="253"/>
      <c r="AC32" s="253"/>
      <c r="AD32" s="253"/>
      <c r="AE32" s="253"/>
      <c r="AF32" s="253"/>
      <c r="AG32" s="253"/>
      <c r="AH32" s="253"/>
      <c r="AI32" s="253"/>
      <c r="AJ32" s="253"/>
      <c r="AK32" s="253"/>
      <c r="AL32" s="253"/>
      <c r="AM32" s="255"/>
      <c r="AN32" s="253"/>
      <c r="AO32" s="253"/>
      <c r="AP32" s="253"/>
      <c r="AQ32" s="253"/>
      <c r="AR32" s="253"/>
      <c r="AS32" s="255"/>
      <c r="AT32" s="255"/>
      <c r="AU32" s="255"/>
      <c r="AV32" s="255"/>
      <c r="AW32" s="255"/>
      <c r="AX32" s="255"/>
      <c r="AZ32" s="223">
        <f t="shared" si="5"/>
        <v>6</v>
      </c>
      <c r="BA32" s="223">
        <f t="shared" si="6"/>
        <v>12</v>
      </c>
      <c r="BB32" s="223">
        <f t="shared" si="7"/>
        <v>0</v>
      </c>
      <c r="BC32" s="223">
        <f t="shared" si="8"/>
        <v>18</v>
      </c>
      <c r="BE32" s="199">
        <f t="shared" si="20"/>
        <v>660</v>
      </c>
      <c r="BF32" s="27">
        <f>_xlfn.XLOOKUP(B32,'TAREO HORAS EXTRAS'!$C$15:$C$51,'TAREO HORAS EXTRAS'!$AO$15:$AO$51,0)</f>
        <v>0</v>
      </c>
      <c r="BG32" s="200">
        <f t="shared" si="21"/>
        <v>0</v>
      </c>
      <c r="BH32" s="200"/>
      <c r="BI32" s="226"/>
      <c r="BJ32" s="228"/>
      <c r="BK32" s="226"/>
      <c r="BL32" s="228"/>
      <c r="BM32" s="226"/>
      <c r="BN32" s="228"/>
      <c r="BO32" s="226"/>
      <c r="BP32" s="228"/>
      <c r="BQ32" s="227">
        <f t="shared" si="22"/>
        <v>0</v>
      </c>
      <c r="BS32" s="241">
        <f t="shared" si="23"/>
        <v>214.5</v>
      </c>
      <c r="BT32" s="225">
        <f t="shared" si="24"/>
        <v>33</v>
      </c>
      <c r="BU32" s="224">
        <f t="shared" si="25"/>
        <v>214.5</v>
      </c>
      <c r="BV32" s="224">
        <f t="shared" si="26"/>
        <v>33</v>
      </c>
      <c r="BW32" s="243">
        <f t="shared" si="27"/>
        <v>495</v>
      </c>
      <c r="BX32" s="214"/>
      <c r="BY32" s="199">
        <f t="shared" si="28"/>
        <v>495</v>
      </c>
      <c r="BZ32" s="199"/>
      <c r="CA32" s="247">
        <f t="shared" si="29"/>
        <v>165</v>
      </c>
      <c r="CB32" s="11" t="s">
        <v>258</v>
      </c>
    </row>
    <row r="33" spans="2:80" ht="15.75" thickBot="1" x14ac:dyDescent="0.3">
      <c r="B33" s="217" t="s">
        <v>115</v>
      </c>
      <c r="C33" s="198"/>
      <c r="D33" s="217" t="str">
        <f>IFERROR(VLOOKUP(B33,'DATOS GRALES 1'!$B$2:$E$91,4,0),"")</f>
        <v>OPERARIO</v>
      </c>
      <c r="E33" s="251">
        <f t="shared" si="18"/>
        <v>4200</v>
      </c>
      <c r="F33" s="220">
        <f t="shared" si="19"/>
        <v>140</v>
      </c>
      <c r="H33" s="253" t="s">
        <v>67</v>
      </c>
      <c r="I33" s="253" t="s">
        <v>67</v>
      </c>
      <c r="J33" s="253" t="s">
        <v>67</v>
      </c>
      <c r="K33" s="253" t="s">
        <v>67</v>
      </c>
      <c r="L33" s="253" t="s">
        <v>67</v>
      </c>
      <c r="M33" s="253" t="s">
        <v>67</v>
      </c>
      <c r="N33" s="253" t="s">
        <v>67</v>
      </c>
      <c r="O33" s="253" t="s">
        <v>67</v>
      </c>
      <c r="P33" s="253" t="s">
        <v>67</v>
      </c>
      <c r="Q33" s="253" t="s">
        <v>67</v>
      </c>
      <c r="R33" s="253" t="s">
        <v>67</v>
      </c>
      <c r="S33" s="253" t="s">
        <v>67</v>
      </c>
      <c r="T33" s="253" t="s">
        <v>67</v>
      </c>
      <c r="U33" s="253" t="s">
        <v>67</v>
      </c>
      <c r="V33" s="253" t="s">
        <v>67</v>
      </c>
      <c r="W33" s="253" t="s">
        <v>67</v>
      </c>
      <c r="X33" s="253" t="s">
        <v>67</v>
      </c>
      <c r="Y33" s="253" t="s">
        <v>67</v>
      </c>
      <c r="Z33" s="253"/>
      <c r="AA33" s="253"/>
      <c r="AB33" s="253"/>
      <c r="AC33" s="253"/>
      <c r="AD33" s="253"/>
      <c r="AE33" s="253"/>
      <c r="AF33" s="253"/>
      <c r="AG33" s="253"/>
      <c r="AH33" s="253"/>
      <c r="AI33" s="253"/>
      <c r="AJ33" s="253"/>
      <c r="AK33" s="253"/>
      <c r="AL33" s="253"/>
      <c r="AM33" s="255"/>
      <c r="AN33" s="253"/>
      <c r="AO33" s="253"/>
      <c r="AP33" s="253"/>
      <c r="AQ33" s="253"/>
      <c r="AR33" s="253"/>
      <c r="AS33" s="255"/>
      <c r="AT33" s="255"/>
      <c r="AU33" s="255"/>
      <c r="AV33" s="255"/>
      <c r="AW33" s="255"/>
      <c r="AX33" s="255"/>
      <c r="AZ33" s="223">
        <f t="shared" si="5"/>
        <v>18</v>
      </c>
      <c r="BA33" s="223" t="str">
        <f t="shared" si="6"/>
        <v/>
      </c>
      <c r="BB33" s="223">
        <f t="shared" si="7"/>
        <v>0</v>
      </c>
      <c r="BC33" s="223">
        <f t="shared" si="8"/>
        <v>18</v>
      </c>
      <c r="BE33" s="199">
        <f t="shared" si="20"/>
        <v>2520</v>
      </c>
      <c r="BF33" s="27">
        <f>_xlfn.XLOOKUP(B33,'TAREO HORAS EXTRAS'!$C$15:$C$51,'TAREO HORAS EXTRAS'!$AO$15:$AO$51,0)</f>
        <v>0</v>
      </c>
      <c r="BG33" s="200">
        <f t="shared" si="21"/>
        <v>0</v>
      </c>
      <c r="BH33" s="200"/>
      <c r="BI33" s="226"/>
      <c r="BJ33" s="228"/>
      <c r="BK33" s="226"/>
      <c r="BL33" s="228"/>
      <c r="BM33" s="226"/>
      <c r="BN33" s="228"/>
      <c r="BO33" s="226"/>
      <c r="BP33" s="228"/>
      <c r="BQ33" s="227">
        <f t="shared" si="22"/>
        <v>0</v>
      </c>
      <c r="BS33" s="241">
        <f t="shared" si="23"/>
        <v>273</v>
      </c>
      <c r="BT33" s="225">
        <f t="shared" si="24"/>
        <v>42</v>
      </c>
      <c r="BU33" s="224">
        <f t="shared" si="25"/>
        <v>273</v>
      </c>
      <c r="BV33" s="224">
        <f t="shared" si="26"/>
        <v>42</v>
      </c>
      <c r="BW33" s="243">
        <f t="shared" si="27"/>
        <v>630</v>
      </c>
      <c r="BX33" s="214"/>
      <c r="BY33" s="199">
        <f t="shared" si="28"/>
        <v>630</v>
      </c>
      <c r="BZ33" s="199"/>
      <c r="CA33" s="247">
        <f t="shared" si="29"/>
        <v>1890</v>
      </c>
      <c r="CB33" s="11" t="s">
        <v>258</v>
      </c>
    </row>
    <row r="34" spans="2:80" ht="15.75" thickBot="1" x14ac:dyDescent="0.3">
      <c r="B34" s="217" t="s">
        <v>133</v>
      </c>
      <c r="C34" s="198"/>
      <c r="D34" s="217" t="str">
        <f>IFERROR(VLOOKUP(B34,'DATOS GRALES 1'!$B$2:$E$91,4,0),"")</f>
        <v>OPERARIO</v>
      </c>
      <c r="E34" s="251">
        <f t="shared" si="18"/>
        <v>4200</v>
      </c>
      <c r="F34" s="220">
        <f t="shared" si="19"/>
        <v>140</v>
      </c>
      <c r="H34" s="253" t="s">
        <v>67</v>
      </c>
      <c r="I34" s="253" t="s">
        <v>67</v>
      </c>
      <c r="J34" s="253" t="s">
        <v>67</v>
      </c>
      <c r="K34" s="253" t="s">
        <v>67</v>
      </c>
      <c r="L34" s="253" t="s">
        <v>67</v>
      </c>
      <c r="M34" s="253" t="s">
        <v>67</v>
      </c>
      <c r="N34" s="253" t="s">
        <v>67</v>
      </c>
      <c r="O34" s="253" t="s">
        <v>67</v>
      </c>
      <c r="P34" s="253" t="s">
        <v>67</v>
      </c>
      <c r="Q34" s="253" t="s">
        <v>67</v>
      </c>
      <c r="R34" s="253" t="s">
        <v>67</v>
      </c>
      <c r="S34" s="253" t="s">
        <v>67</v>
      </c>
      <c r="T34" s="253" t="s">
        <v>67</v>
      </c>
      <c r="U34" s="253" t="s">
        <v>67</v>
      </c>
      <c r="V34" s="253" t="s">
        <v>67</v>
      </c>
      <c r="W34" s="253" t="s">
        <v>67</v>
      </c>
      <c r="X34" s="253" t="s">
        <v>67</v>
      </c>
      <c r="Y34" s="253" t="s">
        <v>67</v>
      </c>
      <c r="Z34" s="253"/>
      <c r="AA34" s="253"/>
      <c r="AB34" s="253"/>
      <c r="AC34" s="253"/>
      <c r="AD34" s="253"/>
      <c r="AE34" s="253"/>
      <c r="AF34" s="253"/>
      <c r="AG34" s="253"/>
      <c r="AH34" s="253"/>
      <c r="AI34" s="253"/>
      <c r="AJ34" s="253"/>
      <c r="AK34" s="253"/>
      <c r="AL34" s="253"/>
      <c r="AM34" s="255"/>
      <c r="AN34" s="253"/>
      <c r="AO34" s="253"/>
      <c r="AP34" s="253"/>
      <c r="AQ34" s="253"/>
      <c r="AR34" s="253"/>
      <c r="AS34" s="255"/>
      <c r="AT34" s="255"/>
      <c r="AU34" s="255"/>
      <c r="AV34" s="255"/>
      <c r="AW34" s="255"/>
      <c r="AX34" s="255"/>
      <c r="AZ34" s="223">
        <f t="shared" si="5"/>
        <v>18</v>
      </c>
      <c r="BA34" s="223" t="str">
        <f t="shared" si="6"/>
        <v/>
      </c>
      <c r="BB34" s="223">
        <f t="shared" si="7"/>
        <v>0</v>
      </c>
      <c r="BC34" s="223">
        <f t="shared" si="8"/>
        <v>18</v>
      </c>
      <c r="BE34" s="199">
        <f t="shared" si="20"/>
        <v>2520</v>
      </c>
      <c r="BF34" s="27">
        <f>_xlfn.XLOOKUP(B34,'TAREO HORAS EXTRAS'!$C$15:$C$51,'TAREO HORAS EXTRAS'!$AO$15:$AO$51,0)</f>
        <v>0</v>
      </c>
      <c r="BG34" s="200">
        <f t="shared" si="21"/>
        <v>0</v>
      </c>
      <c r="BH34" s="200"/>
      <c r="BI34" s="226"/>
      <c r="BJ34" s="228"/>
      <c r="BK34" s="226"/>
      <c r="BL34" s="228"/>
      <c r="BM34" s="226"/>
      <c r="BN34" s="228"/>
      <c r="BO34" s="226"/>
      <c r="BP34" s="228"/>
      <c r="BQ34" s="227">
        <f t="shared" si="22"/>
        <v>0</v>
      </c>
      <c r="BS34" s="241">
        <f t="shared" si="23"/>
        <v>273</v>
      </c>
      <c r="BT34" s="225">
        <f t="shared" si="24"/>
        <v>42</v>
      </c>
      <c r="BU34" s="224">
        <f t="shared" si="25"/>
        <v>273</v>
      </c>
      <c r="BV34" s="224">
        <f t="shared" si="26"/>
        <v>42</v>
      </c>
      <c r="BW34" s="243">
        <f t="shared" si="27"/>
        <v>630</v>
      </c>
      <c r="BX34" s="214"/>
      <c r="BY34" s="199">
        <f t="shared" si="28"/>
        <v>630</v>
      </c>
      <c r="BZ34" s="199"/>
      <c r="CA34" s="247">
        <f t="shared" si="29"/>
        <v>1890</v>
      </c>
      <c r="CB34" s="11" t="s">
        <v>258</v>
      </c>
    </row>
    <row r="35" spans="2:80" ht="15.75" thickBot="1" x14ac:dyDescent="0.3">
      <c r="B35" s="217" t="s">
        <v>202</v>
      </c>
      <c r="C35" s="198"/>
      <c r="D35" s="217" t="str">
        <f>IFERROR(VLOOKUP(B35,'DATOS GRALES 1'!$B$2:$E$91,4,0),"")</f>
        <v>PEÓN</v>
      </c>
      <c r="E35" s="251">
        <f t="shared" si="18"/>
        <v>4200</v>
      </c>
      <c r="F35" s="220">
        <f t="shared" si="19"/>
        <v>140</v>
      </c>
      <c r="H35" s="253" t="s">
        <v>67</v>
      </c>
      <c r="I35" s="253" t="s">
        <v>67</v>
      </c>
      <c r="J35" s="253" t="s">
        <v>67</v>
      </c>
      <c r="K35" s="253" t="s">
        <v>67</v>
      </c>
      <c r="L35" s="253" t="s">
        <v>67</v>
      </c>
      <c r="M35" s="253" t="s">
        <v>67</v>
      </c>
      <c r="N35" s="253" t="s">
        <v>67</v>
      </c>
      <c r="O35" s="253" t="s">
        <v>67</v>
      </c>
      <c r="P35" s="253" t="s">
        <v>67</v>
      </c>
      <c r="Q35" s="253" t="s">
        <v>67</v>
      </c>
      <c r="R35" s="253" t="s">
        <v>67</v>
      </c>
      <c r="S35" s="253" t="s">
        <v>67</v>
      </c>
      <c r="T35" s="253" t="s">
        <v>67</v>
      </c>
      <c r="U35" s="253" t="s">
        <v>67</v>
      </c>
      <c r="V35" s="253" t="s">
        <v>67</v>
      </c>
      <c r="W35" s="253" t="s">
        <v>67</v>
      </c>
      <c r="X35" s="253" t="s">
        <v>67</v>
      </c>
      <c r="Y35" s="253" t="s">
        <v>67</v>
      </c>
      <c r="Z35" s="253"/>
      <c r="AA35" s="253"/>
      <c r="AB35" s="253"/>
      <c r="AC35" s="253"/>
      <c r="AD35" s="253"/>
      <c r="AE35" s="253"/>
      <c r="AF35" s="253"/>
      <c r="AG35" s="253"/>
      <c r="AH35" s="253"/>
      <c r="AI35" s="253"/>
      <c r="AJ35" s="253"/>
      <c r="AK35" s="253"/>
      <c r="AL35" s="253"/>
      <c r="AM35" s="255"/>
      <c r="AN35" s="253"/>
      <c r="AO35" s="253"/>
      <c r="AP35" s="253"/>
      <c r="AQ35" s="253"/>
      <c r="AR35" s="253"/>
      <c r="AS35" s="255"/>
      <c r="AT35" s="255"/>
      <c r="AU35" s="255"/>
      <c r="AV35" s="255"/>
      <c r="AW35" s="255"/>
      <c r="AX35" s="255"/>
      <c r="AZ35" s="223">
        <f t="shared" si="5"/>
        <v>18</v>
      </c>
      <c r="BA35" s="223" t="str">
        <f t="shared" si="6"/>
        <v/>
      </c>
      <c r="BB35" s="223">
        <f t="shared" si="7"/>
        <v>0</v>
      </c>
      <c r="BC35" s="223">
        <f t="shared" si="8"/>
        <v>18</v>
      </c>
      <c r="BE35" s="199">
        <f t="shared" si="20"/>
        <v>2520</v>
      </c>
      <c r="BF35" s="27">
        <f>_xlfn.XLOOKUP(B35,'TAREO HORAS EXTRAS'!$C$15:$C$51,'TAREO HORAS EXTRAS'!$AO$15:$AO$51,0)</f>
        <v>7</v>
      </c>
      <c r="BG35" s="200">
        <f t="shared" si="21"/>
        <v>122.5</v>
      </c>
      <c r="BH35" s="200"/>
      <c r="BI35" s="226"/>
      <c r="BJ35" s="228"/>
      <c r="BK35" s="226"/>
      <c r="BL35" s="228"/>
      <c r="BM35" s="226"/>
      <c r="BN35" s="228"/>
      <c r="BO35" s="226"/>
      <c r="BP35" s="228"/>
      <c r="BQ35" s="227">
        <f t="shared" si="22"/>
        <v>0</v>
      </c>
      <c r="BS35" s="241">
        <f t="shared" si="23"/>
        <v>273</v>
      </c>
      <c r="BT35" s="225">
        <f t="shared" si="24"/>
        <v>42</v>
      </c>
      <c r="BU35" s="224">
        <f t="shared" si="25"/>
        <v>273</v>
      </c>
      <c r="BV35" s="224">
        <f t="shared" si="26"/>
        <v>42</v>
      </c>
      <c r="BW35" s="243">
        <f t="shared" si="27"/>
        <v>630</v>
      </c>
      <c r="BX35" s="214"/>
      <c r="BY35" s="199">
        <f t="shared" si="28"/>
        <v>630</v>
      </c>
      <c r="BZ35" s="199"/>
      <c r="CA35" s="247">
        <f t="shared" si="29"/>
        <v>1890</v>
      </c>
      <c r="CB35" s="11" t="s">
        <v>258</v>
      </c>
    </row>
    <row r="36" spans="2:80" ht="15.75" thickBot="1" x14ac:dyDescent="0.3">
      <c r="B36" s="217" t="s">
        <v>184</v>
      </c>
      <c r="C36" s="198"/>
      <c r="D36" s="217" t="s">
        <v>88</v>
      </c>
      <c r="E36" s="251">
        <f t="shared" si="18"/>
        <v>3300</v>
      </c>
      <c r="F36" s="220">
        <f t="shared" si="19"/>
        <v>110</v>
      </c>
      <c r="H36" s="253" t="s">
        <v>67</v>
      </c>
      <c r="I36" s="253" t="s">
        <v>67</v>
      </c>
      <c r="J36" s="253" t="s">
        <v>67</v>
      </c>
      <c r="K36" s="253" t="s">
        <v>67</v>
      </c>
      <c r="L36" s="253" t="s">
        <v>67</v>
      </c>
      <c r="M36" s="253" t="s">
        <v>67</v>
      </c>
      <c r="N36" s="253" t="s">
        <v>67</v>
      </c>
      <c r="O36" s="253" t="s">
        <v>67</v>
      </c>
      <c r="P36" s="253" t="s">
        <v>67</v>
      </c>
      <c r="Q36" s="253" t="s">
        <v>67</v>
      </c>
      <c r="R36" s="253" t="s">
        <v>67</v>
      </c>
      <c r="S36" s="253" t="s">
        <v>67</v>
      </c>
      <c r="T36" s="253" t="s">
        <v>67</v>
      </c>
      <c r="U36" s="253" t="s">
        <v>67</v>
      </c>
      <c r="V36" s="253" t="s">
        <v>67</v>
      </c>
      <c r="W36" s="253" t="s">
        <v>67</v>
      </c>
      <c r="X36" s="253" t="s">
        <v>67</v>
      </c>
      <c r="Y36" s="253" t="s">
        <v>67</v>
      </c>
      <c r="Z36" s="253"/>
      <c r="AA36" s="253"/>
      <c r="AB36" s="253"/>
      <c r="AC36" s="253"/>
      <c r="AD36" s="253"/>
      <c r="AE36" s="253"/>
      <c r="AF36" s="253"/>
      <c r="AG36" s="253"/>
      <c r="AH36" s="253"/>
      <c r="AI36" s="253"/>
      <c r="AJ36" s="253"/>
      <c r="AK36" s="253"/>
      <c r="AL36" s="253"/>
      <c r="AM36" s="255"/>
      <c r="AN36" s="253"/>
      <c r="AO36" s="253"/>
      <c r="AP36" s="253"/>
      <c r="AQ36" s="253"/>
      <c r="AR36" s="253"/>
      <c r="AS36" s="255"/>
      <c r="AT36" s="255"/>
      <c r="AU36" s="255"/>
      <c r="AV36" s="255"/>
      <c r="AW36" s="255"/>
      <c r="AX36" s="255"/>
      <c r="AZ36" s="223">
        <f t="shared" si="5"/>
        <v>18</v>
      </c>
      <c r="BA36" s="223" t="str">
        <f t="shared" si="6"/>
        <v/>
      </c>
      <c r="BB36" s="223">
        <f t="shared" si="7"/>
        <v>0</v>
      </c>
      <c r="BC36" s="223">
        <f t="shared" si="8"/>
        <v>18</v>
      </c>
      <c r="BE36" s="199">
        <f t="shared" si="20"/>
        <v>1980</v>
      </c>
      <c r="BF36" s="27">
        <f>_xlfn.XLOOKUP(B36,'TAREO HORAS EXTRAS'!$C$15:$C$51,'TAREO HORAS EXTRAS'!$AO$15:$AO$51,0)</f>
        <v>6</v>
      </c>
      <c r="BG36" s="200">
        <f t="shared" si="21"/>
        <v>82.5</v>
      </c>
      <c r="BH36" s="200"/>
      <c r="BI36" s="226"/>
      <c r="BJ36" s="228"/>
      <c r="BK36" s="226"/>
      <c r="BL36" s="228"/>
      <c r="BM36" s="226"/>
      <c r="BN36" s="228"/>
      <c r="BO36" s="226"/>
      <c r="BP36" s="228"/>
      <c r="BQ36" s="227">
        <f t="shared" si="22"/>
        <v>0</v>
      </c>
      <c r="BS36" s="241">
        <f t="shared" si="23"/>
        <v>214.5</v>
      </c>
      <c r="BT36" s="225">
        <f t="shared" si="24"/>
        <v>33</v>
      </c>
      <c r="BU36" s="224">
        <f t="shared" si="25"/>
        <v>214.5</v>
      </c>
      <c r="BV36" s="224">
        <f t="shared" si="26"/>
        <v>33</v>
      </c>
      <c r="BW36" s="243">
        <f t="shared" si="27"/>
        <v>495</v>
      </c>
      <c r="BX36" s="214"/>
      <c r="BY36" s="199">
        <f t="shared" si="28"/>
        <v>495</v>
      </c>
      <c r="BZ36" s="199"/>
      <c r="CA36" s="247">
        <f t="shared" si="29"/>
        <v>1485</v>
      </c>
      <c r="CB36" s="11" t="s">
        <v>258</v>
      </c>
    </row>
    <row r="37" spans="2:80" ht="15.75" thickBot="1" x14ac:dyDescent="0.3">
      <c r="B37" s="217" t="s">
        <v>196</v>
      </c>
      <c r="C37" s="198"/>
      <c r="D37" s="217" t="s">
        <v>88</v>
      </c>
      <c r="E37" s="251">
        <f t="shared" si="18"/>
        <v>3300</v>
      </c>
      <c r="F37" s="220">
        <f t="shared" si="19"/>
        <v>110</v>
      </c>
      <c r="H37" s="253" t="s">
        <v>67</v>
      </c>
      <c r="I37" s="253" t="s">
        <v>67</v>
      </c>
      <c r="J37" s="253" t="s">
        <v>67</v>
      </c>
      <c r="K37" s="253" t="s">
        <v>67</v>
      </c>
      <c r="L37" s="253" t="s">
        <v>67</v>
      </c>
      <c r="M37" s="253" t="s">
        <v>67</v>
      </c>
      <c r="N37" s="253" t="s">
        <v>67</v>
      </c>
      <c r="O37" s="253" t="s">
        <v>67</v>
      </c>
      <c r="P37" s="253" t="s">
        <v>67</v>
      </c>
      <c r="Q37" s="253" t="s">
        <v>67</v>
      </c>
      <c r="R37" s="253" t="s">
        <v>67</v>
      </c>
      <c r="S37" s="253" t="s">
        <v>67</v>
      </c>
      <c r="T37" s="253" t="s">
        <v>67</v>
      </c>
      <c r="U37" s="253" t="s">
        <v>67</v>
      </c>
      <c r="V37" s="253" t="s">
        <v>67</v>
      </c>
      <c r="W37" s="253" t="s">
        <v>67</v>
      </c>
      <c r="X37" s="253" t="s">
        <v>67</v>
      </c>
      <c r="Y37" s="253" t="s">
        <v>67</v>
      </c>
      <c r="Z37" s="253"/>
      <c r="AA37" s="253"/>
      <c r="AB37" s="253"/>
      <c r="AC37" s="253"/>
      <c r="AD37" s="253"/>
      <c r="AE37" s="253"/>
      <c r="AF37" s="253"/>
      <c r="AG37" s="253"/>
      <c r="AH37" s="253"/>
      <c r="AI37" s="253"/>
      <c r="AJ37" s="253"/>
      <c r="AK37" s="253"/>
      <c r="AL37" s="253"/>
      <c r="AM37" s="255"/>
      <c r="AN37" s="253"/>
      <c r="AO37" s="253"/>
      <c r="AP37" s="253"/>
      <c r="AQ37" s="253"/>
      <c r="AR37" s="253"/>
      <c r="AS37" s="255"/>
      <c r="AT37" s="255"/>
      <c r="AU37" s="255"/>
      <c r="AV37" s="255"/>
      <c r="AW37" s="255"/>
      <c r="AX37" s="255"/>
      <c r="AZ37" s="223">
        <f t="shared" si="5"/>
        <v>18</v>
      </c>
      <c r="BA37" s="223" t="str">
        <f t="shared" si="6"/>
        <v/>
      </c>
      <c r="BB37" s="223">
        <f t="shared" si="7"/>
        <v>0</v>
      </c>
      <c r="BC37" s="223">
        <f t="shared" si="8"/>
        <v>18</v>
      </c>
      <c r="BE37" s="199">
        <f t="shared" si="20"/>
        <v>1980</v>
      </c>
      <c r="BF37" s="27">
        <f>_xlfn.XLOOKUP(B37,'TAREO HORAS EXTRAS'!$C$15:$C$51,'TAREO HORAS EXTRAS'!$AO$15:$AO$51,0)</f>
        <v>2</v>
      </c>
      <c r="BG37" s="200">
        <f t="shared" si="21"/>
        <v>27.5</v>
      </c>
      <c r="BH37" s="200"/>
      <c r="BI37" s="226"/>
      <c r="BJ37" s="228"/>
      <c r="BK37" s="226"/>
      <c r="BL37" s="228"/>
      <c r="BM37" s="226"/>
      <c r="BN37" s="228"/>
      <c r="BO37" s="226"/>
      <c r="BP37" s="228"/>
      <c r="BQ37" s="227">
        <f t="shared" si="22"/>
        <v>0</v>
      </c>
      <c r="BS37" s="241">
        <f t="shared" si="23"/>
        <v>214.5</v>
      </c>
      <c r="BT37" s="225">
        <f t="shared" si="24"/>
        <v>33</v>
      </c>
      <c r="BU37" s="224">
        <f t="shared" si="25"/>
        <v>214.5</v>
      </c>
      <c r="BV37" s="224">
        <f t="shared" si="26"/>
        <v>33</v>
      </c>
      <c r="BW37" s="243">
        <f t="shared" si="27"/>
        <v>495</v>
      </c>
      <c r="BX37" s="214"/>
      <c r="BY37" s="199">
        <f t="shared" si="28"/>
        <v>495</v>
      </c>
      <c r="BZ37" s="199"/>
      <c r="CA37" s="247">
        <f t="shared" si="29"/>
        <v>1485</v>
      </c>
      <c r="CB37" s="11" t="s">
        <v>258</v>
      </c>
    </row>
    <row r="38" spans="2:80" ht="15.75" thickBot="1" x14ac:dyDescent="0.3">
      <c r="B38" s="217" t="s">
        <v>243</v>
      </c>
      <c r="C38" s="198"/>
      <c r="D38" s="217" t="str">
        <f>IFERROR(VLOOKUP(B38,'DATOS GRALES 1'!$B$2:$E$91,4,0),"")</f>
        <v>PEON</v>
      </c>
      <c r="E38" s="251">
        <f t="shared" si="18"/>
        <v>3300</v>
      </c>
      <c r="F38" s="220">
        <f t="shared" si="19"/>
        <v>110</v>
      </c>
      <c r="H38" s="253" t="s">
        <v>67</v>
      </c>
      <c r="I38" s="253" t="s">
        <v>67</v>
      </c>
      <c r="J38" s="253" t="s">
        <v>67</v>
      </c>
      <c r="K38" s="253" t="s">
        <v>67</v>
      </c>
      <c r="L38" s="253" t="s">
        <v>67</v>
      </c>
      <c r="M38" s="253" t="s">
        <v>67</v>
      </c>
      <c r="N38" s="253" t="s">
        <v>78</v>
      </c>
      <c r="O38" s="253" t="s">
        <v>78</v>
      </c>
      <c r="P38" s="253" t="s">
        <v>78</v>
      </c>
      <c r="Q38" s="253" t="s">
        <v>78</v>
      </c>
      <c r="R38" s="253" t="s">
        <v>78</v>
      </c>
      <c r="S38" s="253" t="s">
        <v>78</v>
      </c>
      <c r="T38" s="253" t="s">
        <v>78</v>
      </c>
      <c r="U38" s="253" t="s">
        <v>78</v>
      </c>
      <c r="V38" s="253" t="s">
        <v>78</v>
      </c>
      <c r="W38" s="253" t="s">
        <v>78</v>
      </c>
      <c r="X38" s="253" t="s">
        <v>78</v>
      </c>
      <c r="Y38" s="253" t="s">
        <v>78</v>
      </c>
      <c r="Z38" s="253"/>
      <c r="AA38" s="253"/>
      <c r="AB38" s="253"/>
      <c r="AC38" s="253"/>
      <c r="AD38" s="253"/>
      <c r="AE38" s="253"/>
      <c r="AF38" s="253"/>
      <c r="AG38" s="253"/>
      <c r="AH38" s="253"/>
      <c r="AI38" s="253"/>
      <c r="AJ38" s="253"/>
      <c r="AK38" s="253"/>
      <c r="AL38" s="253"/>
      <c r="AM38" s="255"/>
      <c r="AN38" s="253"/>
      <c r="AO38" s="253"/>
      <c r="AP38" s="253"/>
      <c r="AQ38" s="253"/>
      <c r="AR38" s="253"/>
      <c r="AS38" s="255"/>
      <c r="AT38" s="255"/>
      <c r="AU38" s="255"/>
      <c r="AV38" s="255"/>
      <c r="AW38" s="255"/>
      <c r="AX38" s="255"/>
      <c r="AZ38" s="223">
        <f t="shared" si="5"/>
        <v>6</v>
      </c>
      <c r="BA38" s="223">
        <f t="shared" si="6"/>
        <v>12</v>
      </c>
      <c r="BB38" s="223">
        <f t="shared" si="7"/>
        <v>0</v>
      </c>
      <c r="BC38" s="223">
        <f t="shared" si="8"/>
        <v>18</v>
      </c>
      <c r="BE38" s="199">
        <f t="shared" si="20"/>
        <v>660</v>
      </c>
      <c r="BF38" s="27">
        <f>_xlfn.XLOOKUP(B38,'TAREO HORAS EXTRAS'!$C$15:$C$51,'TAREO HORAS EXTRAS'!$AO$15:$AO$51,0)</f>
        <v>0</v>
      </c>
      <c r="BG38" s="200">
        <f t="shared" si="21"/>
        <v>0</v>
      </c>
      <c r="BH38" s="200"/>
      <c r="BI38" s="226"/>
      <c r="BJ38" s="228"/>
      <c r="BK38" s="226"/>
      <c r="BL38" s="228"/>
      <c r="BM38" s="226"/>
      <c r="BN38" s="228"/>
      <c r="BO38" s="226"/>
      <c r="BP38" s="228"/>
      <c r="BQ38" s="227">
        <f t="shared" si="22"/>
        <v>0</v>
      </c>
      <c r="BS38" s="241">
        <f t="shared" si="23"/>
        <v>214.5</v>
      </c>
      <c r="BT38" s="225">
        <f t="shared" si="24"/>
        <v>33</v>
      </c>
      <c r="BU38" s="224">
        <f t="shared" si="25"/>
        <v>214.5</v>
      </c>
      <c r="BV38" s="224">
        <f t="shared" si="26"/>
        <v>33</v>
      </c>
      <c r="BW38" s="243">
        <f t="shared" si="27"/>
        <v>495</v>
      </c>
      <c r="BX38" s="214"/>
      <c r="BY38" s="199">
        <f t="shared" si="28"/>
        <v>495</v>
      </c>
      <c r="BZ38" s="199"/>
      <c r="CA38" s="247">
        <f t="shared" si="29"/>
        <v>165</v>
      </c>
      <c r="CB38" s="11" t="s">
        <v>258</v>
      </c>
    </row>
    <row r="39" spans="2:80" ht="15.75" thickBot="1" x14ac:dyDescent="0.3">
      <c r="B39" s="217" t="s">
        <v>244</v>
      </c>
      <c r="C39" s="198"/>
      <c r="D39" s="217" t="str">
        <f>IFERROR(VLOOKUP(B39,'DATOS GRALES 1'!$B$2:$E$91,4,0),"")</f>
        <v>PEON</v>
      </c>
      <c r="E39" s="251">
        <f t="shared" si="18"/>
        <v>3300</v>
      </c>
      <c r="F39" s="220">
        <f t="shared" si="19"/>
        <v>110</v>
      </c>
      <c r="H39" s="253" t="s">
        <v>67</v>
      </c>
      <c r="I39" s="253" t="s">
        <v>67</v>
      </c>
      <c r="J39" s="253" t="s">
        <v>67</v>
      </c>
      <c r="K39" s="253" t="s">
        <v>67</v>
      </c>
      <c r="L39" s="253" t="s">
        <v>67</v>
      </c>
      <c r="M39" s="253" t="s">
        <v>67</v>
      </c>
      <c r="N39" s="253" t="s">
        <v>67</v>
      </c>
      <c r="O39" s="253" t="s">
        <v>67</v>
      </c>
      <c r="P39" s="253" t="s">
        <v>67</v>
      </c>
      <c r="Q39" s="253" t="s">
        <v>67</v>
      </c>
      <c r="R39" s="253" t="s">
        <v>67</v>
      </c>
      <c r="S39" s="253" t="s">
        <v>67</v>
      </c>
      <c r="T39" s="253" t="s">
        <v>67</v>
      </c>
      <c r="U39" s="253" t="s">
        <v>67</v>
      </c>
      <c r="V39" s="253" t="s">
        <v>67</v>
      </c>
      <c r="W39" s="253" t="s">
        <v>67</v>
      </c>
      <c r="X39" s="253" t="s">
        <v>67</v>
      </c>
      <c r="Y39" s="253" t="s">
        <v>67</v>
      </c>
      <c r="Z39" s="253"/>
      <c r="AA39" s="253"/>
      <c r="AB39" s="253"/>
      <c r="AC39" s="253"/>
      <c r="AD39" s="253"/>
      <c r="AE39" s="253"/>
      <c r="AF39" s="253"/>
      <c r="AG39" s="253"/>
      <c r="AH39" s="253"/>
      <c r="AI39" s="253"/>
      <c r="AJ39" s="253"/>
      <c r="AK39" s="253"/>
      <c r="AL39" s="253"/>
      <c r="AM39" s="255"/>
      <c r="AN39" s="253"/>
      <c r="AO39" s="253"/>
      <c r="AP39" s="253"/>
      <c r="AQ39" s="253"/>
      <c r="AR39" s="253"/>
      <c r="AS39" s="255"/>
      <c r="AT39" s="255"/>
      <c r="AU39" s="255"/>
      <c r="AV39" s="255"/>
      <c r="AW39" s="255"/>
      <c r="AX39" s="255"/>
      <c r="AZ39" s="223">
        <f t="shared" si="5"/>
        <v>18</v>
      </c>
      <c r="BA39" s="223" t="str">
        <f t="shared" si="6"/>
        <v/>
      </c>
      <c r="BB39" s="223">
        <f t="shared" si="7"/>
        <v>0</v>
      </c>
      <c r="BC39" s="223">
        <f t="shared" si="8"/>
        <v>18</v>
      </c>
      <c r="BE39" s="199">
        <f t="shared" si="20"/>
        <v>1980</v>
      </c>
      <c r="BF39" s="27">
        <f>_xlfn.XLOOKUP(B39,'TAREO HORAS EXTRAS'!$C$15:$C$51,'TAREO HORAS EXTRAS'!$AO$15:$AO$51,0)</f>
        <v>3</v>
      </c>
      <c r="BG39" s="200">
        <f t="shared" si="21"/>
        <v>41.25</v>
      </c>
      <c r="BH39" s="200"/>
      <c r="BI39" s="226"/>
      <c r="BJ39" s="228"/>
      <c r="BK39" s="226"/>
      <c r="BL39" s="228"/>
      <c r="BM39" s="226"/>
      <c r="BN39" s="228"/>
      <c r="BO39" s="226"/>
      <c r="BP39" s="228"/>
      <c r="BQ39" s="227">
        <f t="shared" si="22"/>
        <v>0</v>
      </c>
      <c r="BS39" s="241">
        <f t="shared" si="23"/>
        <v>214.5</v>
      </c>
      <c r="BT39" s="225">
        <f t="shared" si="24"/>
        <v>33</v>
      </c>
      <c r="BU39" s="224">
        <f t="shared" si="25"/>
        <v>214.5</v>
      </c>
      <c r="BV39" s="224">
        <f t="shared" si="26"/>
        <v>33</v>
      </c>
      <c r="BW39" s="243">
        <f t="shared" si="27"/>
        <v>495</v>
      </c>
      <c r="BX39" s="214"/>
      <c r="BY39" s="199">
        <f t="shared" si="28"/>
        <v>495</v>
      </c>
      <c r="BZ39" s="199"/>
      <c r="CA39" s="247">
        <f t="shared" si="29"/>
        <v>1485</v>
      </c>
      <c r="CB39" s="11" t="s">
        <v>258</v>
      </c>
    </row>
    <row r="40" spans="2:80" ht="15.75" thickBot="1" x14ac:dyDescent="0.3">
      <c r="B40" s="217" t="s">
        <v>245</v>
      </c>
      <c r="C40" s="198"/>
      <c r="D40" s="217" t="str">
        <f>IFERROR(VLOOKUP(B40,'DATOS GRALES 1'!$B$2:$E$91,4,0),"")</f>
        <v>OPERARIO</v>
      </c>
      <c r="E40" s="251">
        <f t="shared" si="18"/>
        <v>4200</v>
      </c>
      <c r="F40" s="220">
        <f t="shared" si="19"/>
        <v>140</v>
      </c>
      <c r="H40" s="253" t="s">
        <v>67</v>
      </c>
      <c r="I40" s="253" t="s">
        <v>67</v>
      </c>
      <c r="J40" s="253" t="s">
        <v>67</v>
      </c>
      <c r="K40" s="253" t="s">
        <v>67</v>
      </c>
      <c r="L40" s="253" t="s">
        <v>67</v>
      </c>
      <c r="M40" s="253" t="s">
        <v>67</v>
      </c>
      <c r="N40" s="253" t="s">
        <v>67</v>
      </c>
      <c r="O40" s="253" t="s">
        <v>67</v>
      </c>
      <c r="P40" s="253" t="s">
        <v>67</v>
      </c>
      <c r="Q40" s="253" t="s">
        <v>67</v>
      </c>
      <c r="R40" s="253" t="s">
        <v>67</v>
      </c>
      <c r="S40" s="253" t="s">
        <v>67</v>
      </c>
      <c r="T40" s="253" t="s">
        <v>67</v>
      </c>
      <c r="U40" s="253" t="s">
        <v>67</v>
      </c>
      <c r="V40" s="253" t="s">
        <v>67</v>
      </c>
      <c r="W40" s="253" t="s">
        <v>67</v>
      </c>
      <c r="X40" s="253" t="s">
        <v>67</v>
      </c>
      <c r="Y40" s="253" t="s">
        <v>67</v>
      </c>
      <c r="Z40" s="253"/>
      <c r="AA40" s="253"/>
      <c r="AB40" s="253"/>
      <c r="AC40" s="253"/>
      <c r="AD40" s="253"/>
      <c r="AE40" s="253"/>
      <c r="AF40" s="253"/>
      <c r="AG40" s="253"/>
      <c r="AH40" s="253"/>
      <c r="AI40" s="253"/>
      <c r="AJ40" s="253"/>
      <c r="AK40" s="253"/>
      <c r="AL40" s="253"/>
      <c r="AM40" s="255"/>
      <c r="AN40" s="253"/>
      <c r="AO40" s="253"/>
      <c r="AP40" s="253"/>
      <c r="AQ40" s="253"/>
      <c r="AR40" s="253"/>
      <c r="AS40" s="255"/>
      <c r="AT40" s="255"/>
      <c r="AU40" s="255"/>
      <c r="AV40" s="255"/>
      <c r="AW40" s="255"/>
      <c r="AX40" s="255"/>
      <c r="AZ40" s="223">
        <f t="shared" si="5"/>
        <v>18</v>
      </c>
      <c r="BA40" s="223" t="str">
        <f t="shared" si="6"/>
        <v/>
      </c>
      <c r="BB40" s="223">
        <f t="shared" si="7"/>
        <v>0</v>
      </c>
      <c r="BC40" s="223">
        <f t="shared" si="8"/>
        <v>18</v>
      </c>
      <c r="BE40" s="199">
        <f t="shared" si="20"/>
        <v>2520</v>
      </c>
      <c r="BF40" s="27">
        <f>_xlfn.XLOOKUP(B40,'TAREO HORAS EXTRAS'!$C$15:$C$51,'TAREO HORAS EXTRAS'!$AO$15:$AO$51,0)</f>
        <v>2</v>
      </c>
      <c r="BG40" s="200">
        <f t="shared" si="21"/>
        <v>35</v>
      </c>
      <c r="BH40" s="200"/>
      <c r="BI40" s="226"/>
      <c r="BJ40" s="228"/>
      <c r="BK40" s="226"/>
      <c r="BL40" s="228"/>
      <c r="BM40" s="226"/>
      <c r="BN40" s="228"/>
      <c r="BO40" s="226"/>
      <c r="BP40" s="228"/>
      <c r="BQ40" s="227">
        <f t="shared" si="22"/>
        <v>0</v>
      </c>
      <c r="BS40" s="241">
        <f t="shared" si="23"/>
        <v>273</v>
      </c>
      <c r="BT40" s="225">
        <f t="shared" si="24"/>
        <v>42</v>
      </c>
      <c r="BU40" s="224">
        <f t="shared" si="25"/>
        <v>273</v>
      </c>
      <c r="BV40" s="224">
        <f t="shared" si="26"/>
        <v>42</v>
      </c>
      <c r="BW40" s="243">
        <f t="shared" si="27"/>
        <v>630</v>
      </c>
      <c r="BX40" s="214"/>
      <c r="BY40" s="199">
        <f t="shared" si="28"/>
        <v>630</v>
      </c>
      <c r="BZ40" s="199"/>
      <c r="CA40" s="247">
        <f t="shared" si="29"/>
        <v>1890</v>
      </c>
      <c r="CB40" s="11" t="s">
        <v>258</v>
      </c>
    </row>
    <row r="41" spans="2:80" ht="15.75" thickBot="1" x14ac:dyDescent="0.3">
      <c r="B41" s="217" t="s">
        <v>246</v>
      </c>
      <c r="C41" s="198"/>
      <c r="D41" s="217" t="str">
        <f>IFERROR(VLOOKUP(B41,'DATOS GRALES 1'!$B$2:$E$91,4,0),"")</f>
        <v>OPERARIO</v>
      </c>
      <c r="E41" s="251">
        <f t="shared" si="18"/>
        <v>4200</v>
      </c>
      <c r="F41" s="220">
        <f t="shared" si="19"/>
        <v>140</v>
      </c>
      <c r="H41" s="253" t="s">
        <v>67</v>
      </c>
      <c r="I41" s="253" t="s">
        <v>67</v>
      </c>
      <c r="J41" s="253" t="s">
        <v>78</v>
      </c>
      <c r="K41" s="253" t="s">
        <v>78</v>
      </c>
      <c r="L41" s="253" t="s">
        <v>67</v>
      </c>
      <c r="M41" s="253" t="s">
        <v>78</v>
      </c>
      <c r="N41" s="253" t="s">
        <v>67</v>
      </c>
      <c r="O41" s="253" t="s">
        <v>67</v>
      </c>
      <c r="P41" s="253" t="s">
        <v>67</v>
      </c>
      <c r="Q41" s="253" t="s">
        <v>67</v>
      </c>
      <c r="R41" s="253" t="s">
        <v>67</v>
      </c>
      <c r="S41" s="253" t="s">
        <v>67</v>
      </c>
      <c r="T41" s="253" t="s">
        <v>67</v>
      </c>
      <c r="U41" s="253" t="s">
        <v>67</v>
      </c>
      <c r="V41" s="253" t="s">
        <v>67</v>
      </c>
      <c r="W41" s="253" t="s">
        <v>67</v>
      </c>
      <c r="X41" s="253" t="s">
        <v>67</v>
      </c>
      <c r="Y41" s="253" t="s">
        <v>67</v>
      </c>
      <c r="Z41" s="253"/>
      <c r="AA41" s="253"/>
      <c r="AB41" s="253"/>
      <c r="AC41" s="253"/>
      <c r="AD41" s="253"/>
      <c r="AE41" s="253"/>
      <c r="AF41" s="253"/>
      <c r="AG41" s="253"/>
      <c r="AH41" s="253"/>
      <c r="AI41" s="253"/>
      <c r="AJ41" s="253"/>
      <c r="AK41" s="253"/>
      <c r="AL41" s="253"/>
      <c r="AM41" s="255"/>
      <c r="AN41" s="253"/>
      <c r="AO41" s="253"/>
      <c r="AP41" s="253"/>
      <c r="AQ41" s="253"/>
      <c r="AR41" s="253"/>
      <c r="AS41" s="255"/>
      <c r="AT41" s="255"/>
      <c r="AU41" s="255"/>
      <c r="AV41" s="255"/>
      <c r="AW41" s="255"/>
      <c r="AX41" s="255"/>
      <c r="AZ41" s="223">
        <f t="shared" si="5"/>
        <v>15</v>
      </c>
      <c r="BA41" s="223">
        <f t="shared" si="6"/>
        <v>3</v>
      </c>
      <c r="BB41" s="223">
        <f t="shared" si="7"/>
        <v>0</v>
      </c>
      <c r="BC41" s="223">
        <f t="shared" si="8"/>
        <v>18</v>
      </c>
      <c r="BE41" s="199">
        <f t="shared" si="20"/>
        <v>2100</v>
      </c>
      <c r="BF41" s="27">
        <f>_xlfn.XLOOKUP(B41,'TAREO HORAS EXTRAS'!$C$15:$C$51,'TAREO HORAS EXTRAS'!$AO$15:$AO$51,0)</f>
        <v>4</v>
      </c>
      <c r="BG41" s="200">
        <f t="shared" si="21"/>
        <v>70</v>
      </c>
      <c r="BH41" s="200"/>
      <c r="BI41" s="226"/>
      <c r="BJ41" s="228"/>
      <c r="BK41" s="226"/>
      <c r="BL41" s="228"/>
      <c r="BM41" s="226"/>
      <c r="BN41" s="228"/>
      <c r="BO41" s="226"/>
      <c r="BP41" s="228"/>
      <c r="BQ41" s="227">
        <f t="shared" si="22"/>
        <v>0</v>
      </c>
      <c r="BS41" s="241">
        <f t="shared" si="23"/>
        <v>273</v>
      </c>
      <c r="BT41" s="225">
        <f t="shared" si="24"/>
        <v>42</v>
      </c>
      <c r="BU41" s="224">
        <f t="shared" si="25"/>
        <v>273</v>
      </c>
      <c r="BV41" s="224">
        <f t="shared" si="26"/>
        <v>42</v>
      </c>
      <c r="BW41" s="243">
        <f t="shared" si="27"/>
        <v>630</v>
      </c>
      <c r="BX41" s="214"/>
      <c r="BY41" s="199">
        <f t="shared" si="28"/>
        <v>630</v>
      </c>
      <c r="BZ41" s="199"/>
      <c r="CA41" s="247">
        <f t="shared" si="29"/>
        <v>1470</v>
      </c>
      <c r="CB41" s="11" t="s">
        <v>258</v>
      </c>
    </row>
    <row r="42" spans="2:80" ht="15.75" thickBot="1" x14ac:dyDescent="0.3">
      <c r="B42" s="217" t="s">
        <v>247</v>
      </c>
      <c r="C42" s="198"/>
      <c r="D42" s="217" t="str">
        <f>IFERROR(VLOOKUP(B42,'DATOS GRALES 1'!$B$2:$E$91,4,0),"")</f>
        <v>PEON</v>
      </c>
      <c r="E42" s="251">
        <f t="shared" si="18"/>
        <v>3300</v>
      </c>
      <c r="F42" s="220">
        <f t="shared" si="19"/>
        <v>110</v>
      </c>
      <c r="H42" s="253" t="s">
        <v>67</v>
      </c>
      <c r="I42" s="253" t="s">
        <v>67</v>
      </c>
      <c r="J42" s="253" t="s">
        <v>67</v>
      </c>
      <c r="K42" s="253" t="s">
        <v>67</v>
      </c>
      <c r="L42" s="253" t="s">
        <v>67</v>
      </c>
      <c r="M42" s="253" t="s">
        <v>67</v>
      </c>
      <c r="N42" s="253" t="s">
        <v>67</v>
      </c>
      <c r="O42" s="253" t="s">
        <v>67</v>
      </c>
      <c r="P42" s="253" t="s">
        <v>67</v>
      </c>
      <c r="Q42" s="253" t="s">
        <v>67</v>
      </c>
      <c r="R42" s="253" t="s">
        <v>67</v>
      </c>
      <c r="S42" s="253" t="s">
        <v>67</v>
      </c>
      <c r="T42" s="253" t="s">
        <v>67</v>
      </c>
      <c r="U42" s="253" t="s">
        <v>67</v>
      </c>
      <c r="V42" s="253" t="s">
        <v>67</v>
      </c>
      <c r="W42" s="253" t="s">
        <v>67</v>
      </c>
      <c r="X42" s="253" t="s">
        <v>67</v>
      </c>
      <c r="Y42" s="253" t="s">
        <v>67</v>
      </c>
      <c r="Z42" s="253"/>
      <c r="AA42" s="253"/>
      <c r="AB42" s="253"/>
      <c r="AC42" s="253"/>
      <c r="AD42" s="253"/>
      <c r="AE42" s="253"/>
      <c r="AF42" s="253"/>
      <c r="AG42" s="253"/>
      <c r="AH42" s="253"/>
      <c r="AI42" s="253"/>
      <c r="AJ42" s="253"/>
      <c r="AK42" s="253"/>
      <c r="AL42" s="253"/>
      <c r="AM42" s="255"/>
      <c r="AN42" s="253"/>
      <c r="AO42" s="253"/>
      <c r="AP42" s="253"/>
      <c r="AQ42" s="253"/>
      <c r="AR42" s="253"/>
      <c r="AS42" s="255"/>
      <c r="AT42" s="255"/>
      <c r="AU42" s="255"/>
      <c r="AV42" s="255"/>
      <c r="AW42" s="255"/>
      <c r="AX42" s="255"/>
      <c r="AZ42" s="223">
        <f t="shared" si="5"/>
        <v>18</v>
      </c>
      <c r="BA42" s="223" t="str">
        <f t="shared" si="6"/>
        <v/>
      </c>
      <c r="BB42" s="223">
        <f t="shared" si="7"/>
        <v>0</v>
      </c>
      <c r="BC42" s="223">
        <f t="shared" si="8"/>
        <v>18</v>
      </c>
      <c r="BE42" s="199">
        <f t="shared" si="20"/>
        <v>1980</v>
      </c>
      <c r="BF42" s="27">
        <f>_xlfn.XLOOKUP(B42,'TAREO HORAS EXTRAS'!$C$15:$C$51,'TAREO HORAS EXTRAS'!$AO$15:$AO$51,0)</f>
        <v>3</v>
      </c>
      <c r="BG42" s="200">
        <f t="shared" si="21"/>
        <v>41.25</v>
      </c>
      <c r="BH42" s="200"/>
      <c r="BI42" s="226"/>
      <c r="BJ42" s="228"/>
      <c r="BK42" s="226"/>
      <c r="BL42" s="228"/>
      <c r="BM42" s="226"/>
      <c r="BN42" s="228"/>
      <c r="BO42" s="226"/>
      <c r="BP42" s="228"/>
      <c r="BQ42" s="227">
        <f t="shared" si="22"/>
        <v>0</v>
      </c>
      <c r="BS42" s="241">
        <f t="shared" si="23"/>
        <v>214.5</v>
      </c>
      <c r="BT42" s="225">
        <f t="shared" si="24"/>
        <v>33</v>
      </c>
      <c r="BU42" s="224">
        <f t="shared" si="25"/>
        <v>214.5</v>
      </c>
      <c r="BV42" s="224">
        <f t="shared" si="26"/>
        <v>33</v>
      </c>
      <c r="BW42" s="243">
        <f t="shared" si="27"/>
        <v>495</v>
      </c>
      <c r="BX42" s="214"/>
      <c r="BY42" s="199">
        <f t="shared" si="28"/>
        <v>495</v>
      </c>
      <c r="BZ42" s="199"/>
      <c r="CA42" s="247">
        <f t="shared" si="29"/>
        <v>1485</v>
      </c>
      <c r="CB42" s="11" t="s">
        <v>258</v>
      </c>
    </row>
    <row r="43" spans="2:80" ht="15.75" thickBot="1" x14ac:dyDescent="0.3">
      <c r="B43" s="217" t="s">
        <v>248</v>
      </c>
      <c r="C43" s="198"/>
      <c r="D43" s="217" t="str">
        <f>IFERROR(VLOOKUP(B43,'DATOS GRALES 1'!$B$2:$E$91,4,0),"")</f>
        <v>PEON</v>
      </c>
      <c r="E43" s="251">
        <f t="shared" si="18"/>
        <v>3300</v>
      </c>
      <c r="F43" s="220">
        <f t="shared" si="19"/>
        <v>110</v>
      </c>
      <c r="H43" s="253" t="s">
        <v>67</v>
      </c>
      <c r="I43" s="253" t="s">
        <v>67</v>
      </c>
      <c r="J43" s="253" t="s">
        <v>67</v>
      </c>
      <c r="K43" s="253" t="s">
        <v>67</v>
      </c>
      <c r="L43" s="253" t="s">
        <v>67</v>
      </c>
      <c r="M43" s="253" t="s">
        <v>67</v>
      </c>
      <c r="N43" s="253" t="s">
        <v>67</v>
      </c>
      <c r="O43" s="253" t="s">
        <v>67</v>
      </c>
      <c r="P43" s="253" t="s">
        <v>67</v>
      </c>
      <c r="Q43" s="253" t="s">
        <v>67</v>
      </c>
      <c r="R43" s="253" t="s">
        <v>67</v>
      </c>
      <c r="S43" s="253" t="s">
        <v>67</v>
      </c>
      <c r="T43" s="253" t="s">
        <v>67</v>
      </c>
      <c r="U43" s="253" t="s">
        <v>78</v>
      </c>
      <c r="V43" s="253" t="s">
        <v>78</v>
      </c>
      <c r="W43" s="253" t="s">
        <v>67</v>
      </c>
      <c r="X43" s="253" t="s">
        <v>67</v>
      </c>
      <c r="Y43" s="253" t="s">
        <v>67</v>
      </c>
      <c r="Z43" s="253"/>
      <c r="AA43" s="253" t="s">
        <v>78</v>
      </c>
      <c r="AB43" s="253"/>
      <c r="AC43" s="253"/>
      <c r="AD43" s="253"/>
      <c r="AE43" s="253"/>
      <c r="AF43" s="253"/>
      <c r="AG43" s="253"/>
      <c r="AH43" s="253"/>
      <c r="AI43" s="253"/>
      <c r="AJ43" s="253"/>
      <c r="AK43" s="253"/>
      <c r="AL43" s="253"/>
      <c r="AM43" s="255"/>
      <c r="AN43" s="253" t="s">
        <v>67</v>
      </c>
      <c r="AO43" s="253"/>
      <c r="AP43" s="253"/>
      <c r="AQ43" s="253"/>
      <c r="AR43" s="253"/>
      <c r="AS43" s="255"/>
      <c r="AT43" s="255"/>
      <c r="AU43" s="255"/>
      <c r="AV43" s="255"/>
      <c r="AW43" s="255"/>
      <c r="AX43" s="255"/>
      <c r="AZ43" s="223">
        <f t="shared" si="5"/>
        <v>17</v>
      </c>
      <c r="BA43" s="223">
        <f t="shared" si="6"/>
        <v>3</v>
      </c>
      <c r="BB43" s="223">
        <f t="shared" si="7"/>
        <v>0</v>
      </c>
      <c r="BC43" s="223">
        <f t="shared" si="8"/>
        <v>20</v>
      </c>
      <c r="BE43" s="199">
        <f t="shared" si="20"/>
        <v>1870</v>
      </c>
      <c r="BF43" s="27">
        <f>_xlfn.XLOOKUP(B43,'TAREO HORAS EXTRAS'!$C$15:$C$51,'TAREO HORAS EXTRAS'!$AO$15:$AO$51,0)</f>
        <v>3</v>
      </c>
      <c r="BG43" s="200">
        <f t="shared" si="21"/>
        <v>41.25</v>
      </c>
      <c r="BH43" s="200"/>
      <c r="BI43" s="226"/>
      <c r="BJ43" s="228"/>
      <c r="BK43" s="226"/>
      <c r="BL43" s="228"/>
      <c r="BM43" s="226"/>
      <c r="BN43" s="228"/>
      <c r="BO43" s="226"/>
      <c r="BP43" s="228"/>
      <c r="BQ43" s="227">
        <f t="shared" si="22"/>
        <v>0</v>
      </c>
      <c r="BS43" s="241">
        <f t="shared" si="23"/>
        <v>214.5</v>
      </c>
      <c r="BT43" s="225">
        <f t="shared" si="24"/>
        <v>33</v>
      </c>
      <c r="BU43" s="224">
        <f t="shared" si="25"/>
        <v>214.5</v>
      </c>
      <c r="BV43" s="224">
        <f t="shared" si="26"/>
        <v>33</v>
      </c>
      <c r="BW43" s="243">
        <f t="shared" si="27"/>
        <v>495</v>
      </c>
      <c r="BX43" s="214"/>
      <c r="BY43" s="199">
        <f t="shared" si="28"/>
        <v>495</v>
      </c>
      <c r="BZ43" s="199"/>
      <c r="CA43" s="247">
        <f t="shared" si="29"/>
        <v>1375</v>
      </c>
      <c r="CB43" s="11" t="s">
        <v>258</v>
      </c>
    </row>
    <row r="44" spans="2:80" ht="15.75" thickBot="1" x14ac:dyDescent="0.3">
      <c r="B44" s="217" t="s">
        <v>262</v>
      </c>
      <c r="C44" s="198"/>
      <c r="D44" s="217" t="str">
        <f>IFERROR(VLOOKUP(B44,'DATOS GRALES 1'!$B$2:$E$91,4,0),"")</f>
        <v>PEON</v>
      </c>
      <c r="E44" s="251">
        <f t="shared" si="18"/>
        <v>3300</v>
      </c>
      <c r="F44" s="220">
        <f t="shared" si="19"/>
        <v>110</v>
      </c>
      <c r="H44" s="253" t="s">
        <v>67</v>
      </c>
      <c r="I44" s="253" t="s">
        <v>67</v>
      </c>
      <c r="J44" s="253" t="s">
        <v>67</v>
      </c>
      <c r="K44" s="253" t="s">
        <v>67</v>
      </c>
      <c r="L44" s="253" t="s">
        <v>67</v>
      </c>
      <c r="M44" s="253" t="s">
        <v>67</v>
      </c>
      <c r="N44" s="253" t="s">
        <v>67</v>
      </c>
      <c r="O44" s="253" t="s">
        <v>67</v>
      </c>
      <c r="P44" s="253" t="s">
        <v>67</v>
      </c>
      <c r="Q44" s="253" t="s">
        <v>67</v>
      </c>
      <c r="R44" s="253" t="s">
        <v>67</v>
      </c>
      <c r="S44" s="253" t="s">
        <v>67</v>
      </c>
      <c r="T44" s="253" t="s">
        <v>67</v>
      </c>
      <c r="U44" s="253" t="s">
        <v>67</v>
      </c>
      <c r="V44" s="253" t="s">
        <v>67</v>
      </c>
      <c r="W44" s="253" t="s">
        <v>67</v>
      </c>
      <c r="X44" s="253" t="s">
        <v>67</v>
      </c>
      <c r="Y44" s="253" t="s">
        <v>67</v>
      </c>
      <c r="Z44" s="253"/>
      <c r="AA44" s="253"/>
      <c r="AB44" s="253"/>
      <c r="AC44" s="253"/>
      <c r="AD44" s="253"/>
      <c r="AE44" s="253"/>
      <c r="AF44" s="253"/>
      <c r="AG44" s="253"/>
      <c r="AH44" s="253"/>
      <c r="AI44" s="253"/>
      <c r="AJ44" s="253"/>
      <c r="AK44" s="253"/>
      <c r="AL44" s="253"/>
      <c r="AM44" s="255"/>
      <c r="AN44" s="253"/>
      <c r="AO44" s="253"/>
      <c r="AP44" s="253"/>
      <c r="AQ44" s="253"/>
      <c r="AR44" s="253"/>
      <c r="AS44" s="255"/>
      <c r="AT44" s="255"/>
      <c r="AU44" s="255"/>
      <c r="AV44" s="255"/>
      <c r="AW44" s="255"/>
      <c r="AX44" s="255"/>
      <c r="AZ44" s="223">
        <f t="shared" si="5"/>
        <v>18</v>
      </c>
      <c r="BA44" s="223" t="str">
        <f t="shared" si="6"/>
        <v/>
      </c>
      <c r="BB44" s="223">
        <f t="shared" si="7"/>
        <v>0</v>
      </c>
      <c r="BC44" s="223">
        <f t="shared" si="8"/>
        <v>18</v>
      </c>
      <c r="BE44" s="199">
        <f t="shared" si="20"/>
        <v>1980</v>
      </c>
      <c r="BF44" s="27">
        <f>_xlfn.XLOOKUP(B44,'TAREO HORAS EXTRAS'!$C$15:$C$51,'TAREO HORAS EXTRAS'!$AO$15:$AO$51,0)</f>
        <v>3</v>
      </c>
      <c r="BG44" s="200">
        <f t="shared" si="21"/>
        <v>41.25</v>
      </c>
      <c r="BH44" s="200"/>
      <c r="BI44" s="226"/>
      <c r="BJ44" s="228"/>
      <c r="BK44" s="226"/>
      <c r="BL44" s="228"/>
      <c r="BM44" s="226"/>
      <c r="BN44" s="228"/>
      <c r="BO44" s="226"/>
      <c r="BP44" s="228"/>
      <c r="BQ44" s="227">
        <f t="shared" si="22"/>
        <v>0</v>
      </c>
      <c r="BS44" s="241">
        <f t="shared" si="23"/>
        <v>214.5</v>
      </c>
      <c r="BT44" s="225">
        <f t="shared" si="24"/>
        <v>33</v>
      </c>
      <c r="BU44" s="224">
        <f t="shared" si="25"/>
        <v>214.5</v>
      </c>
      <c r="BV44" s="224">
        <f t="shared" si="26"/>
        <v>33</v>
      </c>
      <c r="BW44" s="243">
        <f t="shared" si="27"/>
        <v>495</v>
      </c>
      <c r="BX44" s="214"/>
      <c r="BY44" s="199">
        <f t="shared" si="28"/>
        <v>495</v>
      </c>
      <c r="BZ44" s="199"/>
      <c r="CA44" s="247">
        <f t="shared" si="29"/>
        <v>1485</v>
      </c>
      <c r="CB44" s="11" t="s">
        <v>258</v>
      </c>
    </row>
    <row r="45" spans="2:80" ht="15.75" thickBot="1" x14ac:dyDescent="0.3">
      <c r="B45" s="217" t="s">
        <v>264</v>
      </c>
      <c r="C45" s="198"/>
      <c r="D45" s="217" t="str">
        <f>IFERROR(VLOOKUP(B45,'DATOS GRALES 1'!$B$2:$E$91,4,0),"")</f>
        <v>PEON</v>
      </c>
      <c r="E45" s="251">
        <f t="shared" si="18"/>
        <v>3300</v>
      </c>
      <c r="F45" s="220">
        <f t="shared" si="19"/>
        <v>110</v>
      </c>
      <c r="H45" s="253" t="s">
        <v>67</v>
      </c>
      <c r="I45" s="253" t="s">
        <v>67</v>
      </c>
      <c r="J45" s="253" t="s">
        <v>67</v>
      </c>
      <c r="K45" s="253" t="s">
        <v>67</v>
      </c>
      <c r="L45" s="253" t="s">
        <v>67</v>
      </c>
      <c r="M45" s="253" t="s">
        <v>67</v>
      </c>
      <c r="N45" s="253" t="s">
        <v>67</v>
      </c>
      <c r="O45" s="253" t="s">
        <v>67</v>
      </c>
      <c r="P45" s="253" t="s">
        <v>67</v>
      </c>
      <c r="Q45" s="253" t="s">
        <v>67</v>
      </c>
      <c r="R45" s="253" t="s">
        <v>67</v>
      </c>
      <c r="S45" s="253" t="s">
        <v>67</v>
      </c>
      <c r="T45" s="253" t="s">
        <v>67</v>
      </c>
      <c r="U45" s="253" t="s">
        <v>67</v>
      </c>
      <c r="V45" s="253" t="s">
        <v>67</v>
      </c>
      <c r="W45" s="253" t="s">
        <v>67</v>
      </c>
      <c r="X45" s="253" t="s">
        <v>67</v>
      </c>
      <c r="Y45" s="253" t="s">
        <v>67</v>
      </c>
      <c r="Z45" s="253"/>
      <c r="AA45" s="253"/>
      <c r="AB45" s="253"/>
      <c r="AC45" s="253"/>
      <c r="AD45" s="253"/>
      <c r="AE45" s="253"/>
      <c r="AF45" s="253"/>
      <c r="AG45" s="253"/>
      <c r="AH45" s="253"/>
      <c r="AI45" s="253"/>
      <c r="AJ45" s="253"/>
      <c r="AK45" s="253"/>
      <c r="AL45" s="253"/>
      <c r="AM45" s="255"/>
      <c r="AN45" s="253"/>
      <c r="AO45" s="253"/>
      <c r="AP45" s="253"/>
      <c r="AQ45" s="253"/>
      <c r="AR45" s="253"/>
      <c r="AS45" s="255"/>
      <c r="AT45" s="255"/>
      <c r="AU45" s="255"/>
      <c r="AV45" s="255"/>
      <c r="AW45" s="255"/>
      <c r="AX45" s="255"/>
      <c r="AZ45" s="223">
        <f t="shared" si="5"/>
        <v>18</v>
      </c>
      <c r="BA45" s="223" t="str">
        <f t="shared" si="6"/>
        <v/>
      </c>
      <c r="BB45" s="223">
        <f t="shared" si="7"/>
        <v>0</v>
      </c>
      <c r="BC45" s="223">
        <f t="shared" si="8"/>
        <v>18</v>
      </c>
      <c r="BE45" s="199">
        <f t="shared" si="20"/>
        <v>1980</v>
      </c>
      <c r="BF45" s="27">
        <f>_xlfn.XLOOKUP(B45,'TAREO HORAS EXTRAS'!$C$15:$C$51,'TAREO HORAS EXTRAS'!$AO$15:$AO$51,0)</f>
        <v>3</v>
      </c>
      <c r="BG45" s="200">
        <f t="shared" si="21"/>
        <v>41.25</v>
      </c>
      <c r="BH45" s="200"/>
      <c r="BI45" s="226"/>
      <c r="BJ45" s="228"/>
      <c r="BK45" s="226"/>
      <c r="BL45" s="228"/>
      <c r="BM45" s="226"/>
      <c r="BN45" s="228"/>
      <c r="BO45" s="226"/>
      <c r="BP45" s="228"/>
      <c r="BQ45" s="227">
        <f t="shared" si="22"/>
        <v>0</v>
      </c>
      <c r="BS45" s="241">
        <f t="shared" si="23"/>
        <v>214.5</v>
      </c>
      <c r="BT45" s="225">
        <f t="shared" si="24"/>
        <v>33</v>
      </c>
      <c r="BU45" s="224">
        <f t="shared" si="25"/>
        <v>214.5</v>
      </c>
      <c r="BV45" s="224">
        <f t="shared" si="26"/>
        <v>33</v>
      </c>
      <c r="BW45" s="243">
        <f t="shared" si="27"/>
        <v>495</v>
      </c>
      <c r="BX45" s="214"/>
      <c r="BY45" s="199">
        <f t="shared" si="28"/>
        <v>495</v>
      </c>
      <c r="BZ45" s="199"/>
      <c r="CA45" s="247">
        <f t="shared" si="29"/>
        <v>1485</v>
      </c>
      <c r="CB45" s="11" t="s">
        <v>258</v>
      </c>
    </row>
    <row r="46" spans="2:80" ht="15.75" thickBot="1" x14ac:dyDescent="0.3">
      <c r="B46" s="252" t="s">
        <v>266</v>
      </c>
      <c r="D46" s="218" t="str">
        <f>IFERROR(VLOOKUP(B46,'DATOS GRALES 1'!$B$2:$E$91,4,0),"")</f>
        <v>OPERARIO</v>
      </c>
      <c r="E46" s="251">
        <f t="shared" si="18"/>
        <v>4200</v>
      </c>
      <c r="F46" s="220">
        <f t="shared" si="19"/>
        <v>140</v>
      </c>
      <c r="H46" s="253" t="s">
        <v>67</v>
      </c>
      <c r="I46" s="253" t="s">
        <v>67</v>
      </c>
      <c r="J46" s="253" t="s">
        <v>67</v>
      </c>
      <c r="K46" s="253" t="s">
        <v>67</v>
      </c>
      <c r="L46" s="253" t="s">
        <v>67</v>
      </c>
      <c r="M46" s="253" t="s">
        <v>67</v>
      </c>
      <c r="N46" s="253" t="s">
        <v>67</v>
      </c>
      <c r="O46" s="253" t="s">
        <v>67</v>
      </c>
      <c r="P46" s="253" t="s">
        <v>67</v>
      </c>
      <c r="Q46" s="253" t="s">
        <v>67</v>
      </c>
      <c r="R46" s="253" t="s">
        <v>67</v>
      </c>
      <c r="S46" s="253" t="s">
        <v>67</v>
      </c>
      <c r="T46" s="253" t="s">
        <v>67</v>
      </c>
      <c r="U46" s="253" t="s">
        <v>67</v>
      </c>
      <c r="V46" s="253" t="s">
        <v>67</v>
      </c>
      <c r="W46" s="253" t="s">
        <v>67</v>
      </c>
      <c r="X46" s="253" t="s">
        <v>67</v>
      </c>
      <c r="Y46" s="253" t="s">
        <v>67</v>
      </c>
      <c r="Z46" s="253"/>
      <c r="AA46" s="253"/>
      <c r="AB46" s="253"/>
      <c r="AC46" s="253"/>
      <c r="AD46" s="253"/>
      <c r="AE46" s="253"/>
      <c r="AF46" s="253"/>
      <c r="AG46" s="253"/>
      <c r="AH46" s="253"/>
      <c r="AI46" s="253"/>
      <c r="AJ46" s="253"/>
      <c r="AK46" s="253"/>
      <c r="AL46" s="253"/>
      <c r="AM46" s="255"/>
      <c r="AN46" s="253"/>
      <c r="AO46" s="253"/>
      <c r="AP46" s="253"/>
      <c r="AQ46" s="253"/>
      <c r="AR46" s="253"/>
      <c r="AS46" s="255"/>
      <c r="AT46" s="255"/>
      <c r="AU46" s="255"/>
      <c r="AV46" s="255"/>
      <c r="AW46" s="255"/>
      <c r="AX46" s="255"/>
      <c r="AZ46" s="223">
        <f t="shared" si="5"/>
        <v>18</v>
      </c>
      <c r="BA46" s="223" t="str">
        <f t="shared" si="6"/>
        <v/>
      </c>
      <c r="BB46" s="223">
        <f t="shared" si="7"/>
        <v>0</v>
      </c>
      <c r="BC46" s="223">
        <f t="shared" si="8"/>
        <v>18</v>
      </c>
      <c r="BE46" s="199">
        <f t="shared" si="20"/>
        <v>2520</v>
      </c>
      <c r="BF46" s="27">
        <f>_xlfn.XLOOKUP(B46,'TAREO HORAS EXTRAS'!$C$15:$C$51,'TAREO HORAS EXTRAS'!$AO$15:$AO$51,0)</f>
        <v>3</v>
      </c>
      <c r="BG46" s="200">
        <f t="shared" si="21"/>
        <v>52.5</v>
      </c>
      <c r="BH46" s="200"/>
      <c r="BI46" s="226"/>
      <c r="BJ46" s="228"/>
      <c r="BK46" s="226"/>
      <c r="BL46" s="228"/>
      <c r="BM46" s="226"/>
      <c r="BN46" s="228"/>
      <c r="BO46" s="226"/>
      <c r="BP46" s="228"/>
      <c r="BQ46" s="227">
        <f t="shared" si="22"/>
        <v>0</v>
      </c>
      <c r="BS46" s="241">
        <f t="shared" si="23"/>
        <v>273</v>
      </c>
      <c r="BT46" s="225">
        <f t="shared" si="24"/>
        <v>42</v>
      </c>
      <c r="BU46" s="224">
        <f t="shared" si="25"/>
        <v>273</v>
      </c>
      <c r="BV46" s="224">
        <f t="shared" si="26"/>
        <v>42</v>
      </c>
      <c r="BW46" s="243">
        <f t="shared" si="27"/>
        <v>630</v>
      </c>
      <c r="BX46" s="214"/>
      <c r="BY46" s="199">
        <f t="shared" si="28"/>
        <v>630</v>
      </c>
      <c r="BZ46" s="199"/>
      <c r="CA46" s="247">
        <f t="shared" si="29"/>
        <v>1890</v>
      </c>
      <c r="CB46" s="11" t="s">
        <v>258</v>
      </c>
    </row>
    <row r="47" spans="2:80" ht="15.75" thickBot="1" x14ac:dyDescent="0.3">
      <c r="B47" s="252" t="s">
        <v>268</v>
      </c>
      <c r="D47" s="218" t="str">
        <f>IFERROR(VLOOKUP(B47,'DATOS GRALES 1'!$B$2:$E$91,4,0),"")</f>
        <v>OPERARIO</v>
      </c>
      <c r="E47" s="251">
        <f t="shared" si="18"/>
        <v>4200</v>
      </c>
      <c r="F47" s="220">
        <f t="shared" si="19"/>
        <v>140</v>
      </c>
      <c r="H47" s="253" t="s">
        <v>67</v>
      </c>
      <c r="I47" s="253" t="s">
        <v>67</v>
      </c>
      <c r="J47" s="253" t="s">
        <v>67</v>
      </c>
      <c r="K47" s="253" t="s">
        <v>67</v>
      </c>
      <c r="L47" s="253" t="s">
        <v>67</v>
      </c>
      <c r="M47" s="253" t="s">
        <v>67</v>
      </c>
      <c r="N47" s="253" t="s">
        <v>67</v>
      </c>
      <c r="O47" s="253" t="s">
        <v>67</v>
      </c>
      <c r="P47" s="253" t="s">
        <v>67</v>
      </c>
      <c r="Q47" s="253" t="s">
        <v>67</v>
      </c>
      <c r="R47" s="253" t="s">
        <v>67</v>
      </c>
      <c r="S47" s="253" t="s">
        <v>67</v>
      </c>
      <c r="T47" s="253" t="s">
        <v>67</v>
      </c>
      <c r="U47" s="253" t="s">
        <v>67</v>
      </c>
      <c r="V47" s="253" t="s">
        <v>67</v>
      </c>
      <c r="W47" s="253" t="s">
        <v>67</v>
      </c>
      <c r="X47" s="253" t="s">
        <v>67</v>
      </c>
      <c r="Y47" s="253" t="s">
        <v>67</v>
      </c>
      <c r="Z47" s="253"/>
      <c r="AA47" s="253"/>
      <c r="AB47" s="253"/>
      <c r="AC47" s="253"/>
      <c r="AD47" s="253"/>
      <c r="AE47" s="253"/>
      <c r="AF47" s="253"/>
      <c r="AG47" s="253"/>
      <c r="AH47" s="253"/>
      <c r="AI47" s="253"/>
      <c r="AJ47" s="253"/>
      <c r="AK47" s="253"/>
      <c r="AL47" s="253"/>
      <c r="AM47" s="255"/>
      <c r="AN47" s="253"/>
      <c r="AO47" s="253"/>
      <c r="AP47" s="253"/>
      <c r="AQ47" s="253"/>
      <c r="AR47" s="253"/>
      <c r="AS47" s="255"/>
      <c r="AT47" s="255"/>
      <c r="AU47" s="255"/>
      <c r="AV47" s="255"/>
      <c r="AW47" s="255"/>
      <c r="AX47" s="255"/>
      <c r="AZ47" s="223">
        <f t="shared" si="5"/>
        <v>18</v>
      </c>
      <c r="BA47" s="223" t="str">
        <f t="shared" si="6"/>
        <v/>
      </c>
      <c r="BB47" s="223">
        <f t="shared" si="7"/>
        <v>0</v>
      </c>
      <c r="BC47" s="223">
        <f t="shared" si="8"/>
        <v>18</v>
      </c>
      <c r="BE47" s="199">
        <f t="shared" si="20"/>
        <v>2520</v>
      </c>
      <c r="BF47" s="27">
        <f>_xlfn.XLOOKUP(B47,'TAREO HORAS EXTRAS'!$C$15:$C$51,'TAREO HORAS EXTRAS'!$AO$15:$AO$51,0)</f>
        <v>0</v>
      </c>
      <c r="BG47" s="200">
        <f t="shared" si="21"/>
        <v>0</v>
      </c>
      <c r="BH47" s="200"/>
      <c r="BI47" s="226"/>
      <c r="BJ47" s="228"/>
      <c r="BK47" s="226"/>
      <c r="BL47" s="228"/>
      <c r="BM47" s="226"/>
      <c r="BN47" s="228"/>
      <c r="BO47" s="226"/>
      <c r="BP47" s="228"/>
      <c r="BQ47" s="227">
        <f t="shared" si="22"/>
        <v>0</v>
      </c>
      <c r="BS47" s="241">
        <f t="shared" si="23"/>
        <v>273</v>
      </c>
      <c r="BT47" s="225">
        <f t="shared" si="24"/>
        <v>42</v>
      </c>
      <c r="BU47" s="224">
        <f t="shared" si="25"/>
        <v>273</v>
      </c>
      <c r="BV47" s="224">
        <f t="shared" si="26"/>
        <v>42</v>
      </c>
      <c r="BW47" s="243">
        <f t="shared" si="27"/>
        <v>630</v>
      </c>
      <c r="BX47" s="214"/>
      <c r="BY47" s="199">
        <f t="shared" si="28"/>
        <v>630</v>
      </c>
      <c r="BZ47" s="199"/>
      <c r="CA47" s="247">
        <f t="shared" si="29"/>
        <v>1890</v>
      </c>
      <c r="CB47" s="11" t="s">
        <v>258</v>
      </c>
    </row>
    <row r="48" spans="2:80" ht="15.75" thickBot="1" x14ac:dyDescent="0.3">
      <c r="B48" s="252" t="s">
        <v>270</v>
      </c>
      <c r="D48" s="218" t="str">
        <f>IFERROR(VLOOKUP(B48,'DATOS GRALES 1'!$B$2:$E$91,4,0),"")</f>
        <v>OPERARIO</v>
      </c>
      <c r="E48" s="251">
        <f t="shared" si="18"/>
        <v>4200</v>
      </c>
      <c r="F48" s="220">
        <f t="shared" si="19"/>
        <v>140</v>
      </c>
      <c r="H48" s="253"/>
      <c r="I48" s="253"/>
      <c r="J48" s="253"/>
      <c r="K48" s="253"/>
      <c r="L48" s="253"/>
      <c r="M48" s="253"/>
      <c r="N48" s="253" t="s">
        <v>67</v>
      </c>
      <c r="O48" s="253" t="s">
        <v>67</v>
      </c>
      <c r="P48" s="253" t="s">
        <v>67</v>
      </c>
      <c r="Q48" s="253" t="s">
        <v>67</v>
      </c>
      <c r="R48" s="253" t="s">
        <v>67</v>
      </c>
      <c r="S48" s="253" t="s">
        <v>67</v>
      </c>
      <c r="T48" s="253" t="s">
        <v>67</v>
      </c>
      <c r="U48" s="253" t="s">
        <v>67</v>
      </c>
      <c r="V48" s="253" t="s">
        <v>67</v>
      </c>
      <c r="W48" s="253" t="s">
        <v>67</v>
      </c>
      <c r="X48" s="253" t="s">
        <v>67</v>
      </c>
      <c r="Y48" s="253"/>
      <c r="Z48" s="253"/>
      <c r="AA48" s="253"/>
      <c r="AB48" s="253"/>
      <c r="AC48" s="253"/>
      <c r="AD48" s="253"/>
      <c r="AE48" s="253"/>
      <c r="AF48" s="253"/>
      <c r="AG48" s="253"/>
      <c r="AH48" s="253"/>
      <c r="AI48" s="253"/>
      <c r="AJ48" s="253"/>
      <c r="AK48" s="253"/>
      <c r="AL48" s="253"/>
      <c r="AM48" s="255"/>
      <c r="AN48" s="253"/>
      <c r="AO48" s="253"/>
      <c r="AP48" s="253"/>
      <c r="AQ48" s="253"/>
      <c r="AR48" s="253"/>
      <c r="AS48" s="255"/>
      <c r="AT48" s="255"/>
      <c r="AU48" s="255"/>
      <c r="AV48" s="255"/>
      <c r="AW48" s="255"/>
      <c r="AX48" s="255"/>
      <c r="AZ48" s="223">
        <f t="shared" si="5"/>
        <v>11</v>
      </c>
      <c r="BA48" s="223" t="str">
        <f t="shared" si="6"/>
        <v/>
      </c>
      <c r="BB48" s="223">
        <f t="shared" si="7"/>
        <v>0</v>
      </c>
      <c r="BC48" s="223">
        <f t="shared" si="8"/>
        <v>11</v>
      </c>
      <c r="BE48" s="199">
        <f t="shared" si="20"/>
        <v>1540</v>
      </c>
      <c r="BF48" s="27">
        <f>_xlfn.XLOOKUP(B48,'TAREO HORAS EXTRAS'!$C$15:$C$51,'TAREO HORAS EXTRAS'!$AO$15:$AO$51,0)</f>
        <v>2</v>
      </c>
      <c r="BG48" s="200">
        <f t="shared" si="21"/>
        <v>35</v>
      </c>
      <c r="BH48" s="200"/>
      <c r="BI48" s="226"/>
      <c r="BJ48" s="228"/>
      <c r="BK48" s="226"/>
      <c r="BL48" s="228"/>
      <c r="BM48" s="226"/>
      <c r="BN48" s="228"/>
      <c r="BO48" s="226"/>
      <c r="BP48" s="228"/>
      <c r="BQ48" s="227">
        <f t="shared" si="22"/>
        <v>0</v>
      </c>
      <c r="BS48" s="241">
        <f t="shared" si="23"/>
        <v>273</v>
      </c>
      <c r="BT48" s="225">
        <f t="shared" si="24"/>
        <v>42</v>
      </c>
      <c r="BU48" s="224">
        <f t="shared" si="25"/>
        <v>273</v>
      </c>
      <c r="BV48" s="224">
        <f t="shared" si="26"/>
        <v>42</v>
      </c>
      <c r="BW48" s="243">
        <f t="shared" si="27"/>
        <v>630</v>
      </c>
      <c r="BX48" s="214"/>
      <c r="BY48" s="199">
        <f t="shared" si="28"/>
        <v>630</v>
      </c>
      <c r="BZ48" s="199"/>
      <c r="CA48" s="247">
        <f t="shared" si="29"/>
        <v>910</v>
      </c>
      <c r="CB48" s="11" t="s">
        <v>258</v>
      </c>
    </row>
    <row r="49" spans="2:80" ht="15.75" thickBot="1" x14ac:dyDescent="0.3">
      <c r="B49" s="252" t="s">
        <v>278</v>
      </c>
      <c r="D49" s="218" t="str">
        <f>IFERROR(VLOOKUP(B49,'DATOS GRALES 1'!$B$2:$E$91,4,0),"")</f>
        <v>OPERARIO</v>
      </c>
      <c r="E49" s="251">
        <f t="shared" si="18"/>
        <v>4200</v>
      </c>
      <c r="F49" s="220">
        <f t="shared" si="19"/>
        <v>140</v>
      </c>
      <c r="H49" s="253"/>
      <c r="I49" s="253"/>
      <c r="J49" s="253"/>
      <c r="K49" s="253"/>
      <c r="L49" s="253"/>
      <c r="M49" s="253"/>
      <c r="N49" s="253"/>
      <c r="O49" s="253"/>
      <c r="P49" s="253"/>
      <c r="Q49" s="253"/>
      <c r="R49" s="253"/>
      <c r="S49" s="253"/>
      <c r="T49" s="253"/>
      <c r="U49" s="253"/>
      <c r="V49" s="253" t="s">
        <v>67</v>
      </c>
      <c r="W49" s="253" t="s">
        <v>67</v>
      </c>
      <c r="X49" s="253" t="s">
        <v>67</v>
      </c>
      <c r="Y49" s="253"/>
      <c r="Z49" s="253"/>
      <c r="AA49" s="253"/>
      <c r="AB49" s="253"/>
      <c r="AC49" s="253"/>
      <c r="AD49" s="253"/>
      <c r="AE49" s="253"/>
      <c r="AF49" s="253"/>
      <c r="AG49" s="253"/>
      <c r="AH49" s="253"/>
      <c r="AI49" s="253"/>
      <c r="AJ49" s="253"/>
      <c r="AK49" s="253"/>
      <c r="AL49" s="253"/>
      <c r="AM49" s="255"/>
      <c r="AN49" s="253"/>
      <c r="AO49" s="253"/>
      <c r="AP49" s="253"/>
      <c r="AQ49" s="253"/>
      <c r="AR49" s="253"/>
      <c r="AS49" s="255"/>
      <c r="AT49" s="255"/>
      <c r="AU49" s="255"/>
      <c r="AV49" s="255"/>
      <c r="AW49" s="255"/>
      <c r="AX49" s="255"/>
      <c r="AZ49" s="223">
        <f t="shared" si="5"/>
        <v>3</v>
      </c>
      <c r="BA49" s="223" t="str">
        <f t="shared" si="6"/>
        <v/>
      </c>
      <c r="BB49" s="223">
        <f t="shared" si="7"/>
        <v>0</v>
      </c>
      <c r="BC49" s="223">
        <f t="shared" si="8"/>
        <v>3</v>
      </c>
      <c r="BE49" s="199">
        <f t="shared" si="20"/>
        <v>420</v>
      </c>
      <c r="BF49" s="27">
        <f>_xlfn.XLOOKUP(B49,'TAREO HORAS EXTRAS'!$C$15:$C$51,'TAREO HORAS EXTRAS'!$AO$15:$AO$51,0)</f>
        <v>0</v>
      </c>
      <c r="BG49" s="200">
        <f t="shared" si="21"/>
        <v>0</v>
      </c>
      <c r="BH49" s="200"/>
      <c r="BI49" s="226"/>
      <c r="BJ49" s="228"/>
      <c r="BK49" s="226"/>
      <c r="BL49" s="228"/>
      <c r="BM49" s="226"/>
      <c r="BN49" s="228"/>
      <c r="BO49" s="226"/>
      <c r="BP49" s="228"/>
      <c r="BQ49" s="227">
        <f t="shared" si="22"/>
        <v>0</v>
      </c>
      <c r="BS49" s="241">
        <f t="shared" si="23"/>
        <v>273</v>
      </c>
      <c r="BT49" s="225">
        <f t="shared" si="24"/>
        <v>42</v>
      </c>
      <c r="BU49" s="224">
        <f t="shared" si="25"/>
        <v>273</v>
      </c>
      <c r="BV49" s="224">
        <f t="shared" si="26"/>
        <v>42</v>
      </c>
      <c r="BW49" s="243">
        <f t="shared" si="27"/>
        <v>630</v>
      </c>
      <c r="BX49" s="214"/>
      <c r="BY49" s="199">
        <f t="shared" si="28"/>
        <v>630</v>
      </c>
      <c r="BZ49" s="199"/>
      <c r="CA49" s="247">
        <f t="shared" si="29"/>
        <v>-210</v>
      </c>
      <c r="CB49" s="11" t="s">
        <v>258</v>
      </c>
    </row>
    <row r="50" spans="2:80" ht="15.75" thickBot="1" x14ac:dyDescent="0.3">
      <c r="B50" s="252" t="s">
        <v>279</v>
      </c>
      <c r="D50" s="218" t="str">
        <f>IFERROR(VLOOKUP(B50,'DATOS GRALES 1'!$B$2:$E$91,4,0),"")</f>
        <v>OPERARIO</v>
      </c>
      <c r="E50" s="251">
        <f t="shared" si="18"/>
        <v>4200</v>
      </c>
      <c r="F50" s="220">
        <f t="shared" si="19"/>
        <v>140</v>
      </c>
      <c r="H50" s="253"/>
      <c r="I50" s="253"/>
      <c r="J50" s="253"/>
      <c r="K50" s="253"/>
      <c r="L50" s="253"/>
      <c r="M50" s="253"/>
      <c r="N50" s="253"/>
      <c r="O50" s="253"/>
      <c r="P50" s="253"/>
      <c r="Q50" s="253"/>
      <c r="R50" s="253"/>
      <c r="S50" s="253"/>
      <c r="T50" s="253"/>
      <c r="U50" s="253"/>
      <c r="V50" s="253" t="s">
        <v>67</v>
      </c>
      <c r="W50" s="253" t="s">
        <v>67</v>
      </c>
      <c r="X50" s="253" t="s">
        <v>67</v>
      </c>
      <c r="Y50" s="253"/>
      <c r="Z50" s="253"/>
      <c r="AA50" s="253"/>
      <c r="AB50" s="253"/>
      <c r="AC50" s="253"/>
      <c r="AD50" s="253"/>
      <c r="AE50" s="253"/>
      <c r="AF50" s="253"/>
      <c r="AG50" s="253"/>
      <c r="AH50" s="253"/>
      <c r="AI50" s="253"/>
      <c r="AJ50" s="253"/>
      <c r="AK50" s="253"/>
      <c r="AL50" s="253"/>
      <c r="AM50" s="255"/>
      <c r="AN50" s="253"/>
      <c r="AO50" s="253"/>
      <c r="AP50" s="253"/>
      <c r="AQ50" s="253"/>
      <c r="AR50" s="253"/>
      <c r="AS50" s="255"/>
      <c r="AT50" s="255"/>
      <c r="AU50" s="255"/>
      <c r="AV50" s="255"/>
      <c r="AW50" s="255"/>
      <c r="AX50" s="255"/>
      <c r="AZ50" s="223">
        <f t="shared" si="5"/>
        <v>3</v>
      </c>
      <c r="BA50" s="223" t="str">
        <f t="shared" si="6"/>
        <v/>
      </c>
      <c r="BB50" s="223">
        <f t="shared" si="7"/>
        <v>0</v>
      </c>
      <c r="BC50" s="223">
        <f t="shared" si="8"/>
        <v>3</v>
      </c>
      <c r="BE50" s="199">
        <f t="shared" si="20"/>
        <v>420</v>
      </c>
      <c r="BF50" s="27">
        <f>_xlfn.XLOOKUP(B50,'TAREO HORAS EXTRAS'!$C$15:$C$51,'TAREO HORAS EXTRAS'!$AO$15:$AO$51,0)</f>
        <v>0</v>
      </c>
      <c r="BG50" s="200">
        <f t="shared" si="21"/>
        <v>0</v>
      </c>
      <c r="BH50" s="200"/>
      <c r="BI50" s="226"/>
      <c r="BJ50" s="228"/>
      <c r="BK50" s="226"/>
      <c r="BL50" s="228"/>
      <c r="BM50" s="226"/>
      <c r="BN50" s="228"/>
      <c r="BO50" s="226"/>
      <c r="BP50" s="228"/>
      <c r="BQ50" s="227">
        <f t="shared" si="22"/>
        <v>0</v>
      </c>
      <c r="BS50" s="241">
        <f t="shared" si="23"/>
        <v>273</v>
      </c>
      <c r="BT50" s="225">
        <f t="shared" si="24"/>
        <v>42</v>
      </c>
      <c r="BU50" s="224">
        <f t="shared" si="25"/>
        <v>273</v>
      </c>
      <c r="BV50" s="224">
        <f t="shared" si="26"/>
        <v>42</v>
      </c>
      <c r="BW50" s="243">
        <f t="shared" si="27"/>
        <v>630</v>
      </c>
      <c r="BX50" s="214"/>
      <c r="BY50" s="199">
        <f t="shared" si="28"/>
        <v>630</v>
      </c>
      <c r="BZ50" s="199"/>
      <c r="CA50" s="247">
        <f t="shared" si="29"/>
        <v>-210</v>
      </c>
      <c r="CB50" s="11" t="s">
        <v>258</v>
      </c>
    </row>
    <row r="51" spans="2:80" ht="15.75" thickBot="1" x14ac:dyDescent="0.3">
      <c r="B51" s="252" t="s">
        <v>280</v>
      </c>
      <c r="D51" s="218" t="str">
        <f>IFERROR(VLOOKUP(B51,'DATOS GRALES 1'!$B$2:$E$91,4,0),"")</f>
        <v>PEON</v>
      </c>
      <c r="E51" s="251">
        <f t="shared" si="18"/>
        <v>3300</v>
      </c>
      <c r="F51" s="220">
        <f t="shared" si="19"/>
        <v>110</v>
      </c>
      <c r="H51" s="253"/>
      <c r="I51" s="253"/>
      <c r="J51" s="253"/>
      <c r="K51" s="253"/>
      <c r="L51" s="253"/>
      <c r="M51" s="253"/>
      <c r="N51" s="253"/>
      <c r="O51" s="253"/>
      <c r="P51" s="253"/>
      <c r="Q51" s="253"/>
      <c r="R51" s="253"/>
      <c r="S51" s="253"/>
      <c r="T51" s="253"/>
      <c r="U51" s="253"/>
      <c r="V51" s="253"/>
      <c r="W51" s="253" t="s">
        <v>67</v>
      </c>
      <c r="X51" s="253" t="s">
        <v>67</v>
      </c>
      <c r="Y51" s="253"/>
      <c r="Z51" s="253"/>
      <c r="AA51" s="253"/>
      <c r="AB51" s="253"/>
      <c r="AC51" s="253"/>
      <c r="AD51" s="253"/>
      <c r="AE51" s="253"/>
      <c r="AF51" s="253"/>
      <c r="AG51" s="253"/>
      <c r="AH51" s="253"/>
      <c r="AI51" s="253"/>
      <c r="AJ51" s="253"/>
      <c r="AK51" s="253"/>
      <c r="AL51" s="253"/>
      <c r="AM51" s="255"/>
      <c r="AN51" s="253"/>
      <c r="AO51" s="253"/>
      <c r="AP51" s="253"/>
      <c r="AQ51" s="253"/>
      <c r="AR51" s="253"/>
      <c r="AS51" s="255"/>
      <c r="AT51" s="255"/>
      <c r="AU51" s="255"/>
      <c r="AV51" s="255"/>
      <c r="AW51" s="255"/>
      <c r="AX51" s="255"/>
      <c r="AZ51" s="223">
        <f t="shared" si="5"/>
        <v>2</v>
      </c>
      <c r="BA51" s="223" t="str">
        <f t="shared" si="6"/>
        <v/>
      </c>
      <c r="BB51" s="223">
        <f t="shared" si="7"/>
        <v>0</v>
      </c>
      <c r="BC51" s="223">
        <f t="shared" si="8"/>
        <v>2</v>
      </c>
      <c r="BE51" s="199">
        <f t="shared" si="20"/>
        <v>220</v>
      </c>
      <c r="BF51" s="27">
        <f>_xlfn.XLOOKUP(B51,'TAREO HORAS EXTRAS'!$C$15:$C$51,'TAREO HORAS EXTRAS'!$AO$15:$AO$51,0)</f>
        <v>0</v>
      </c>
      <c r="BG51" s="200">
        <f t="shared" si="21"/>
        <v>0</v>
      </c>
      <c r="BH51" s="200"/>
      <c r="BI51" s="226"/>
      <c r="BJ51" s="228"/>
      <c r="BK51" s="226"/>
      <c r="BL51" s="228"/>
      <c r="BM51" s="226"/>
      <c r="BN51" s="228"/>
      <c r="BO51" s="226"/>
      <c r="BP51" s="228"/>
      <c r="BQ51" s="227">
        <f t="shared" si="22"/>
        <v>0</v>
      </c>
      <c r="BS51" s="241">
        <f t="shared" si="23"/>
        <v>214.5</v>
      </c>
      <c r="BT51" s="225">
        <f t="shared" si="24"/>
        <v>33</v>
      </c>
      <c r="BU51" s="224">
        <f t="shared" si="25"/>
        <v>214.5</v>
      </c>
      <c r="BV51" s="224">
        <f t="shared" si="26"/>
        <v>33</v>
      </c>
      <c r="BW51" s="243">
        <f t="shared" si="27"/>
        <v>495</v>
      </c>
      <c r="BX51" s="214"/>
      <c r="BY51" s="199">
        <f t="shared" si="28"/>
        <v>495</v>
      </c>
      <c r="BZ51" s="199"/>
      <c r="CA51" s="247">
        <f t="shared" si="29"/>
        <v>-275</v>
      </c>
      <c r="CB51" s="11" t="s">
        <v>258</v>
      </c>
    </row>
    <row r="52" spans="2:80" ht="15.75" thickBot="1" x14ac:dyDescent="0.3">
      <c r="B52" s="252"/>
      <c r="D52" s="218" t="str">
        <f>IFERROR(VLOOKUP(B52,'DATOS GRALES 1'!$B$2:$E$91,4,0),"")</f>
        <v/>
      </c>
      <c r="E52" s="251">
        <f t="shared" si="18"/>
        <v>0</v>
      </c>
      <c r="F52" s="220">
        <f t="shared" si="19"/>
        <v>0</v>
      </c>
      <c r="H52" s="253"/>
      <c r="I52" s="253"/>
      <c r="J52" s="253"/>
      <c r="K52" s="253"/>
      <c r="L52" s="253"/>
      <c r="M52" s="253"/>
      <c r="N52" s="253"/>
      <c r="O52" s="253"/>
      <c r="P52" s="253"/>
      <c r="Q52" s="253"/>
      <c r="R52" s="253"/>
      <c r="S52" s="253"/>
      <c r="T52" s="253"/>
      <c r="U52" s="253"/>
      <c r="V52" s="253"/>
      <c r="W52" s="253"/>
      <c r="X52" s="253"/>
      <c r="Y52" s="253"/>
      <c r="Z52" s="253"/>
      <c r="AA52" s="253"/>
      <c r="AB52" s="253"/>
      <c r="AC52" s="253"/>
      <c r="AD52" s="253"/>
      <c r="AE52" s="253"/>
      <c r="AF52" s="253"/>
      <c r="AG52" s="253"/>
      <c r="AH52" s="253"/>
      <c r="AI52" s="253"/>
      <c r="AJ52" s="253"/>
      <c r="AK52" s="253"/>
      <c r="AL52" s="253"/>
      <c r="AM52" s="255"/>
      <c r="AN52" s="253"/>
      <c r="AO52" s="253"/>
      <c r="AP52" s="253"/>
      <c r="AQ52" s="253"/>
      <c r="AR52" s="253"/>
      <c r="AS52" s="255"/>
      <c r="AT52" s="255"/>
      <c r="AU52" s="255"/>
      <c r="AV52" s="255"/>
      <c r="AW52" s="255"/>
      <c r="AX52" s="255"/>
      <c r="AZ52" s="223" t="str">
        <f t="shared" si="5"/>
        <v/>
      </c>
      <c r="BA52" s="223" t="str">
        <f t="shared" si="6"/>
        <v/>
      </c>
      <c r="BB52" s="223">
        <f t="shared" si="7"/>
        <v>0</v>
      </c>
      <c r="BC52" s="223" t="str">
        <f t="shared" si="8"/>
        <v/>
      </c>
      <c r="BE52" s="199" t="str">
        <f t="shared" si="20"/>
        <v/>
      </c>
      <c r="BF52" s="27">
        <f>_xlfn.XLOOKUP(B52,'TAREO HORAS EXTRAS'!$C$15:$C$51,'TAREO HORAS EXTRAS'!$AO$15:$AO$51,0)</f>
        <v>0</v>
      </c>
      <c r="BG52" s="200">
        <f t="shared" si="21"/>
        <v>0</v>
      </c>
      <c r="BH52" s="200"/>
      <c r="BI52" s="226"/>
      <c r="BJ52" s="228"/>
      <c r="BK52" s="226"/>
      <c r="BL52" s="228"/>
      <c r="BM52" s="226"/>
      <c r="BN52" s="228"/>
      <c r="BO52" s="226"/>
      <c r="BP52" s="228"/>
      <c r="BQ52" s="227">
        <f t="shared" si="22"/>
        <v>0</v>
      </c>
      <c r="BS52" s="241">
        <f t="shared" si="23"/>
        <v>0</v>
      </c>
      <c r="BT52" s="225">
        <f t="shared" si="24"/>
        <v>0</v>
      </c>
      <c r="BU52" s="224">
        <f t="shared" si="25"/>
        <v>0</v>
      </c>
      <c r="BV52" s="224">
        <f t="shared" si="26"/>
        <v>0</v>
      </c>
      <c r="BW52" s="243">
        <f t="shared" si="27"/>
        <v>0</v>
      </c>
      <c r="BX52" s="214"/>
      <c r="BY52" s="199">
        <f t="shared" si="28"/>
        <v>0</v>
      </c>
      <c r="BZ52" s="199"/>
      <c r="CA52" s="247">
        <f t="shared" si="29"/>
        <v>0</v>
      </c>
      <c r="CB52" s="11" t="s">
        <v>258</v>
      </c>
    </row>
    <row r="53" spans="2:80" ht="15.75" thickBot="1" x14ac:dyDescent="0.3">
      <c r="B53" s="252"/>
      <c r="D53" s="218" t="str">
        <f>IFERROR(VLOOKUP(B53,'DATOS GRALES 1'!$B$2:$E$91,4,0),"")</f>
        <v/>
      </c>
      <c r="E53" s="251">
        <f t="shared" si="18"/>
        <v>0</v>
      </c>
      <c r="F53" s="220">
        <f t="shared" si="19"/>
        <v>0</v>
      </c>
      <c r="H53" s="253"/>
      <c r="I53" s="253"/>
      <c r="J53" s="253"/>
      <c r="K53" s="253"/>
      <c r="L53" s="253"/>
      <c r="M53" s="253"/>
      <c r="N53" s="253"/>
      <c r="O53" s="253"/>
      <c r="P53" s="253"/>
      <c r="Q53" s="253"/>
      <c r="R53" s="253"/>
      <c r="S53" s="253"/>
      <c r="T53" s="253"/>
      <c r="U53" s="253"/>
      <c r="V53" s="253"/>
      <c r="W53" s="253"/>
      <c r="X53" s="253"/>
      <c r="Y53" s="253"/>
      <c r="Z53" s="253"/>
      <c r="AA53" s="253"/>
      <c r="AB53" s="253"/>
      <c r="AC53" s="253"/>
      <c r="AD53" s="253"/>
      <c r="AE53" s="253"/>
      <c r="AF53" s="253"/>
      <c r="AG53" s="253"/>
      <c r="AH53" s="253"/>
      <c r="AI53" s="253"/>
      <c r="AJ53" s="253"/>
      <c r="AK53" s="253"/>
      <c r="AL53" s="253"/>
      <c r="AM53" s="255"/>
      <c r="AN53" s="253"/>
      <c r="AO53" s="253"/>
      <c r="AP53" s="253"/>
      <c r="AQ53" s="253"/>
      <c r="AR53" s="253"/>
      <c r="AS53" s="255"/>
      <c r="AT53" s="255"/>
      <c r="AU53" s="255"/>
      <c r="AV53" s="255"/>
      <c r="AW53" s="255"/>
      <c r="AX53" s="255"/>
      <c r="AZ53" s="223" t="str">
        <f t="shared" si="5"/>
        <v/>
      </c>
      <c r="BA53" s="223" t="str">
        <f t="shared" si="6"/>
        <v/>
      </c>
      <c r="BB53" s="223">
        <f t="shared" si="7"/>
        <v>0</v>
      </c>
      <c r="BC53" s="223" t="str">
        <f t="shared" si="8"/>
        <v/>
      </c>
      <c r="BE53" s="199" t="str">
        <f t="shared" si="20"/>
        <v/>
      </c>
      <c r="BF53" s="27">
        <f>_xlfn.XLOOKUP(B53,'TAREO HORAS EXTRAS'!$C$15:$C$51,'TAREO HORAS EXTRAS'!$AO$15:$AO$51,0)</f>
        <v>0</v>
      </c>
      <c r="BG53" s="200">
        <f t="shared" si="21"/>
        <v>0</v>
      </c>
      <c r="BH53" s="200"/>
      <c r="BI53" s="226"/>
      <c r="BJ53" s="228"/>
      <c r="BK53" s="226"/>
      <c r="BL53" s="228"/>
      <c r="BM53" s="226"/>
      <c r="BN53" s="228"/>
      <c r="BO53" s="226"/>
      <c r="BP53" s="228"/>
      <c r="BQ53" s="227">
        <f t="shared" si="22"/>
        <v>0</v>
      </c>
      <c r="BS53" s="241">
        <f t="shared" si="23"/>
        <v>0</v>
      </c>
      <c r="BT53" s="225">
        <f t="shared" si="24"/>
        <v>0</v>
      </c>
      <c r="BU53" s="224">
        <f t="shared" si="25"/>
        <v>0</v>
      </c>
      <c r="BV53" s="224">
        <f t="shared" si="26"/>
        <v>0</v>
      </c>
      <c r="BW53" s="243">
        <f t="shared" si="27"/>
        <v>0</v>
      </c>
      <c r="BX53" s="214"/>
      <c r="BY53" s="199">
        <f t="shared" si="28"/>
        <v>0</v>
      </c>
      <c r="BZ53" s="199"/>
      <c r="CA53" s="247">
        <f t="shared" si="29"/>
        <v>0</v>
      </c>
      <c r="CB53" s="11" t="s">
        <v>258</v>
      </c>
    </row>
    <row r="54" spans="2:80" ht="15.75" thickBot="1" x14ac:dyDescent="0.3">
      <c r="B54" s="252"/>
      <c r="D54" s="218" t="str">
        <f>IFERROR(VLOOKUP(B54,'DATOS GRALES 1'!$B$2:$E$91,4,0),"")</f>
        <v/>
      </c>
      <c r="E54" s="251">
        <f t="shared" si="18"/>
        <v>0</v>
      </c>
      <c r="F54" s="220">
        <f t="shared" si="19"/>
        <v>0</v>
      </c>
      <c r="H54" s="253"/>
      <c r="I54" s="253"/>
      <c r="J54" s="253"/>
      <c r="K54" s="253"/>
      <c r="L54" s="253"/>
      <c r="M54" s="253"/>
      <c r="N54" s="253"/>
      <c r="O54" s="253"/>
      <c r="P54" s="253"/>
      <c r="Q54" s="253"/>
      <c r="R54" s="253"/>
      <c r="S54" s="253"/>
      <c r="T54" s="253"/>
      <c r="U54" s="253"/>
      <c r="V54" s="253"/>
      <c r="W54" s="253"/>
      <c r="X54" s="253"/>
      <c r="Y54" s="253"/>
      <c r="Z54" s="253"/>
      <c r="AA54" s="253"/>
      <c r="AB54" s="253"/>
      <c r="AC54" s="253"/>
      <c r="AD54" s="253"/>
      <c r="AE54" s="253"/>
      <c r="AF54" s="253"/>
      <c r="AG54" s="253"/>
      <c r="AH54" s="253"/>
      <c r="AI54" s="253"/>
      <c r="AJ54" s="253"/>
      <c r="AK54" s="253"/>
      <c r="AL54" s="253"/>
      <c r="AM54" s="255"/>
      <c r="AN54" s="253"/>
      <c r="AO54" s="253"/>
      <c r="AP54" s="253"/>
      <c r="AQ54" s="253"/>
      <c r="AR54" s="253"/>
      <c r="AS54" s="255"/>
      <c r="AT54" s="255"/>
      <c r="AU54" s="255"/>
      <c r="AV54" s="255"/>
      <c r="AW54" s="255"/>
      <c r="AX54" s="255"/>
      <c r="AZ54" s="223" t="str">
        <f t="shared" si="5"/>
        <v/>
      </c>
      <c r="BA54" s="223" t="str">
        <f t="shared" si="6"/>
        <v/>
      </c>
      <c r="BB54" s="223">
        <f t="shared" si="7"/>
        <v>0</v>
      </c>
      <c r="BC54" s="223" t="str">
        <f t="shared" si="8"/>
        <v/>
      </c>
      <c r="BE54" s="199" t="str">
        <f t="shared" si="20"/>
        <v/>
      </c>
      <c r="BF54" s="27">
        <f>_xlfn.XLOOKUP(B54,'TAREO HORAS EXTRAS'!$C$15:$C$51,'TAREO HORAS EXTRAS'!$AO$15:$AO$51,0)</f>
        <v>0</v>
      </c>
      <c r="BG54" s="200">
        <f t="shared" si="21"/>
        <v>0</v>
      </c>
      <c r="BH54" s="200"/>
      <c r="BI54" s="226"/>
      <c r="BJ54" s="228"/>
      <c r="BK54" s="226"/>
      <c r="BL54" s="228"/>
      <c r="BM54" s="226"/>
      <c r="BN54" s="228"/>
      <c r="BO54" s="226"/>
      <c r="BP54" s="228"/>
      <c r="BQ54" s="227">
        <f t="shared" si="22"/>
        <v>0</v>
      </c>
      <c r="BS54" s="241">
        <f t="shared" si="23"/>
        <v>0</v>
      </c>
      <c r="BT54" s="225">
        <f t="shared" si="24"/>
        <v>0</v>
      </c>
      <c r="BU54" s="224">
        <f t="shared" si="25"/>
        <v>0</v>
      </c>
      <c r="BV54" s="224">
        <f t="shared" si="26"/>
        <v>0</v>
      </c>
      <c r="BW54" s="243">
        <f t="shared" si="27"/>
        <v>0</v>
      </c>
      <c r="BX54" s="214"/>
      <c r="BY54" s="199">
        <f t="shared" si="28"/>
        <v>0</v>
      </c>
      <c r="BZ54" s="199"/>
      <c r="CA54" s="247">
        <f t="shared" si="29"/>
        <v>0</v>
      </c>
      <c r="CB54" s="11" t="s">
        <v>258</v>
      </c>
    </row>
    <row r="55" spans="2:80" ht="15.75" thickBot="1" x14ac:dyDescent="0.3">
      <c r="B55" s="252"/>
      <c r="D55" s="218" t="str">
        <f>IFERROR(VLOOKUP(B55,'DATOS GRALES 1'!$B$2:$E$91,4,0),"")</f>
        <v/>
      </c>
      <c r="E55" s="251">
        <f t="shared" si="18"/>
        <v>0</v>
      </c>
      <c r="F55" s="220">
        <f t="shared" si="19"/>
        <v>0</v>
      </c>
      <c r="H55" s="253"/>
      <c r="I55" s="253"/>
      <c r="J55" s="253"/>
      <c r="K55" s="253"/>
      <c r="L55" s="253"/>
      <c r="M55" s="253"/>
      <c r="N55" s="253"/>
      <c r="O55" s="253"/>
      <c r="P55" s="253"/>
      <c r="Q55" s="253"/>
      <c r="R55" s="253"/>
      <c r="S55" s="253"/>
      <c r="T55" s="253"/>
      <c r="U55" s="253"/>
      <c r="V55" s="253"/>
      <c r="W55" s="253"/>
      <c r="X55" s="253"/>
      <c r="Y55" s="253"/>
      <c r="Z55" s="253"/>
      <c r="AA55" s="253"/>
      <c r="AB55" s="253"/>
      <c r="AC55" s="253"/>
      <c r="AD55" s="253"/>
      <c r="AE55" s="253"/>
      <c r="AF55" s="253"/>
      <c r="AG55" s="253"/>
      <c r="AH55" s="253"/>
      <c r="AI55" s="253"/>
      <c r="AJ55" s="253"/>
      <c r="AK55" s="253"/>
      <c r="AL55" s="253"/>
      <c r="AM55" s="255"/>
      <c r="AN55" s="253"/>
      <c r="AO55" s="253"/>
      <c r="AP55" s="253"/>
      <c r="AQ55" s="253"/>
      <c r="AR55" s="253"/>
      <c r="AS55" s="255"/>
      <c r="AT55" s="255"/>
      <c r="AU55" s="255"/>
      <c r="AV55" s="255"/>
      <c r="AW55" s="255"/>
      <c r="AX55" s="255"/>
      <c r="AZ55" s="223" t="str">
        <f t="shared" si="5"/>
        <v/>
      </c>
      <c r="BA55" s="223" t="str">
        <f t="shared" si="6"/>
        <v/>
      </c>
      <c r="BB55" s="223">
        <f t="shared" si="7"/>
        <v>0</v>
      </c>
      <c r="BC55" s="223" t="str">
        <f t="shared" si="8"/>
        <v/>
      </c>
      <c r="BE55" s="199" t="str">
        <f t="shared" si="20"/>
        <v/>
      </c>
      <c r="BF55" s="27">
        <f>_xlfn.XLOOKUP(B55,'TAREO HORAS EXTRAS'!$C$15:$C$51,'TAREO HORAS EXTRAS'!$AO$15:$AO$51,0)</f>
        <v>0</v>
      </c>
      <c r="BG55" s="200">
        <f t="shared" si="21"/>
        <v>0</v>
      </c>
      <c r="BH55" s="200"/>
      <c r="BI55" s="226"/>
      <c r="BJ55" s="228"/>
      <c r="BK55" s="226"/>
      <c r="BL55" s="228"/>
      <c r="BM55" s="226"/>
      <c r="BN55" s="228"/>
      <c r="BO55" s="226"/>
      <c r="BP55" s="228"/>
      <c r="BQ55" s="227">
        <f t="shared" si="22"/>
        <v>0</v>
      </c>
      <c r="BS55" s="241">
        <f t="shared" si="23"/>
        <v>0</v>
      </c>
      <c r="BT55" s="225">
        <f t="shared" si="24"/>
        <v>0</v>
      </c>
      <c r="BU55" s="224">
        <f t="shared" si="25"/>
        <v>0</v>
      </c>
      <c r="BV55" s="224">
        <f t="shared" si="26"/>
        <v>0</v>
      </c>
      <c r="BW55" s="243">
        <f t="shared" si="27"/>
        <v>0</v>
      </c>
      <c r="BX55" s="214"/>
      <c r="BY55" s="199">
        <f t="shared" si="28"/>
        <v>0</v>
      </c>
      <c r="BZ55" s="199"/>
      <c r="CA55" s="247">
        <f t="shared" si="29"/>
        <v>0</v>
      </c>
      <c r="CB55" s="11" t="s">
        <v>258</v>
      </c>
    </row>
    <row r="56" spans="2:80" ht="15.75" thickBot="1" x14ac:dyDescent="0.3">
      <c r="B56" s="252"/>
      <c r="D56" s="218" t="str">
        <f>IFERROR(VLOOKUP(B56,'DATOS GRALES 1'!$B$2:$E$91,4,0),"")</f>
        <v/>
      </c>
      <c r="E56" s="251">
        <f t="shared" si="18"/>
        <v>0</v>
      </c>
      <c r="F56" s="220">
        <f t="shared" si="19"/>
        <v>0</v>
      </c>
      <c r="H56" s="253"/>
      <c r="I56" s="253"/>
      <c r="J56" s="253"/>
      <c r="K56" s="253"/>
      <c r="L56" s="253"/>
      <c r="M56" s="253"/>
      <c r="N56" s="253"/>
      <c r="O56" s="253"/>
      <c r="P56" s="253"/>
      <c r="Q56" s="253"/>
      <c r="R56" s="253"/>
      <c r="S56" s="253"/>
      <c r="T56" s="253"/>
      <c r="U56" s="253"/>
      <c r="V56" s="253"/>
      <c r="W56" s="253"/>
      <c r="X56" s="253"/>
      <c r="Y56" s="253"/>
      <c r="Z56" s="253"/>
      <c r="AA56" s="253"/>
      <c r="AB56" s="253"/>
      <c r="AC56" s="253"/>
      <c r="AD56" s="253"/>
      <c r="AE56" s="253"/>
      <c r="AF56" s="253"/>
      <c r="AG56" s="253"/>
      <c r="AH56" s="253"/>
      <c r="AI56" s="253"/>
      <c r="AJ56" s="253"/>
      <c r="AK56" s="253"/>
      <c r="AL56" s="253"/>
      <c r="AM56" s="255"/>
      <c r="AN56" s="253"/>
      <c r="AO56" s="253"/>
      <c r="AP56" s="253"/>
      <c r="AQ56" s="253"/>
      <c r="AR56" s="253"/>
      <c r="AS56" s="255"/>
      <c r="AT56" s="255"/>
      <c r="AU56" s="255"/>
      <c r="AV56" s="255"/>
      <c r="AW56" s="255"/>
      <c r="AX56" s="255"/>
      <c r="AZ56" s="223" t="str">
        <f t="shared" si="5"/>
        <v/>
      </c>
      <c r="BA56" s="223" t="str">
        <f t="shared" si="6"/>
        <v/>
      </c>
      <c r="BB56" s="223">
        <f t="shared" si="7"/>
        <v>0</v>
      </c>
      <c r="BC56" s="223" t="str">
        <f t="shared" si="8"/>
        <v/>
      </c>
      <c r="BE56" s="199" t="str">
        <f t="shared" si="20"/>
        <v/>
      </c>
      <c r="BF56" s="27">
        <f>_xlfn.XLOOKUP(B56,'TAREO HORAS EXTRAS'!$C$15:$C$51,'TAREO HORAS EXTRAS'!$AO$15:$AO$51,0)</f>
        <v>0</v>
      </c>
      <c r="BG56" s="200">
        <f t="shared" si="21"/>
        <v>0</v>
      </c>
      <c r="BH56" s="200"/>
      <c r="BI56" s="226"/>
      <c r="BJ56" s="228"/>
      <c r="BK56" s="226"/>
      <c r="BL56" s="228"/>
      <c r="BM56" s="226"/>
      <c r="BN56" s="228"/>
      <c r="BO56" s="226"/>
      <c r="BP56" s="228"/>
      <c r="BQ56" s="227">
        <f t="shared" si="22"/>
        <v>0</v>
      </c>
      <c r="BS56" s="241">
        <f t="shared" si="23"/>
        <v>0</v>
      </c>
      <c r="BT56" s="225">
        <f t="shared" si="24"/>
        <v>0</v>
      </c>
      <c r="BU56" s="224">
        <f t="shared" si="25"/>
        <v>0</v>
      </c>
      <c r="BV56" s="224">
        <f t="shared" si="26"/>
        <v>0</v>
      </c>
      <c r="BW56" s="243">
        <f t="shared" si="27"/>
        <v>0</v>
      </c>
      <c r="BX56" s="214"/>
      <c r="BY56" s="199">
        <f t="shared" si="28"/>
        <v>0</v>
      </c>
      <c r="BZ56" s="199"/>
      <c r="CA56" s="247">
        <f t="shared" si="29"/>
        <v>0</v>
      </c>
      <c r="CB56" s="11" t="s">
        <v>258</v>
      </c>
    </row>
    <row r="57" spans="2:80" ht="15.75" thickBot="1" x14ac:dyDescent="0.3">
      <c r="B57" s="252"/>
      <c r="D57" s="218" t="str">
        <f>IFERROR(VLOOKUP(B57,'DATOS GRALES 1'!$B$2:$E$91,4,0),"")</f>
        <v/>
      </c>
      <c r="E57" s="251">
        <f t="shared" si="18"/>
        <v>0</v>
      </c>
      <c r="F57" s="220">
        <f t="shared" si="19"/>
        <v>0</v>
      </c>
      <c r="H57" s="253"/>
      <c r="I57" s="253"/>
      <c r="J57" s="253"/>
      <c r="K57" s="253"/>
      <c r="L57" s="253"/>
      <c r="M57" s="253"/>
      <c r="N57" s="253"/>
      <c r="O57" s="253"/>
      <c r="P57" s="253"/>
      <c r="Q57" s="253"/>
      <c r="R57" s="253"/>
      <c r="S57" s="253"/>
      <c r="T57" s="253"/>
      <c r="U57" s="253"/>
      <c r="V57" s="253"/>
      <c r="W57" s="253"/>
      <c r="X57" s="253"/>
      <c r="Y57" s="253"/>
      <c r="Z57" s="253"/>
      <c r="AA57" s="253"/>
      <c r="AB57" s="253"/>
      <c r="AC57" s="253"/>
      <c r="AD57" s="253"/>
      <c r="AE57" s="253"/>
      <c r="AF57" s="253"/>
      <c r="AG57" s="253"/>
      <c r="AH57" s="253"/>
      <c r="AI57" s="253"/>
      <c r="AJ57" s="253"/>
      <c r="AK57" s="253"/>
      <c r="AL57" s="253"/>
      <c r="AM57" s="255"/>
      <c r="AN57" s="253"/>
      <c r="AO57" s="253"/>
      <c r="AP57" s="253"/>
      <c r="AQ57" s="253"/>
      <c r="AR57" s="253"/>
      <c r="AS57" s="255"/>
      <c r="AT57" s="255"/>
      <c r="AU57" s="255"/>
      <c r="AV57" s="255"/>
      <c r="AW57" s="255"/>
      <c r="AX57" s="255"/>
      <c r="AZ57" s="223" t="str">
        <f t="shared" si="5"/>
        <v/>
      </c>
      <c r="BA57" s="223" t="str">
        <f t="shared" si="6"/>
        <v/>
      </c>
      <c r="BB57" s="223">
        <f t="shared" si="7"/>
        <v>0</v>
      </c>
      <c r="BC57" s="223" t="str">
        <f t="shared" si="8"/>
        <v/>
      </c>
      <c r="BE57" s="199" t="str">
        <f t="shared" si="20"/>
        <v/>
      </c>
      <c r="BF57" s="27">
        <f>_xlfn.XLOOKUP(B57,'TAREO HORAS EXTRAS'!$C$15:$C$51,'TAREO HORAS EXTRAS'!$AO$15:$AO$51,0)</f>
        <v>0</v>
      </c>
      <c r="BG57" s="200">
        <f t="shared" si="21"/>
        <v>0</v>
      </c>
      <c r="BH57" s="200"/>
      <c r="BI57" s="226"/>
      <c r="BJ57" s="228"/>
      <c r="BK57" s="226"/>
      <c r="BL57" s="228"/>
      <c r="BM57" s="226"/>
      <c r="BN57" s="228"/>
      <c r="BO57" s="226"/>
      <c r="BP57" s="228"/>
      <c r="BQ57" s="227">
        <f t="shared" si="22"/>
        <v>0</v>
      </c>
      <c r="BS57" s="241">
        <f t="shared" si="23"/>
        <v>0</v>
      </c>
      <c r="BT57" s="225">
        <f t="shared" si="24"/>
        <v>0</v>
      </c>
      <c r="BU57" s="224">
        <f t="shared" si="25"/>
        <v>0</v>
      </c>
      <c r="BV57" s="224">
        <f t="shared" si="26"/>
        <v>0</v>
      </c>
      <c r="BW57" s="243">
        <f t="shared" si="27"/>
        <v>0</v>
      </c>
      <c r="BX57" s="214"/>
      <c r="BY57" s="199">
        <f t="shared" si="28"/>
        <v>0</v>
      </c>
      <c r="BZ57" s="199"/>
      <c r="CA57" s="247">
        <f t="shared" si="29"/>
        <v>0</v>
      </c>
      <c r="CB57" s="11" t="s">
        <v>258</v>
      </c>
    </row>
    <row r="58" spans="2:80" ht="15.75" thickBot="1" x14ac:dyDescent="0.3">
      <c r="B58" s="252"/>
      <c r="D58" s="218" t="str">
        <f>IFERROR(VLOOKUP(B58,'DATOS GRALES 1'!$B$2:$E$91,4,0),"")</f>
        <v/>
      </c>
      <c r="E58" s="251">
        <f t="shared" si="18"/>
        <v>0</v>
      </c>
      <c r="F58" s="220">
        <f t="shared" si="19"/>
        <v>0</v>
      </c>
      <c r="H58" s="253"/>
      <c r="I58" s="253"/>
      <c r="J58" s="253"/>
      <c r="K58" s="253"/>
      <c r="L58" s="253"/>
      <c r="M58" s="253"/>
      <c r="N58" s="253"/>
      <c r="O58" s="253"/>
      <c r="P58" s="253"/>
      <c r="Q58" s="253"/>
      <c r="R58" s="253"/>
      <c r="S58" s="253"/>
      <c r="T58" s="253"/>
      <c r="U58" s="253"/>
      <c r="V58" s="253"/>
      <c r="W58" s="253"/>
      <c r="X58" s="253"/>
      <c r="Y58" s="253"/>
      <c r="Z58" s="253"/>
      <c r="AA58" s="253"/>
      <c r="AB58" s="253"/>
      <c r="AC58" s="253"/>
      <c r="AD58" s="253"/>
      <c r="AE58" s="253"/>
      <c r="AF58" s="253"/>
      <c r="AG58" s="253"/>
      <c r="AH58" s="253"/>
      <c r="AI58" s="253"/>
      <c r="AJ58" s="253"/>
      <c r="AK58" s="253"/>
      <c r="AL58" s="253"/>
      <c r="AM58" s="255"/>
      <c r="AN58" s="253"/>
      <c r="AO58" s="253"/>
      <c r="AP58" s="253"/>
      <c r="AQ58" s="253"/>
      <c r="AR58" s="253"/>
      <c r="AS58" s="255"/>
      <c r="AT58" s="255"/>
      <c r="AU58" s="255"/>
      <c r="AV58" s="255"/>
      <c r="AW58" s="255"/>
      <c r="AX58" s="255"/>
      <c r="AZ58" s="223" t="str">
        <f t="shared" si="5"/>
        <v/>
      </c>
      <c r="BA58" s="223" t="str">
        <f t="shared" si="6"/>
        <v/>
      </c>
      <c r="BB58" s="223">
        <f t="shared" si="7"/>
        <v>0</v>
      </c>
      <c r="BC58" s="223" t="str">
        <f t="shared" si="8"/>
        <v/>
      </c>
      <c r="BE58" s="199" t="str">
        <f t="shared" si="20"/>
        <v/>
      </c>
      <c r="BF58" s="27">
        <f>_xlfn.XLOOKUP(B58,'TAREO HORAS EXTRAS'!$C$15:$C$51,'TAREO HORAS EXTRAS'!$AO$15:$AO$51,0)</f>
        <v>0</v>
      </c>
      <c r="BG58" s="200">
        <f t="shared" si="21"/>
        <v>0</v>
      </c>
      <c r="BH58" s="200"/>
      <c r="BI58" s="226"/>
      <c r="BJ58" s="228"/>
      <c r="BK58" s="226"/>
      <c r="BL58" s="228"/>
      <c r="BM58" s="226"/>
      <c r="BN58" s="228"/>
      <c r="BO58" s="226"/>
      <c r="BP58" s="228"/>
      <c r="BQ58" s="227">
        <f t="shared" si="22"/>
        <v>0</v>
      </c>
      <c r="BS58" s="241">
        <f t="shared" si="23"/>
        <v>0</v>
      </c>
      <c r="BT58" s="225">
        <f t="shared" si="24"/>
        <v>0</v>
      </c>
      <c r="BU58" s="224">
        <f t="shared" si="25"/>
        <v>0</v>
      </c>
      <c r="BV58" s="224">
        <f t="shared" si="26"/>
        <v>0</v>
      </c>
      <c r="BW58" s="243">
        <f t="shared" si="27"/>
        <v>0</v>
      </c>
      <c r="BX58" s="214"/>
      <c r="BY58" s="199">
        <f t="shared" si="28"/>
        <v>0</v>
      </c>
      <c r="BZ58" s="199"/>
      <c r="CA58" s="247">
        <f t="shared" si="29"/>
        <v>0</v>
      </c>
      <c r="CB58" s="11" t="s">
        <v>258</v>
      </c>
    </row>
    <row r="59" spans="2:80" ht="15.75" thickBot="1" x14ac:dyDescent="0.3">
      <c r="B59" s="252"/>
      <c r="D59" s="218" t="str">
        <f>IFERROR(VLOOKUP(B59,'DATOS GRALES 1'!$B$2:$E$91,4,0),"")</f>
        <v/>
      </c>
      <c r="E59" s="251">
        <f t="shared" si="18"/>
        <v>0</v>
      </c>
      <c r="F59" s="220">
        <f t="shared" si="19"/>
        <v>0</v>
      </c>
      <c r="H59" s="253"/>
      <c r="I59" s="253"/>
      <c r="J59" s="253"/>
      <c r="K59" s="253"/>
      <c r="L59" s="253"/>
      <c r="M59" s="253"/>
      <c r="N59" s="253"/>
      <c r="O59" s="253"/>
      <c r="P59" s="253"/>
      <c r="Q59" s="253"/>
      <c r="R59" s="253"/>
      <c r="S59" s="253"/>
      <c r="T59" s="253"/>
      <c r="U59" s="253"/>
      <c r="V59" s="253"/>
      <c r="W59" s="253"/>
      <c r="X59" s="253"/>
      <c r="Y59" s="253"/>
      <c r="Z59" s="253"/>
      <c r="AA59" s="253"/>
      <c r="AB59" s="253"/>
      <c r="AC59" s="253"/>
      <c r="AD59" s="253"/>
      <c r="AE59" s="253"/>
      <c r="AF59" s="253"/>
      <c r="AG59" s="253"/>
      <c r="AH59" s="253"/>
      <c r="AI59" s="253"/>
      <c r="AJ59" s="253"/>
      <c r="AK59" s="253"/>
      <c r="AL59" s="253"/>
      <c r="AM59" s="255"/>
      <c r="AN59" s="253"/>
      <c r="AO59" s="253"/>
      <c r="AP59" s="253"/>
      <c r="AQ59" s="253"/>
      <c r="AR59" s="253"/>
      <c r="AS59" s="255"/>
      <c r="AT59" s="255"/>
      <c r="AU59" s="255"/>
      <c r="AV59" s="255"/>
      <c r="AW59" s="255"/>
      <c r="AX59" s="255"/>
      <c r="AZ59" s="223" t="str">
        <f t="shared" si="5"/>
        <v/>
      </c>
      <c r="BA59" s="223" t="str">
        <f t="shared" si="6"/>
        <v/>
      </c>
      <c r="BB59" s="223">
        <f t="shared" si="7"/>
        <v>0</v>
      </c>
      <c r="BC59" s="223" t="str">
        <f t="shared" si="8"/>
        <v/>
      </c>
      <c r="BE59" s="199" t="str">
        <f t="shared" si="20"/>
        <v/>
      </c>
      <c r="BF59" s="27">
        <f>_xlfn.XLOOKUP(B59,'TAREO HORAS EXTRAS'!$C$15:$C$51,'TAREO HORAS EXTRAS'!$AO$15:$AO$51,0)</f>
        <v>0</v>
      </c>
      <c r="BG59" s="200">
        <f t="shared" si="21"/>
        <v>0</v>
      </c>
      <c r="BH59" s="200"/>
      <c r="BI59" s="226"/>
      <c r="BJ59" s="228"/>
      <c r="BK59" s="226"/>
      <c r="BL59" s="228"/>
      <c r="BM59" s="226"/>
      <c r="BN59" s="228"/>
      <c r="BO59" s="226"/>
      <c r="BP59" s="228"/>
      <c r="BQ59" s="227">
        <f t="shared" si="22"/>
        <v>0</v>
      </c>
      <c r="BS59" s="241">
        <f t="shared" si="23"/>
        <v>0</v>
      </c>
      <c r="BT59" s="225">
        <f t="shared" si="24"/>
        <v>0</v>
      </c>
      <c r="BU59" s="224">
        <f t="shared" si="25"/>
        <v>0</v>
      </c>
      <c r="BV59" s="224">
        <f t="shared" si="26"/>
        <v>0</v>
      </c>
      <c r="BW59" s="243">
        <f t="shared" si="27"/>
        <v>0</v>
      </c>
      <c r="BX59" s="214"/>
      <c r="BY59" s="199">
        <f t="shared" si="28"/>
        <v>0</v>
      </c>
      <c r="BZ59" s="199"/>
      <c r="CA59" s="247">
        <f t="shared" si="29"/>
        <v>0</v>
      </c>
      <c r="CB59" s="11" t="s">
        <v>258</v>
      </c>
    </row>
    <row r="60" spans="2:80" ht="15.75" thickBot="1" x14ac:dyDescent="0.3">
      <c r="B60" s="252"/>
      <c r="D60" s="218" t="str">
        <f>IFERROR(VLOOKUP(B60,'DATOS GRALES 1'!$B$2:$E$91,4,0),"")</f>
        <v/>
      </c>
      <c r="E60" s="251">
        <f t="shared" si="18"/>
        <v>0</v>
      </c>
      <c r="F60" s="220">
        <f t="shared" si="19"/>
        <v>0</v>
      </c>
      <c r="H60" s="253"/>
      <c r="I60" s="253"/>
      <c r="J60" s="253"/>
      <c r="K60" s="253"/>
      <c r="L60" s="253"/>
      <c r="M60" s="253"/>
      <c r="N60" s="253"/>
      <c r="O60" s="253"/>
      <c r="P60" s="253"/>
      <c r="Q60" s="253"/>
      <c r="R60" s="253"/>
      <c r="S60" s="253"/>
      <c r="T60" s="253"/>
      <c r="U60" s="253"/>
      <c r="V60" s="253"/>
      <c r="W60" s="253"/>
      <c r="X60" s="253"/>
      <c r="Y60" s="253"/>
      <c r="Z60" s="253"/>
      <c r="AA60" s="253"/>
      <c r="AB60" s="253"/>
      <c r="AC60" s="253"/>
      <c r="AD60" s="253"/>
      <c r="AE60" s="253"/>
      <c r="AF60" s="253"/>
      <c r="AG60" s="253"/>
      <c r="AH60" s="253"/>
      <c r="AI60" s="253"/>
      <c r="AJ60" s="253"/>
      <c r="AK60" s="253"/>
      <c r="AL60" s="253"/>
      <c r="AM60" s="255"/>
      <c r="AN60" s="253"/>
      <c r="AO60" s="253"/>
      <c r="AP60" s="253"/>
      <c r="AQ60" s="253"/>
      <c r="AR60" s="253"/>
      <c r="AS60" s="255"/>
      <c r="AT60" s="255"/>
      <c r="AU60" s="255"/>
      <c r="AV60" s="255"/>
      <c r="AW60" s="255"/>
      <c r="AX60" s="255"/>
      <c r="AZ60" s="223" t="str">
        <f t="shared" si="5"/>
        <v/>
      </c>
      <c r="BA60" s="223" t="str">
        <f t="shared" si="6"/>
        <v/>
      </c>
      <c r="BB60" s="223">
        <f t="shared" si="7"/>
        <v>0</v>
      </c>
      <c r="BC60" s="223" t="str">
        <f t="shared" si="8"/>
        <v/>
      </c>
      <c r="BE60" s="199" t="str">
        <f t="shared" si="20"/>
        <v/>
      </c>
      <c r="BF60" s="27">
        <f>_xlfn.XLOOKUP(B60,'TAREO HORAS EXTRAS'!$C$15:$C$51,'TAREO HORAS EXTRAS'!$AO$15:$AO$51,0)</f>
        <v>0</v>
      </c>
      <c r="BG60" s="200">
        <f t="shared" si="21"/>
        <v>0</v>
      </c>
      <c r="BH60" s="200"/>
      <c r="BI60" s="226"/>
      <c r="BJ60" s="228"/>
      <c r="BK60" s="226"/>
      <c r="BL60" s="228"/>
      <c r="BM60" s="226"/>
      <c r="BN60" s="228"/>
      <c r="BO60" s="226"/>
      <c r="BP60" s="228"/>
      <c r="BQ60" s="227">
        <f t="shared" si="22"/>
        <v>0</v>
      </c>
      <c r="BS60" s="241">
        <f t="shared" si="23"/>
        <v>0</v>
      </c>
      <c r="BT60" s="225">
        <f t="shared" si="24"/>
        <v>0</v>
      </c>
      <c r="BU60" s="224">
        <f t="shared" si="25"/>
        <v>0</v>
      </c>
      <c r="BV60" s="224">
        <f t="shared" si="26"/>
        <v>0</v>
      </c>
      <c r="BW60" s="243">
        <f t="shared" si="27"/>
        <v>0</v>
      </c>
      <c r="BX60" s="214"/>
      <c r="BY60" s="199">
        <f t="shared" si="28"/>
        <v>0</v>
      </c>
      <c r="BZ60" s="199"/>
      <c r="CA60" s="247">
        <f t="shared" si="29"/>
        <v>0</v>
      </c>
      <c r="CB60" s="11" t="s">
        <v>258</v>
      </c>
    </row>
    <row r="61" spans="2:80" ht="15.75" thickBot="1" x14ac:dyDescent="0.3">
      <c r="B61" s="252"/>
      <c r="D61" s="218" t="str">
        <f>IFERROR(VLOOKUP(B61,'DATOS GRALES 1'!$B$2:$E$91,4,0),"")</f>
        <v/>
      </c>
      <c r="E61" s="251">
        <f t="shared" si="18"/>
        <v>0</v>
      </c>
      <c r="F61" s="220">
        <f t="shared" si="19"/>
        <v>0</v>
      </c>
      <c r="H61" s="253"/>
      <c r="I61" s="253"/>
      <c r="J61" s="253"/>
      <c r="K61" s="253"/>
      <c r="L61" s="253"/>
      <c r="M61" s="253"/>
      <c r="N61" s="253"/>
      <c r="O61" s="253"/>
      <c r="P61" s="253"/>
      <c r="Q61" s="253"/>
      <c r="R61" s="253"/>
      <c r="S61" s="253"/>
      <c r="T61" s="253"/>
      <c r="U61" s="253"/>
      <c r="V61" s="253"/>
      <c r="W61" s="253"/>
      <c r="X61" s="253"/>
      <c r="Y61" s="253"/>
      <c r="Z61" s="253"/>
      <c r="AA61" s="253"/>
      <c r="AB61" s="253"/>
      <c r="AC61" s="253"/>
      <c r="AD61" s="253"/>
      <c r="AE61" s="253"/>
      <c r="AF61" s="253"/>
      <c r="AG61" s="253"/>
      <c r="AH61" s="253"/>
      <c r="AI61" s="253"/>
      <c r="AJ61" s="253"/>
      <c r="AK61" s="253"/>
      <c r="AL61" s="253"/>
      <c r="AM61" s="255"/>
      <c r="AN61" s="253"/>
      <c r="AO61" s="253"/>
      <c r="AP61" s="253"/>
      <c r="AQ61" s="253"/>
      <c r="AR61" s="253"/>
      <c r="AS61" s="255"/>
      <c r="AT61" s="255"/>
      <c r="AU61" s="255"/>
      <c r="AV61" s="255"/>
      <c r="AW61" s="255"/>
      <c r="AX61" s="255"/>
      <c r="AZ61" s="223" t="str">
        <f t="shared" si="5"/>
        <v/>
      </c>
      <c r="BA61" s="223" t="str">
        <f t="shared" si="6"/>
        <v/>
      </c>
      <c r="BB61" s="223">
        <f t="shared" si="7"/>
        <v>0</v>
      </c>
      <c r="BC61" s="223" t="str">
        <f t="shared" si="8"/>
        <v/>
      </c>
      <c r="BE61" s="199" t="str">
        <f t="shared" si="20"/>
        <v/>
      </c>
      <c r="BF61" s="27">
        <f>_xlfn.XLOOKUP(B61,'TAREO HORAS EXTRAS'!$C$15:$C$51,'TAREO HORAS EXTRAS'!$AO$15:$AO$51,0)</f>
        <v>0</v>
      </c>
      <c r="BG61" s="200">
        <f t="shared" si="21"/>
        <v>0</v>
      </c>
      <c r="BH61" s="200"/>
      <c r="BI61" s="226"/>
      <c r="BJ61" s="228"/>
      <c r="BK61" s="226"/>
      <c r="BL61" s="228"/>
      <c r="BM61" s="226"/>
      <c r="BN61" s="228"/>
      <c r="BO61" s="226"/>
      <c r="BP61" s="228"/>
      <c r="BQ61" s="227">
        <f>BJ61+BL61+BN61+BP61</f>
        <v>0</v>
      </c>
      <c r="BS61" s="241">
        <f t="shared" si="23"/>
        <v>0</v>
      </c>
      <c r="BT61" s="225">
        <f t="shared" si="24"/>
        <v>0</v>
      </c>
      <c r="BU61" s="224">
        <f t="shared" si="25"/>
        <v>0</v>
      </c>
      <c r="BV61" s="224">
        <f t="shared" si="26"/>
        <v>0</v>
      </c>
      <c r="BW61" s="244">
        <f t="shared" si="27"/>
        <v>0</v>
      </c>
      <c r="BX61" s="214"/>
      <c r="BY61" s="199">
        <f t="shared" si="28"/>
        <v>0</v>
      </c>
      <c r="BZ61" s="199"/>
      <c r="CA61" s="247">
        <f t="shared" si="29"/>
        <v>0</v>
      </c>
      <c r="CB61" s="11" t="s">
        <v>258</v>
      </c>
    </row>
    <row r="62" spans="2:80" ht="15.75" thickTop="1" x14ac:dyDescent="0.25">
      <c r="BG62" s="200"/>
      <c r="BH62" s="200"/>
    </row>
  </sheetData>
  <conditionalFormatting sqref="H10:AX10">
    <cfRule type="expression" dxfId="13" priority="8">
      <formula>MONTH(H4)=MONTH($D$2&amp;1)</formula>
    </cfRule>
  </conditionalFormatting>
  <conditionalFormatting sqref="H11:AX11">
    <cfRule type="expression" dxfId="12" priority="2">
      <formula>WEEKDAY(_FECHAINICIAL2,2)&gt;WEEKDAY(_FECHASIGUIENTE2,2)</formula>
    </cfRule>
  </conditionalFormatting>
  <conditionalFormatting sqref="H12:AX61">
    <cfRule type="expression" dxfId="11" priority="1">
      <formula>WEEKDAY(_FECHAINICIAL2,2)&gt;WEEKDAY(_FECHASIGUIENTE2,2)</formula>
    </cfRule>
    <cfRule type="containsText" dxfId="10" priority="4" operator="containsText" text="MED">
      <formula>NOT(ISERROR(SEARCH("MED",H12)))</formula>
    </cfRule>
    <cfRule type="containsText" dxfId="9" priority="5" operator="containsText" text="NO">
      <formula>NOT(ISERROR(SEARCH("NO",H12)))</formula>
    </cfRule>
    <cfRule type="containsText" dxfId="8" priority="6" operator="containsText" text="SI">
      <formula>NOT(ISERROR(SEARCH("SI",H12)))</formula>
    </cfRule>
  </conditionalFormatting>
  <conditionalFormatting sqref="H10:AY10">
    <cfRule type="expression" dxfId="7" priority="9">
      <formula>MONTH(_FECHAINICIAL2)=MONTH($B$2&amp;1)</formula>
    </cfRule>
  </conditionalFormatting>
  <dataValidations count="1">
    <dataValidation type="list" allowBlank="1" showInputMessage="1" showErrorMessage="1" sqref="B2:C2" xr:uid="{99964856-9970-49CD-B07F-E92A859C3898}">
      <formula1>"ENERO, FEBRERO, MARZO, ABRIL, MAYO, JUNIO, JULIO, AGOSTO, SETIEMBRE, OCTUBRE, NOVIEMBRE, DICEMBRE"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812DD27-00BA-4B80-8D14-E9EA04483410}">
          <x14:formula1>
            <xm:f>'DATOS GRALES 1'!$B$2:$B$91</xm:f>
          </x14:formula1>
          <xm:sqref>B12:B19 B21:B61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1432F-483D-469B-8F55-A1B9C3FB9212}">
  <dimension ref="B2:CJ62"/>
  <sheetViews>
    <sheetView tabSelected="1" topLeftCell="W11" workbookViewId="0">
      <selection activeCell="D2" sqref="D2"/>
    </sheetView>
  </sheetViews>
  <sheetFormatPr baseColWidth="10" defaultRowHeight="15" x14ac:dyDescent="0.25"/>
  <cols>
    <col min="1" max="1" width="1.42578125" customWidth="1"/>
    <col min="2" max="2" width="39.7109375" customWidth="1"/>
    <col min="3" max="3" width="1.140625" customWidth="1"/>
    <col min="4" max="4" width="16.28515625" customWidth="1"/>
    <col min="7" max="7" width="1.28515625" customWidth="1"/>
    <col min="8" max="37" width="4.85546875" customWidth="1"/>
    <col min="38" max="38" width="0.85546875" customWidth="1"/>
    <col min="39" max="43" width="4.85546875" customWidth="1"/>
    <col min="44" max="51" width="0.28515625" customWidth="1"/>
    <col min="52" max="55" width="6.7109375" style="191" customWidth="1"/>
    <col min="56" max="56" width="2" customWidth="1"/>
    <col min="60" max="60" width="0.5703125" customWidth="1"/>
    <col min="69" max="69" width="13.5703125" customWidth="1"/>
    <col min="70" max="70" width="1.42578125" customWidth="1"/>
    <col min="71" max="74" width="12.7109375" customWidth="1"/>
    <col min="76" max="76" width="0.85546875" customWidth="1"/>
    <col min="77" max="77" width="11.85546875" customWidth="1"/>
    <col min="78" max="78" width="1.28515625" customWidth="1"/>
    <col min="79" max="79" width="11.85546875" customWidth="1"/>
  </cols>
  <sheetData>
    <row r="2" spans="2:88" x14ac:dyDescent="0.25">
      <c r="B2" s="27" t="s">
        <v>42</v>
      </c>
      <c r="C2" s="27"/>
      <c r="D2" s="27" t="s">
        <v>43</v>
      </c>
    </row>
    <row r="4" spans="2:88" x14ac:dyDescent="0.25">
      <c r="B4" s="27">
        <v>2025</v>
      </c>
      <c r="C4" s="27"/>
    </row>
    <row r="7" spans="2:88" ht="2.4500000000000002" customHeight="1" x14ac:dyDescent="0.25"/>
    <row r="8" spans="2:88" ht="2.4500000000000002" customHeight="1" x14ac:dyDescent="0.25"/>
    <row r="9" spans="2:88" ht="51" customHeight="1" x14ac:dyDescent="0.25">
      <c r="H9" s="189">
        <f>DATE(B4,MONTH(B2&amp;1),21)</f>
        <v>45982</v>
      </c>
      <c r="I9" s="189">
        <f>H9+1</f>
        <v>45983</v>
      </c>
      <c r="J9" s="189">
        <f t="shared" ref="J9:AK9" si="0">I9+1</f>
        <v>45984</v>
      </c>
      <c r="K9" s="189">
        <f t="shared" si="0"/>
        <v>45985</v>
      </c>
      <c r="L9" s="189">
        <f t="shared" si="0"/>
        <v>45986</v>
      </c>
      <c r="M9" s="189">
        <f t="shared" si="0"/>
        <v>45987</v>
      </c>
      <c r="N9" s="189">
        <f t="shared" si="0"/>
        <v>45988</v>
      </c>
      <c r="O9" s="189">
        <f t="shared" si="0"/>
        <v>45989</v>
      </c>
      <c r="P9" s="189">
        <f t="shared" si="0"/>
        <v>45990</v>
      </c>
      <c r="Q9" s="189">
        <f t="shared" si="0"/>
        <v>45991</v>
      </c>
      <c r="R9" s="189">
        <f t="shared" si="0"/>
        <v>45992</v>
      </c>
      <c r="S9" s="189">
        <f t="shared" si="0"/>
        <v>45993</v>
      </c>
      <c r="T9" s="189">
        <f t="shared" si="0"/>
        <v>45994</v>
      </c>
      <c r="U9" s="189">
        <f t="shared" si="0"/>
        <v>45995</v>
      </c>
      <c r="V9" s="189">
        <f t="shared" si="0"/>
        <v>45996</v>
      </c>
      <c r="W9" s="189">
        <f t="shared" si="0"/>
        <v>45997</v>
      </c>
      <c r="X9" s="189">
        <f t="shared" si="0"/>
        <v>45998</v>
      </c>
      <c r="Y9" s="189">
        <f>X9+1</f>
        <v>45999</v>
      </c>
      <c r="Z9" s="189">
        <f t="shared" si="0"/>
        <v>46000</v>
      </c>
      <c r="AA9" s="189">
        <f t="shared" si="0"/>
        <v>46001</v>
      </c>
      <c r="AB9" s="189">
        <f t="shared" si="0"/>
        <v>46002</v>
      </c>
      <c r="AC9" s="189">
        <f t="shared" si="0"/>
        <v>46003</v>
      </c>
      <c r="AD9" s="189">
        <f t="shared" si="0"/>
        <v>46004</v>
      </c>
      <c r="AE9" s="189">
        <f>AD9+1</f>
        <v>46005</v>
      </c>
      <c r="AF9" s="189">
        <f t="shared" si="0"/>
        <v>46006</v>
      </c>
      <c r="AG9" s="189">
        <f t="shared" si="0"/>
        <v>46007</v>
      </c>
      <c r="AH9" s="189">
        <f t="shared" si="0"/>
        <v>46008</v>
      </c>
      <c r="AI9" s="189">
        <f t="shared" si="0"/>
        <v>46009</v>
      </c>
      <c r="AJ9" s="189">
        <f t="shared" si="0"/>
        <v>46010</v>
      </c>
      <c r="AK9" s="189">
        <f t="shared" si="0"/>
        <v>46011</v>
      </c>
      <c r="AL9" s="189"/>
      <c r="AM9" s="189" t="s">
        <v>273</v>
      </c>
      <c r="AN9" s="189" t="s">
        <v>272</v>
      </c>
      <c r="AO9" s="189" t="s">
        <v>274</v>
      </c>
      <c r="AP9" s="189" t="s">
        <v>275</v>
      </c>
      <c r="AQ9" s="189" t="s">
        <v>276</v>
      </c>
      <c r="AR9" s="189"/>
      <c r="AS9" s="189"/>
      <c r="AT9" s="189"/>
      <c r="AU9" s="189"/>
      <c r="AV9" s="189"/>
      <c r="AW9" s="189"/>
      <c r="AX9" s="189"/>
      <c r="AY9" s="189"/>
      <c r="BI9" s="205" t="s">
        <v>256</v>
      </c>
      <c r="BJ9" s="205"/>
      <c r="BK9" s="205"/>
      <c r="BL9" s="205"/>
      <c r="BM9" s="205"/>
      <c r="BN9" s="205"/>
      <c r="BO9" s="205"/>
      <c r="BP9" s="205"/>
      <c r="BQ9" s="206"/>
      <c r="BS9" s="216" t="s">
        <v>257</v>
      </c>
      <c r="BT9" s="215"/>
      <c r="BU9" s="215"/>
      <c r="BV9" s="215"/>
      <c r="BW9" s="215"/>
      <c r="CF9" s="11" t="s">
        <v>258</v>
      </c>
      <c r="CG9" s="250">
        <v>0.13</v>
      </c>
      <c r="CI9" s="11" t="s">
        <v>260</v>
      </c>
      <c r="CJ9" s="250">
        <v>0.02</v>
      </c>
    </row>
    <row r="10" spans="2:88" ht="7.15" customHeight="1" thickBot="1" x14ac:dyDescent="0.3">
      <c r="H10" s="189" t="s">
        <v>237</v>
      </c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  <c r="AJ10" s="189"/>
      <c r="AK10" s="189"/>
      <c r="AL10" s="189"/>
      <c r="AM10" s="189"/>
      <c r="AN10" s="189"/>
      <c r="AO10" s="189"/>
      <c r="AP10" s="189"/>
      <c r="AQ10" s="189"/>
      <c r="AR10" s="189"/>
      <c r="AS10" s="189"/>
      <c r="AT10" s="189"/>
      <c r="AU10" s="189"/>
      <c r="AV10" s="189"/>
      <c r="AW10" s="189"/>
      <c r="AX10" s="189"/>
      <c r="AY10" s="189"/>
      <c r="CF10" s="11"/>
      <c r="CG10" s="11"/>
    </row>
    <row r="11" spans="2:88" ht="41.25" thickBot="1" x14ac:dyDescent="0.3">
      <c r="B11" s="209" t="s">
        <v>29</v>
      </c>
      <c r="C11" s="209"/>
      <c r="D11" s="209" t="s">
        <v>86</v>
      </c>
      <c r="E11" s="209" t="s">
        <v>241</v>
      </c>
      <c r="F11" s="209" t="s">
        <v>242</v>
      </c>
      <c r="G11" s="30"/>
      <c r="H11" s="210" t="str">
        <f>PROPER(LEFT(TEXT(H9,"dddd"),3))</f>
        <v>Vie</v>
      </c>
      <c r="I11" s="210" t="str">
        <f t="shared" ref="I11:AX11" si="1">PROPER(LEFT(TEXT(I9,"dddd"),3))</f>
        <v>Sáb</v>
      </c>
      <c r="J11" s="210" t="str">
        <f t="shared" si="1"/>
        <v>Dom</v>
      </c>
      <c r="K11" s="210" t="str">
        <f t="shared" si="1"/>
        <v>Lun</v>
      </c>
      <c r="L11" s="210" t="str">
        <f t="shared" si="1"/>
        <v>Mar</v>
      </c>
      <c r="M11" s="210" t="str">
        <f t="shared" si="1"/>
        <v>Mié</v>
      </c>
      <c r="N11" s="210" t="str">
        <f t="shared" si="1"/>
        <v>Jue</v>
      </c>
      <c r="O11" s="210" t="str">
        <f t="shared" si="1"/>
        <v>Vie</v>
      </c>
      <c r="P11" s="210" t="str">
        <f t="shared" si="1"/>
        <v>Sáb</v>
      </c>
      <c r="Q11" s="210" t="str">
        <f t="shared" si="1"/>
        <v>Dom</v>
      </c>
      <c r="R11" s="210" t="str">
        <f t="shared" si="1"/>
        <v>Lun</v>
      </c>
      <c r="S11" s="210" t="str">
        <f t="shared" si="1"/>
        <v>Mar</v>
      </c>
      <c r="T11" s="210" t="str">
        <f t="shared" si="1"/>
        <v>Mié</v>
      </c>
      <c r="U11" s="210" t="str">
        <f t="shared" si="1"/>
        <v>Jue</v>
      </c>
      <c r="V11" s="210" t="str">
        <f t="shared" si="1"/>
        <v>Vie</v>
      </c>
      <c r="W11" s="210" t="str">
        <f t="shared" si="1"/>
        <v>Sáb</v>
      </c>
      <c r="X11" s="210" t="str">
        <f t="shared" si="1"/>
        <v>Dom</v>
      </c>
      <c r="Y11" s="210" t="str">
        <f t="shared" si="1"/>
        <v>Lun</v>
      </c>
      <c r="Z11" s="210" t="str">
        <f t="shared" si="1"/>
        <v>Mar</v>
      </c>
      <c r="AA11" s="210" t="str">
        <f t="shared" si="1"/>
        <v>Mié</v>
      </c>
      <c r="AB11" s="210" t="str">
        <f t="shared" si="1"/>
        <v>Jue</v>
      </c>
      <c r="AC11" s="210" t="str">
        <f t="shared" si="1"/>
        <v>Vie</v>
      </c>
      <c r="AD11" s="210" t="str">
        <f t="shared" si="1"/>
        <v>Sáb</v>
      </c>
      <c r="AE11" s="210" t="str">
        <f t="shared" si="1"/>
        <v>Dom</v>
      </c>
      <c r="AF11" s="210" t="str">
        <f t="shared" si="1"/>
        <v>Lun</v>
      </c>
      <c r="AG11" s="210" t="str">
        <f t="shared" si="1"/>
        <v>Mar</v>
      </c>
      <c r="AH11" s="210" t="str">
        <f t="shared" si="1"/>
        <v>Mié</v>
      </c>
      <c r="AI11" s="210" t="str">
        <f t="shared" si="1"/>
        <v>Jue</v>
      </c>
      <c r="AJ11" s="210" t="str">
        <f t="shared" si="1"/>
        <v>Vie</v>
      </c>
      <c r="AK11" s="210" t="str">
        <f t="shared" si="1"/>
        <v>Sáb</v>
      </c>
      <c r="AL11" s="190" t="str">
        <f t="shared" si="1"/>
        <v>Sáb</v>
      </c>
      <c r="AM11" s="210" t="str">
        <f t="shared" si="1"/>
        <v>Adi</v>
      </c>
      <c r="AN11" s="210" t="str">
        <f t="shared" si="1"/>
        <v>Adi</v>
      </c>
      <c r="AO11" s="210" t="str">
        <f t="shared" si="1"/>
        <v>Adi</v>
      </c>
      <c r="AP11" s="210" t="str">
        <f>PROPER(LEFT(TEXT(AP9,"dddd"),3))</f>
        <v>Adi</v>
      </c>
      <c r="AQ11" s="210" t="str">
        <f t="shared" si="1"/>
        <v>Adi</v>
      </c>
      <c r="AR11" s="190" t="str">
        <f t="shared" si="1"/>
        <v>Sáb</v>
      </c>
      <c r="AS11" s="190" t="str">
        <f t="shared" si="1"/>
        <v>Sáb</v>
      </c>
      <c r="AT11" s="190" t="str">
        <f t="shared" si="1"/>
        <v>Sáb</v>
      </c>
      <c r="AU11" s="190" t="str">
        <f t="shared" si="1"/>
        <v>Sáb</v>
      </c>
      <c r="AV11" s="190" t="str">
        <f t="shared" si="1"/>
        <v>Sáb</v>
      </c>
      <c r="AW11" s="190" t="str">
        <f t="shared" si="1"/>
        <v>Sáb</v>
      </c>
      <c r="AX11" s="190" t="str">
        <f t="shared" si="1"/>
        <v>Sáb</v>
      </c>
      <c r="AY11" s="190"/>
      <c r="AZ11" s="192" t="s">
        <v>238</v>
      </c>
      <c r="BA11" s="193" t="s">
        <v>239</v>
      </c>
      <c r="BB11" s="195" t="s">
        <v>240</v>
      </c>
      <c r="BC11" s="194" t="s">
        <v>7</v>
      </c>
      <c r="BE11" s="229" t="s">
        <v>203</v>
      </c>
      <c r="BF11" s="230" t="s">
        <v>204</v>
      </c>
      <c r="BG11" s="230" t="s">
        <v>206</v>
      </c>
      <c r="BH11" s="204"/>
      <c r="BI11" s="234" t="s">
        <v>252</v>
      </c>
      <c r="BJ11" s="234" t="s">
        <v>210</v>
      </c>
      <c r="BK11" s="234" t="s">
        <v>252</v>
      </c>
      <c r="BL11" s="234" t="s">
        <v>253</v>
      </c>
      <c r="BM11" s="234" t="s">
        <v>252</v>
      </c>
      <c r="BN11" s="234" t="s">
        <v>254</v>
      </c>
      <c r="BO11" s="234" t="s">
        <v>252</v>
      </c>
      <c r="BP11" s="234" t="s">
        <v>255</v>
      </c>
      <c r="BQ11" s="235" t="s">
        <v>222</v>
      </c>
      <c r="BS11" s="236" t="s">
        <v>223</v>
      </c>
      <c r="BT11" s="236" t="s">
        <v>226</v>
      </c>
      <c r="BU11" s="236" t="s">
        <v>227</v>
      </c>
      <c r="BV11" s="236" t="s">
        <v>230</v>
      </c>
      <c r="BW11" s="237" t="s">
        <v>231</v>
      </c>
      <c r="BX11" s="208"/>
      <c r="BY11" s="207" t="s">
        <v>236</v>
      </c>
      <c r="BZ11" s="208"/>
      <c r="CA11" s="245" t="s">
        <v>234</v>
      </c>
      <c r="CF11" s="11" t="s">
        <v>259</v>
      </c>
      <c r="CG11" s="250">
        <v>0.09</v>
      </c>
    </row>
    <row r="12" spans="2:88" ht="16.5" thickTop="1" thickBot="1" x14ac:dyDescent="0.3">
      <c r="B12" s="217" t="s">
        <v>102</v>
      </c>
      <c r="C12" s="198"/>
      <c r="D12" s="217" t="str">
        <f>IFERROR(VLOOKUP(B12,'DATOS GRALES 1'!$B$2:$E$91,4,0),"")</f>
        <v>RESIDENTE</v>
      </c>
      <c r="E12" s="220"/>
      <c r="F12" s="218">
        <f>E12/30</f>
        <v>0</v>
      </c>
      <c r="H12" s="253"/>
      <c r="I12" s="253"/>
      <c r="J12" s="253"/>
      <c r="K12" s="253"/>
      <c r="L12" s="253"/>
      <c r="M12" s="253"/>
      <c r="N12" s="253"/>
      <c r="O12" s="253"/>
      <c r="P12" s="253"/>
      <c r="Q12" s="253"/>
      <c r="R12" s="253"/>
      <c r="S12" s="253"/>
      <c r="T12" s="253"/>
      <c r="U12" s="253"/>
      <c r="V12" s="253"/>
      <c r="W12" s="253"/>
      <c r="X12" s="253"/>
      <c r="Y12" s="253"/>
      <c r="Z12" s="253"/>
      <c r="AA12" s="253"/>
      <c r="AB12" s="253"/>
      <c r="AC12" s="253"/>
      <c r="AD12" s="253"/>
      <c r="AE12" s="253"/>
      <c r="AF12" s="253"/>
      <c r="AG12" s="253"/>
      <c r="AH12" s="253"/>
      <c r="AI12" s="253"/>
      <c r="AJ12" s="253"/>
      <c r="AK12" s="253"/>
      <c r="AL12" s="255"/>
      <c r="AM12" s="253"/>
      <c r="AN12" s="253"/>
      <c r="AO12" s="253"/>
      <c r="AP12" s="253"/>
      <c r="AQ12" s="253"/>
      <c r="AR12" s="255"/>
      <c r="AS12" s="255"/>
      <c r="AT12" s="255"/>
      <c r="AU12" s="255"/>
      <c r="AV12" s="255"/>
      <c r="AW12" s="255"/>
      <c r="AX12" s="255"/>
      <c r="AY12" s="254"/>
      <c r="AZ12" s="223" t="str">
        <f>IF(COUNTIF(H12:AX12,"SI")=0,"",COUNTIF(H12:AX12,"SI"))</f>
        <v/>
      </c>
      <c r="BA12" s="223" t="str">
        <f>IF(COUNTIF(H12:AX12,"NO")=0,"",COUNTIF(H12:AX12,"NO"))</f>
        <v/>
      </c>
      <c r="BB12" s="223">
        <f>COUNTIF(H12:AL12,"MED")</f>
        <v>0</v>
      </c>
      <c r="BC12" s="223" t="str">
        <f>IF(SUM(AZ12:BB12)=0,"",SUM(AZ12:BB12))</f>
        <v/>
      </c>
      <c r="BE12" s="199">
        <f>IFERROR((F12/2*BB12)+(AZ12*F12),0)</f>
        <v>0</v>
      </c>
      <c r="BF12" s="27"/>
      <c r="BG12" s="200">
        <f>F12/8*BF12</f>
        <v>0</v>
      </c>
      <c r="BH12" s="200"/>
      <c r="BI12" s="231"/>
      <c r="BJ12" s="232"/>
      <c r="BK12" s="231"/>
      <c r="BL12" s="233"/>
      <c r="BM12" s="231"/>
      <c r="BN12" s="233"/>
      <c r="BO12" s="231"/>
      <c r="BP12" s="233"/>
      <c r="BQ12" s="232">
        <f>BJ12+BL12+BN12+BP12</f>
        <v>0</v>
      </c>
      <c r="BS12" s="225">
        <f>IF(CB12=$CF$9,(E12*$CG$9/2),IF(CB12=$CF$11,(E12*$CG$11/2),0))</f>
        <v>0</v>
      </c>
      <c r="BT12" s="225">
        <f>IF(CB12=$CF$9,(E12*$CJ$9/2),IF(CB12=$CF$11,(E12*$CJ$9/2),0))</f>
        <v>0</v>
      </c>
      <c r="BU12" s="225">
        <f>IF(CB12=$CF$9,(E12*$CG$9/2),IF(CB12=$CF$11,(E12*$CG$11/2),0))</f>
        <v>0</v>
      </c>
      <c r="BV12" s="224">
        <f>IF(CB12=$CF$9,(E12*$CJ$9/2),IF(CB12=$CF$11,(E12*$CJ$9/2),0))</f>
        <v>0</v>
      </c>
      <c r="BW12" s="238">
        <f>SUM(BS12:BV12)</f>
        <v>0</v>
      </c>
      <c r="BX12" s="199"/>
      <c r="BY12" s="199">
        <f t="shared" ref="BY12:BY18" si="2">BQ12+BW12</f>
        <v>0</v>
      </c>
      <c r="BZ12" s="199"/>
      <c r="CA12" s="246">
        <f t="shared" ref="CA12:CA18" si="3">BE12-BY12</f>
        <v>0</v>
      </c>
      <c r="CB12" s="11" t="s">
        <v>258</v>
      </c>
    </row>
    <row r="13" spans="2:88" ht="15.75" thickBot="1" x14ac:dyDescent="0.3">
      <c r="B13" s="217" t="s">
        <v>95</v>
      </c>
      <c r="C13" s="198"/>
      <c r="D13" s="217" t="str">
        <f>IFERROR(VLOOKUP(B13,'DATOS GRALES 1'!$B$2:$E$91,4,0),"")</f>
        <v>ING. CALIDAD</v>
      </c>
      <c r="E13" s="220"/>
      <c r="F13" s="218">
        <f t="shared" ref="F13:F18" si="4">E13/30</f>
        <v>0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  <c r="R13" s="253"/>
      <c r="S13" s="253"/>
      <c r="T13" s="253"/>
      <c r="U13" s="253"/>
      <c r="V13" s="253"/>
      <c r="W13" s="253"/>
      <c r="X13" s="253"/>
      <c r="Y13" s="253"/>
      <c r="Z13" s="253"/>
      <c r="AA13" s="253"/>
      <c r="AB13" s="253"/>
      <c r="AC13" s="253"/>
      <c r="AD13" s="253"/>
      <c r="AE13" s="253"/>
      <c r="AF13" s="253"/>
      <c r="AG13" s="253"/>
      <c r="AH13" s="253"/>
      <c r="AI13" s="253"/>
      <c r="AJ13" s="253"/>
      <c r="AK13" s="253"/>
      <c r="AL13" s="255"/>
      <c r="AM13" s="253"/>
      <c r="AN13" s="253"/>
      <c r="AO13" s="253"/>
      <c r="AP13" s="253"/>
      <c r="AQ13" s="253"/>
      <c r="AR13" s="255"/>
      <c r="AS13" s="255"/>
      <c r="AT13" s="255"/>
      <c r="AU13" s="255"/>
      <c r="AV13" s="255"/>
      <c r="AW13" s="255"/>
      <c r="AX13" s="255"/>
      <c r="AY13" s="254"/>
      <c r="AZ13" s="223" t="str">
        <f t="shared" ref="AZ13:AZ61" si="5">IF(COUNTIF(H13:AX13,"SI")=0,"",COUNTIF(H13:AX13,"SI"))</f>
        <v/>
      </c>
      <c r="BA13" s="223" t="str">
        <f t="shared" ref="BA13:BA61" si="6">IF(COUNTIF(H13:AX13,"NO")=0,"",COUNTIF(H13:AX13,"NO"))</f>
        <v/>
      </c>
      <c r="BB13" s="223">
        <f t="shared" ref="BB13:BB61" si="7">COUNTIF(H13:AL13,"MED")</f>
        <v>0</v>
      </c>
      <c r="BC13" s="223" t="str">
        <f t="shared" ref="BC13:BC61" si="8">IF(SUM(AZ13:BB13)=0,"",SUM(AZ13:BB13))</f>
        <v/>
      </c>
      <c r="BE13" s="199">
        <f t="shared" ref="BE13:BE18" si="9">IFERROR((F13/2*BB13)+(AZ13*F13),0)</f>
        <v>0</v>
      </c>
      <c r="BF13" s="27"/>
      <c r="BG13" s="200">
        <f t="shared" ref="BG13:BG18" si="10">F13/8*BF13</f>
        <v>0</v>
      </c>
      <c r="BH13" s="200"/>
      <c r="BI13" s="226"/>
      <c r="BJ13" s="227"/>
      <c r="BK13" s="226"/>
      <c r="BL13" s="228"/>
      <c r="BM13" s="226"/>
      <c r="BN13" s="228"/>
      <c r="BO13" s="226"/>
      <c r="BP13" s="228"/>
      <c r="BQ13" s="227">
        <f t="shared" ref="BQ13:BQ18" si="11">BJ13+BL13+BN13+BP13</f>
        <v>0</v>
      </c>
      <c r="BS13" s="225">
        <f t="shared" ref="BS13:BS18" si="12">IF(CB13=$CF$9,(E13*$CG$9/2),IF(CB13=$CF$11,(E13*$CG$11/2),0))</f>
        <v>0</v>
      </c>
      <c r="BT13" s="225">
        <f t="shared" ref="BT13:BT18" si="13">IF(CB13=$CF$9,(E13*$CJ$9/2),IF(CB13=$CF$11,(E13*$CJ$9/2),0))</f>
        <v>0</v>
      </c>
      <c r="BU13" s="225">
        <f t="shared" ref="BU13:BU18" si="14">IF(CB13=$CF$9,(E13*$CG$9/2),IF(CB13=$CF$11,(E13*$CG$11/2),0))</f>
        <v>0</v>
      </c>
      <c r="BV13" s="224">
        <f t="shared" ref="BV13:BV18" si="15">IF(CB13=$CF$9,(E13*$CJ$9/2),IF(CB13=$CF$11,(E13*$CJ$9/2),0))</f>
        <v>0</v>
      </c>
      <c r="BW13" s="239">
        <f t="shared" ref="BW13:BW18" si="16">SUM(BS13:BV13)</f>
        <v>0</v>
      </c>
      <c r="BX13" s="199"/>
      <c r="BY13" s="199">
        <f t="shared" si="2"/>
        <v>0</v>
      </c>
      <c r="BZ13" s="199"/>
      <c r="CA13" s="247">
        <f t="shared" si="3"/>
        <v>0</v>
      </c>
      <c r="CB13" s="11" t="s">
        <v>258</v>
      </c>
    </row>
    <row r="14" spans="2:88" ht="15.75" thickBot="1" x14ac:dyDescent="0.3">
      <c r="B14" s="217" t="s">
        <v>139</v>
      </c>
      <c r="C14" s="198"/>
      <c r="D14" s="217" t="str">
        <f>IFERROR(VLOOKUP(B14,'DATOS GRALES 1'!$B$2:$E$91,4,0),"")</f>
        <v>ESP. SEGURIDAD</v>
      </c>
      <c r="E14" s="220"/>
      <c r="F14" s="218">
        <f t="shared" si="4"/>
        <v>0</v>
      </c>
      <c r="H14" s="253"/>
      <c r="I14" s="253"/>
      <c r="J14" s="253"/>
      <c r="K14" s="253"/>
      <c r="L14" s="253"/>
      <c r="M14" s="253"/>
      <c r="N14" s="253"/>
      <c r="O14" s="253"/>
      <c r="P14" s="253"/>
      <c r="Q14" s="253"/>
      <c r="R14" s="253"/>
      <c r="S14" s="253"/>
      <c r="T14" s="253"/>
      <c r="U14" s="253"/>
      <c r="V14" s="253"/>
      <c r="W14" s="253"/>
      <c r="X14" s="253"/>
      <c r="Y14" s="253"/>
      <c r="Z14" s="253"/>
      <c r="AA14" s="253"/>
      <c r="AB14" s="253"/>
      <c r="AC14" s="253"/>
      <c r="AD14" s="253"/>
      <c r="AE14" s="253"/>
      <c r="AF14" s="253"/>
      <c r="AG14" s="253"/>
      <c r="AH14" s="253"/>
      <c r="AI14" s="253"/>
      <c r="AJ14" s="253"/>
      <c r="AK14" s="253"/>
      <c r="AL14" s="255"/>
      <c r="AM14" s="253"/>
      <c r="AN14" s="253"/>
      <c r="AO14" s="253"/>
      <c r="AP14" s="253"/>
      <c r="AQ14" s="253"/>
      <c r="AR14" s="255"/>
      <c r="AS14" s="255"/>
      <c r="AT14" s="255"/>
      <c r="AU14" s="255"/>
      <c r="AV14" s="255"/>
      <c r="AW14" s="255"/>
      <c r="AX14" s="255"/>
      <c r="AY14" s="254"/>
      <c r="AZ14" s="223" t="str">
        <f t="shared" si="5"/>
        <v/>
      </c>
      <c r="BA14" s="223" t="str">
        <f t="shared" si="6"/>
        <v/>
      </c>
      <c r="BB14" s="223">
        <f t="shared" si="7"/>
        <v>0</v>
      </c>
      <c r="BC14" s="223" t="str">
        <f t="shared" si="8"/>
        <v/>
      </c>
      <c r="BE14" s="199">
        <f t="shared" si="9"/>
        <v>0</v>
      </c>
      <c r="BF14" s="27"/>
      <c r="BG14" s="200">
        <f t="shared" si="10"/>
        <v>0</v>
      </c>
      <c r="BH14" s="200"/>
      <c r="BI14" s="226"/>
      <c r="BJ14" s="227"/>
      <c r="BK14" s="226"/>
      <c r="BL14" s="228"/>
      <c r="BM14" s="226"/>
      <c r="BN14" s="228"/>
      <c r="BO14" s="226"/>
      <c r="BP14" s="228"/>
      <c r="BQ14" s="227">
        <f t="shared" si="11"/>
        <v>0</v>
      </c>
      <c r="BS14" s="225">
        <f t="shared" si="12"/>
        <v>0</v>
      </c>
      <c r="BT14" s="225">
        <f t="shared" si="13"/>
        <v>0</v>
      </c>
      <c r="BU14" s="225">
        <f t="shared" si="14"/>
        <v>0</v>
      </c>
      <c r="BV14" s="224">
        <f t="shared" si="15"/>
        <v>0</v>
      </c>
      <c r="BW14" s="239">
        <f t="shared" si="16"/>
        <v>0</v>
      </c>
      <c r="BX14" s="199"/>
      <c r="BY14" s="199">
        <f t="shared" si="2"/>
        <v>0</v>
      </c>
      <c r="BZ14" s="199"/>
      <c r="CA14" s="247">
        <f t="shared" si="3"/>
        <v>0</v>
      </c>
      <c r="CB14" s="11" t="s">
        <v>259</v>
      </c>
    </row>
    <row r="15" spans="2:88" ht="15.75" thickBot="1" x14ac:dyDescent="0.3">
      <c r="B15" s="217" t="s">
        <v>98</v>
      </c>
      <c r="C15" s="198"/>
      <c r="D15" s="217" t="str">
        <f>IFERROR(VLOOKUP(B15,'DATOS GRALES 1'!$B$2:$E$91,4,0),"")</f>
        <v>ASIS. ING.</v>
      </c>
      <c r="E15" s="220"/>
      <c r="F15" s="218">
        <f t="shared" si="4"/>
        <v>0</v>
      </c>
      <c r="H15" s="253"/>
      <c r="I15" s="253"/>
      <c r="J15" s="253"/>
      <c r="K15" s="253"/>
      <c r="L15" s="253"/>
      <c r="M15" s="253"/>
      <c r="N15" s="253"/>
      <c r="O15" s="253"/>
      <c r="P15" s="253"/>
      <c r="Q15" s="253"/>
      <c r="R15" s="253"/>
      <c r="S15" s="253"/>
      <c r="T15" s="253"/>
      <c r="U15" s="253"/>
      <c r="V15" s="253"/>
      <c r="W15" s="253"/>
      <c r="X15" s="253"/>
      <c r="Y15" s="253"/>
      <c r="Z15" s="253"/>
      <c r="AA15" s="253"/>
      <c r="AB15" s="253"/>
      <c r="AC15" s="253"/>
      <c r="AD15" s="253"/>
      <c r="AE15" s="253"/>
      <c r="AF15" s="253"/>
      <c r="AG15" s="253"/>
      <c r="AH15" s="253"/>
      <c r="AI15" s="253"/>
      <c r="AJ15" s="253"/>
      <c r="AK15" s="253"/>
      <c r="AL15" s="255"/>
      <c r="AM15" s="253"/>
      <c r="AN15" s="253"/>
      <c r="AO15" s="253"/>
      <c r="AP15" s="253"/>
      <c r="AQ15" s="253"/>
      <c r="AR15" s="255"/>
      <c r="AS15" s="255"/>
      <c r="AT15" s="255"/>
      <c r="AU15" s="255"/>
      <c r="AV15" s="255"/>
      <c r="AW15" s="255"/>
      <c r="AX15" s="255"/>
      <c r="AY15" s="254"/>
      <c r="AZ15" s="223" t="str">
        <f t="shared" si="5"/>
        <v/>
      </c>
      <c r="BA15" s="223" t="str">
        <f t="shared" si="6"/>
        <v/>
      </c>
      <c r="BB15" s="223">
        <f t="shared" si="7"/>
        <v>0</v>
      </c>
      <c r="BC15" s="223" t="str">
        <f t="shared" si="8"/>
        <v/>
      </c>
      <c r="BE15" s="199">
        <f t="shared" si="9"/>
        <v>0</v>
      </c>
      <c r="BF15" s="27"/>
      <c r="BG15" s="200">
        <f t="shared" si="10"/>
        <v>0</v>
      </c>
      <c r="BH15" s="200"/>
      <c r="BI15" s="226"/>
      <c r="BJ15" s="227"/>
      <c r="BK15" s="226"/>
      <c r="BL15" s="228"/>
      <c r="BM15" s="226"/>
      <c r="BN15" s="228"/>
      <c r="BO15" s="226"/>
      <c r="BP15" s="228"/>
      <c r="BQ15" s="227">
        <f t="shared" si="11"/>
        <v>0</v>
      </c>
      <c r="BS15" s="225">
        <f t="shared" si="12"/>
        <v>0</v>
      </c>
      <c r="BT15" s="225">
        <f t="shared" si="13"/>
        <v>0</v>
      </c>
      <c r="BU15" s="225">
        <f t="shared" si="14"/>
        <v>0</v>
      </c>
      <c r="BV15" s="224">
        <f t="shared" si="15"/>
        <v>0</v>
      </c>
      <c r="BW15" s="239">
        <f t="shared" si="16"/>
        <v>0</v>
      </c>
      <c r="BX15" s="199"/>
      <c r="BY15" s="199">
        <f t="shared" si="2"/>
        <v>0</v>
      </c>
      <c r="BZ15" s="199"/>
      <c r="CA15" s="247">
        <f t="shared" si="3"/>
        <v>0</v>
      </c>
      <c r="CB15" s="11" t="s">
        <v>261</v>
      </c>
    </row>
    <row r="16" spans="2:88" ht="15.75" thickBot="1" x14ac:dyDescent="0.3">
      <c r="B16" s="217" t="s">
        <v>131</v>
      </c>
      <c r="C16" s="198"/>
      <c r="D16" s="217" t="str">
        <f>IFERROR(VLOOKUP(B16,'DATOS GRALES 1'!$B$2:$E$91,4,0),"")</f>
        <v>TOPOGRAFO</v>
      </c>
      <c r="E16" s="220"/>
      <c r="F16" s="218">
        <f t="shared" si="4"/>
        <v>0</v>
      </c>
      <c r="H16" s="253"/>
      <c r="I16" s="253"/>
      <c r="J16" s="253"/>
      <c r="K16" s="253"/>
      <c r="L16" s="253"/>
      <c r="M16" s="253"/>
      <c r="N16" s="253"/>
      <c r="O16" s="253"/>
      <c r="P16" s="253"/>
      <c r="Q16" s="253"/>
      <c r="R16" s="253"/>
      <c r="S16" s="253"/>
      <c r="T16" s="253"/>
      <c r="U16" s="253"/>
      <c r="V16" s="253"/>
      <c r="W16" s="253"/>
      <c r="X16" s="253"/>
      <c r="Y16" s="253"/>
      <c r="Z16" s="253"/>
      <c r="AA16" s="253"/>
      <c r="AB16" s="253"/>
      <c r="AC16" s="253"/>
      <c r="AD16" s="253"/>
      <c r="AE16" s="253"/>
      <c r="AF16" s="253"/>
      <c r="AG16" s="253"/>
      <c r="AH16" s="253"/>
      <c r="AI16" s="253"/>
      <c r="AJ16" s="253"/>
      <c r="AK16" s="253"/>
      <c r="AL16" s="255"/>
      <c r="AM16" s="253"/>
      <c r="AN16" s="253"/>
      <c r="AO16" s="253"/>
      <c r="AP16" s="253"/>
      <c r="AQ16" s="253"/>
      <c r="AR16" s="255"/>
      <c r="AS16" s="255"/>
      <c r="AT16" s="255"/>
      <c r="AU16" s="255"/>
      <c r="AV16" s="255"/>
      <c r="AW16" s="255"/>
      <c r="AX16" s="255"/>
      <c r="AY16" s="254"/>
      <c r="AZ16" s="223" t="str">
        <f t="shared" si="5"/>
        <v/>
      </c>
      <c r="BA16" s="223" t="str">
        <f t="shared" si="6"/>
        <v/>
      </c>
      <c r="BB16" s="223">
        <f t="shared" si="7"/>
        <v>0</v>
      </c>
      <c r="BC16" s="223" t="str">
        <f t="shared" si="8"/>
        <v/>
      </c>
      <c r="BE16" s="199">
        <f t="shared" si="9"/>
        <v>0</v>
      </c>
      <c r="BF16" s="27"/>
      <c r="BG16" s="200">
        <f t="shared" si="10"/>
        <v>0</v>
      </c>
      <c r="BH16" s="200"/>
      <c r="BI16" s="226"/>
      <c r="BJ16" s="227"/>
      <c r="BK16" s="226"/>
      <c r="BL16" s="228"/>
      <c r="BM16" s="226"/>
      <c r="BN16" s="228"/>
      <c r="BO16" s="226"/>
      <c r="BP16" s="228"/>
      <c r="BQ16" s="227">
        <f t="shared" si="11"/>
        <v>0</v>
      </c>
      <c r="BS16" s="225">
        <f t="shared" si="12"/>
        <v>0</v>
      </c>
      <c r="BT16" s="225">
        <f t="shared" si="13"/>
        <v>0</v>
      </c>
      <c r="BU16" s="225">
        <f t="shared" si="14"/>
        <v>0</v>
      </c>
      <c r="BV16" s="224">
        <f t="shared" si="15"/>
        <v>0</v>
      </c>
      <c r="BW16" s="239">
        <f t="shared" si="16"/>
        <v>0</v>
      </c>
      <c r="BX16" s="199"/>
      <c r="BY16" s="199">
        <f t="shared" si="2"/>
        <v>0</v>
      </c>
      <c r="BZ16" s="199"/>
      <c r="CA16" s="247">
        <f t="shared" si="3"/>
        <v>0</v>
      </c>
      <c r="CB16" s="11" t="s">
        <v>261</v>
      </c>
    </row>
    <row r="17" spans="2:82" ht="15.75" thickBot="1" x14ac:dyDescent="0.3">
      <c r="B17" s="217" t="s">
        <v>100</v>
      </c>
      <c r="C17" s="198"/>
      <c r="D17" s="217" t="str">
        <f>IFERROR(VLOOKUP(B17,'DATOS GRALES 1'!$B$2:$E$91,4,0),"")</f>
        <v>MAESTRO OBRA</v>
      </c>
      <c r="E17" s="220"/>
      <c r="F17" s="218">
        <f t="shared" si="4"/>
        <v>0</v>
      </c>
      <c r="H17" s="253"/>
      <c r="I17" s="253"/>
      <c r="J17" s="253"/>
      <c r="K17" s="253"/>
      <c r="L17" s="253"/>
      <c r="M17" s="253"/>
      <c r="N17" s="253"/>
      <c r="O17" s="253"/>
      <c r="P17" s="253"/>
      <c r="Q17" s="253"/>
      <c r="R17" s="253"/>
      <c r="S17" s="253"/>
      <c r="T17" s="253"/>
      <c r="U17" s="253"/>
      <c r="V17" s="253"/>
      <c r="W17" s="253"/>
      <c r="X17" s="253"/>
      <c r="Y17" s="253"/>
      <c r="Z17" s="253"/>
      <c r="AA17" s="253"/>
      <c r="AB17" s="253"/>
      <c r="AC17" s="253"/>
      <c r="AD17" s="253"/>
      <c r="AE17" s="253"/>
      <c r="AF17" s="253"/>
      <c r="AG17" s="253"/>
      <c r="AH17" s="253"/>
      <c r="AI17" s="253"/>
      <c r="AJ17" s="253"/>
      <c r="AK17" s="253"/>
      <c r="AL17" s="255"/>
      <c r="AM17" s="253"/>
      <c r="AN17" s="253"/>
      <c r="AO17" s="253"/>
      <c r="AP17" s="253"/>
      <c r="AQ17" s="253"/>
      <c r="AR17" s="255"/>
      <c r="AS17" s="255"/>
      <c r="AT17" s="255"/>
      <c r="AU17" s="255"/>
      <c r="AV17" s="255"/>
      <c r="AW17" s="255"/>
      <c r="AX17" s="255"/>
      <c r="AY17" s="254"/>
      <c r="AZ17" s="223" t="str">
        <f t="shared" si="5"/>
        <v/>
      </c>
      <c r="BA17" s="223" t="str">
        <f t="shared" si="6"/>
        <v/>
      </c>
      <c r="BB17" s="223">
        <f t="shared" si="7"/>
        <v>0</v>
      </c>
      <c r="BC17" s="223" t="str">
        <f t="shared" si="8"/>
        <v/>
      </c>
      <c r="BE17" s="199">
        <f t="shared" si="9"/>
        <v>0</v>
      </c>
      <c r="BF17" s="27"/>
      <c r="BG17" s="200">
        <f t="shared" si="10"/>
        <v>0</v>
      </c>
      <c r="BH17" s="200"/>
      <c r="BI17" s="226"/>
      <c r="BJ17" s="227"/>
      <c r="BK17" s="226"/>
      <c r="BL17" s="228"/>
      <c r="BM17" s="226"/>
      <c r="BN17" s="228"/>
      <c r="BO17" s="226"/>
      <c r="BP17" s="228"/>
      <c r="BQ17" s="227">
        <f t="shared" si="11"/>
        <v>0</v>
      </c>
      <c r="BS17" s="225">
        <f t="shared" si="12"/>
        <v>0</v>
      </c>
      <c r="BT17" s="225">
        <f t="shared" si="13"/>
        <v>0</v>
      </c>
      <c r="BU17" s="225">
        <f t="shared" si="14"/>
        <v>0</v>
      </c>
      <c r="BV17" s="224">
        <f t="shared" si="15"/>
        <v>0</v>
      </c>
      <c r="BW17" s="239">
        <f t="shared" si="16"/>
        <v>0</v>
      </c>
      <c r="BX17" s="199"/>
      <c r="BY17" s="199">
        <f t="shared" si="2"/>
        <v>0</v>
      </c>
      <c r="BZ17" s="199"/>
      <c r="CA17" s="247">
        <f t="shared" si="3"/>
        <v>0</v>
      </c>
      <c r="CB17" s="11" t="s">
        <v>258</v>
      </c>
    </row>
    <row r="18" spans="2:82" ht="15.75" thickBot="1" x14ac:dyDescent="0.3">
      <c r="B18" s="217" t="s">
        <v>92</v>
      </c>
      <c r="C18" s="198"/>
      <c r="D18" s="217" t="str">
        <f>IFERROR(VLOOKUP(B18,'DATOS GRALES 1'!$B$2:$E$91,4,0),"")</f>
        <v>LOGISTICO</v>
      </c>
      <c r="E18" s="220">
        <v>3000</v>
      </c>
      <c r="F18" s="218">
        <f t="shared" si="4"/>
        <v>100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  <c r="R18" s="253"/>
      <c r="S18" s="253"/>
      <c r="T18" s="253"/>
      <c r="U18" s="253"/>
      <c r="V18" s="253"/>
      <c r="W18" s="253"/>
      <c r="X18" s="253"/>
      <c r="Y18" s="253"/>
      <c r="Z18" s="253"/>
      <c r="AA18" s="253"/>
      <c r="AB18" s="253"/>
      <c r="AC18" s="253"/>
      <c r="AD18" s="253"/>
      <c r="AE18" s="253"/>
      <c r="AF18" s="253"/>
      <c r="AG18" s="253"/>
      <c r="AH18" s="253"/>
      <c r="AI18" s="253"/>
      <c r="AJ18" s="253"/>
      <c r="AK18" s="253"/>
      <c r="AL18" s="255"/>
      <c r="AM18" s="253"/>
      <c r="AN18" s="253"/>
      <c r="AO18" s="253"/>
      <c r="AP18" s="253"/>
      <c r="AQ18" s="253"/>
      <c r="AR18" s="255"/>
      <c r="AS18" s="255"/>
      <c r="AT18" s="255"/>
      <c r="AU18" s="255"/>
      <c r="AV18" s="255"/>
      <c r="AW18" s="255"/>
      <c r="AX18" s="255"/>
      <c r="AY18" s="254"/>
      <c r="AZ18" s="223" t="str">
        <f t="shared" si="5"/>
        <v/>
      </c>
      <c r="BA18" s="223" t="str">
        <f t="shared" si="6"/>
        <v/>
      </c>
      <c r="BB18" s="223">
        <f t="shared" si="7"/>
        <v>0</v>
      </c>
      <c r="BC18" s="223" t="str">
        <f t="shared" si="8"/>
        <v/>
      </c>
      <c r="BE18" s="199">
        <f t="shared" si="9"/>
        <v>0</v>
      </c>
      <c r="BF18" s="27"/>
      <c r="BG18" s="200">
        <f t="shared" si="10"/>
        <v>0</v>
      </c>
      <c r="BH18" s="200"/>
      <c r="BI18" s="226"/>
      <c r="BJ18" s="227"/>
      <c r="BK18" s="226"/>
      <c r="BL18" s="228"/>
      <c r="BM18" s="226"/>
      <c r="BN18" s="228"/>
      <c r="BO18" s="226"/>
      <c r="BP18" s="228"/>
      <c r="BQ18" s="227">
        <f t="shared" si="11"/>
        <v>0</v>
      </c>
      <c r="BS18" s="225">
        <f t="shared" si="12"/>
        <v>0</v>
      </c>
      <c r="BT18" s="225">
        <f t="shared" si="13"/>
        <v>0</v>
      </c>
      <c r="BU18" s="225">
        <f t="shared" si="14"/>
        <v>0</v>
      </c>
      <c r="BV18" s="224">
        <f t="shared" si="15"/>
        <v>0</v>
      </c>
      <c r="BW18" s="240">
        <f t="shared" si="16"/>
        <v>0</v>
      </c>
      <c r="BX18" s="199"/>
      <c r="BY18" s="199">
        <f t="shared" si="2"/>
        <v>0</v>
      </c>
      <c r="BZ18" s="199"/>
      <c r="CA18" s="248">
        <f t="shared" si="3"/>
        <v>0</v>
      </c>
      <c r="CB18" s="11" t="s">
        <v>261</v>
      </c>
      <c r="CD18" t="str">
        <f t="shared" ref="CD18" si="17">IF(CB18=$CF$9,(E18*$CG$9/2),IF(CB18=$CF$11,(E18*$CG$11/2),""))</f>
        <v/>
      </c>
    </row>
    <row r="19" spans="2:82" ht="15.75" thickTop="1" x14ac:dyDescent="0.25">
      <c r="B19" s="198"/>
      <c r="C19" s="198"/>
      <c r="D19" s="198"/>
      <c r="H19" s="222"/>
      <c r="I19" s="222"/>
      <c r="J19" s="222"/>
      <c r="K19" s="222"/>
      <c r="L19" s="222"/>
      <c r="M19" s="222"/>
      <c r="N19" s="222"/>
      <c r="O19" s="222"/>
      <c r="P19" s="222"/>
      <c r="Q19" s="222"/>
      <c r="R19" s="222"/>
      <c r="S19" s="222"/>
      <c r="T19" s="222"/>
      <c r="U19" s="222"/>
      <c r="V19" s="222"/>
      <c r="W19" s="222"/>
      <c r="X19" s="222"/>
      <c r="Y19" s="222"/>
      <c r="Z19" s="222"/>
      <c r="AA19" s="222"/>
      <c r="AB19" s="222"/>
      <c r="AC19" s="222"/>
      <c r="AD19" s="222"/>
      <c r="AE19" s="222"/>
      <c r="AF19" s="222"/>
      <c r="AG19" s="222"/>
      <c r="AH19" s="222"/>
      <c r="AI19" s="222"/>
      <c r="AJ19" s="222"/>
      <c r="AK19" s="222"/>
      <c r="AL19" s="256"/>
      <c r="AM19" s="222"/>
      <c r="AN19" s="222"/>
      <c r="AO19" s="222"/>
      <c r="AP19" s="222"/>
      <c r="AQ19" s="222"/>
      <c r="AR19" s="256"/>
      <c r="AS19" s="256"/>
      <c r="AT19" s="256"/>
      <c r="AU19" s="256"/>
      <c r="AV19" s="256"/>
      <c r="AW19" s="256"/>
      <c r="AX19" s="256"/>
      <c r="AZ19" s="196" t="str">
        <f t="shared" si="5"/>
        <v/>
      </c>
      <c r="BA19" s="196" t="str">
        <f t="shared" si="6"/>
        <v/>
      </c>
      <c r="BB19" s="196"/>
      <c r="BC19" s="196" t="str">
        <f t="shared" si="8"/>
        <v/>
      </c>
    </row>
    <row r="20" spans="2:82" ht="16.5" thickBot="1" x14ac:dyDescent="0.3">
      <c r="B20" s="211" t="s">
        <v>83</v>
      </c>
      <c r="C20" s="212"/>
      <c r="D20" s="212"/>
      <c r="E20" s="213"/>
      <c r="F20" s="213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02"/>
      <c r="X20" s="202"/>
      <c r="Y20" s="202"/>
      <c r="Z20" s="202"/>
      <c r="AA20" s="202"/>
      <c r="AB20" s="202"/>
      <c r="AC20" s="202"/>
      <c r="AD20" s="202"/>
      <c r="AE20" s="202"/>
      <c r="AF20" s="202"/>
      <c r="AG20" s="202"/>
      <c r="AH20" s="202"/>
      <c r="AI20" s="202"/>
      <c r="AJ20" s="202"/>
      <c r="AK20" s="202"/>
      <c r="AL20" s="256"/>
      <c r="AM20" s="202"/>
      <c r="AN20" s="202"/>
      <c r="AO20" s="202"/>
      <c r="AP20" s="202"/>
      <c r="AQ20" s="202"/>
      <c r="AR20" s="256"/>
      <c r="AS20" s="256"/>
      <c r="AT20" s="256"/>
      <c r="AU20" s="256"/>
      <c r="AV20" s="256"/>
      <c r="AW20" s="256"/>
      <c r="AX20" s="256"/>
      <c r="AY20" s="201"/>
      <c r="AZ20" s="203" t="str">
        <f t="shared" si="5"/>
        <v/>
      </c>
      <c r="BA20" s="203" t="str">
        <f t="shared" si="6"/>
        <v/>
      </c>
      <c r="BB20" s="203"/>
      <c r="BC20" s="203" t="str">
        <f t="shared" si="8"/>
        <v/>
      </c>
      <c r="BD20" s="201"/>
      <c r="BE20" s="201"/>
      <c r="BF20" s="201"/>
      <c r="BG20" s="201"/>
      <c r="BI20" s="201"/>
      <c r="BJ20" s="201"/>
      <c r="BK20" s="201"/>
      <c r="BL20" s="201"/>
      <c r="BM20" s="201"/>
      <c r="BN20" s="201"/>
      <c r="BO20" s="201"/>
      <c r="BP20" s="201"/>
      <c r="BQ20" s="201"/>
      <c r="BS20" s="201"/>
      <c r="BT20" s="201"/>
      <c r="BU20" s="201"/>
      <c r="BV20" s="201"/>
      <c r="BW20" s="201"/>
      <c r="BY20" s="201"/>
      <c r="CA20" s="201"/>
    </row>
    <row r="21" spans="2:82" ht="16.5" thickTop="1" thickBot="1" x14ac:dyDescent="0.3">
      <c r="B21" s="217" t="s">
        <v>18</v>
      </c>
      <c r="C21" s="198"/>
      <c r="D21" s="217" t="str">
        <f>IFERROR(VLOOKUP(B21,'DATOS GRALES 1'!$B$2:$E$91,4,0),"")</f>
        <v>PEON</v>
      </c>
      <c r="E21" s="251">
        <f>IF(D21="",0,IF(D21="PEON",3300,4200))</f>
        <v>3300</v>
      </c>
      <c r="F21" s="220">
        <f>IFERROR((E21/30),"")</f>
        <v>110</v>
      </c>
      <c r="H21" s="253"/>
      <c r="I21" s="253"/>
      <c r="J21" s="253"/>
      <c r="K21" s="253"/>
      <c r="L21" s="253"/>
      <c r="M21" s="253"/>
      <c r="N21" s="253"/>
      <c r="O21" s="253"/>
      <c r="P21" s="253"/>
      <c r="Q21" s="253"/>
      <c r="R21" s="253"/>
      <c r="S21" s="253"/>
      <c r="T21" s="253"/>
      <c r="U21" s="253"/>
      <c r="V21" s="253"/>
      <c r="W21" s="253"/>
      <c r="X21" s="253"/>
      <c r="Y21" s="253"/>
      <c r="Z21" s="253"/>
      <c r="AA21" s="253"/>
      <c r="AB21" s="253"/>
      <c r="AC21" s="253"/>
      <c r="AD21" s="253"/>
      <c r="AE21" s="253"/>
      <c r="AF21" s="253"/>
      <c r="AG21" s="253"/>
      <c r="AH21" s="253"/>
      <c r="AI21" s="253"/>
      <c r="AJ21" s="253"/>
      <c r="AK21" s="253"/>
      <c r="AL21" s="255"/>
      <c r="AM21" s="253"/>
      <c r="AN21" s="253"/>
      <c r="AO21" s="253"/>
      <c r="AP21" s="253"/>
      <c r="AQ21" s="253"/>
      <c r="AR21" s="255"/>
      <c r="AS21" s="255"/>
      <c r="AT21" s="255"/>
      <c r="AU21" s="255"/>
      <c r="AV21" s="255"/>
      <c r="AW21" s="255"/>
      <c r="AX21" s="255"/>
      <c r="AZ21" s="223" t="str">
        <f t="shared" si="5"/>
        <v/>
      </c>
      <c r="BA21" s="223" t="str">
        <f t="shared" si="6"/>
        <v/>
      </c>
      <c r="BB21" s="223">
        <f t="shared" si="7"/>
        <v>0</v>
      </c>
      <c r="BC21" s="223" t="str">
        <f t="shared" si="8"/>
        <v/>
      </c>
      <c r="BE21" s="199" t="str">
        <f>IFERROR((F21/2*BB21)+(AZ21*F21),"")</f>
        <v/>
      </c>
      <c r="BF21" s="27"/>
      <c r="BG21" s="200">
        <f>IFERROR((F21/8*BF21),"")</f>
        <v>0</v>
      </c>
      <c r="BH21" s="200"/>
      <c r="BI21" s="226"/>
      <c r="BJ21" s="228"/>
      <c r="BK21" s="226"/>
      <c r="BL21" s="228"/>
      <c r="BM21" s="226"/>
      <c r="BN21" s="228"/>
      <c r="BO21" s="226"/>
      <c r="BP21" s="228"/>
      <c r="BQ21" s="227">
        <f>BJ21+BL21+BN21+BP21</f>
        <v>0</v>
      </c>
      <c r="BS21" s="241">
        <f>IF(CB21=$CF$9,(E21*$CG$9/2),IF(CB21=$CF$11,(E21*$CG$11/2),0))</f>
        <v>148.5</v>
      </c>
      <c r="BT21" s="225">
        <f>IF(CB21=$CF$9,(E21*$CJ$9/2),IF(CB21=$CF$11,(E21*$CJ$9/2),0))</f>
        <v>33</v>
      </c>
      <c r="BU21" s="224">
        <f>IF(CB21=$CF$9,(E21*$CG$9/2),IF(CB21=$CF$11,(E21*$CG$11/2),0))</f>
        <v>148.5</v>
      </c>
      <c r="BV21" s="224">
        <f>IF(CB21=$CF$9,(E21*$CJ$9/2),IF(CB21=$CF$11,(E21*$CJ$9/2),0))</f>
        <v>33</v>
      </c>
      <c r="BW21" s="242">
        <f>SUM(BS21:BV21)</f>
        <v>363</v>
      </c>
      <c r="BX21" s="214"/>
      <c r="BY21" s="199">
        <f>BQ21+BW21</f>
        <v>363</v>
      </c>
      <c r="BZ21" s="199"/>
      <c r="CA21" s="246">
        <f>IFERROR((BE21-BW21),0)</f>
        <v>0</v>
      </c>
      <c r="CB21" s="11" t="s">
        <v>259</v>
      </c>
    </row>
    <row r="22" spans="2:82" ht="15.75" thickBot="1" x14ac:dyDescent="0.3">
      <c r="B22" s="217" t="s">
        <v>16</v>
      </c>
      <c r="C22" s="198"/>
      <c r="D22" s="217" t="str">
        <f>IFERROR(VLOOKUP(B22,'DATOS GRALES 1'!$B$2:$E$91,4,0),"")</f>
        <v>PEON</v>
      </c>
      <c r="E22" s="251">
        <f t="shared" ref="E22:E61" si="18">IF(D22="",0,IF(D22="PEON",3300,4200))</f>
        <v>3300</v>
      </c>
      <c r="F22" s="220">
        <f t="shared" ref="F22:F61" si="19">IFERROR((E22/30),"")</f>
        <v>110</v>
      </c>
      <c r="H22" s="253"/>
      <c r="I22" s="253"/>
      <c r="J22" s="253"/>
      <c r="K22" s="253"/>
      <c r="L22" s="253"/>
      <c r="M22" s="253"/>
      <c r="N22" s="253"/>
      <c r="O22" s="253"/>
      <c r="P22" s="253"/>
      <c r="Q22" s="253"/>
      <c r="R22" s="253"/>
      <c r="S22" s="253"/>
      <c r="T22" s="253"/>
      <c r="U22" s="253"/>
      <c r="V22" s="253"/>
      <c r="W22" s="253"/>
      <c r="X22" s="253"/>
      <c r="Y22" s="253"/>
      <c r="Z22" s="253"/>
      <c r="AA22" s="253"/>
      <c r="AB22" s="253"/>
      <c r="AC22" s="253"/>
      <c r="AD22" s="253"/>
      <c r="AE22" s="253"/>
      <c r="AF22" s="253"/>
      <c r="AG22" s="253"/>
      <c r="AH22" s="253"/>
      <c r="AI22" s="253"/>
      <c r="AJ22" s="253"/>
      <c r="AK22" s="253"/>
      <c r="AL22" s="255"/>
      <c r="AM22" s="253"/>
      <c r="AN22" s="253"/>
      <c r="AO22" s="253"/>
      <c r="AP22" s="253"/>
      <c r="AQ22" s="253"/>
      <c r="AR22" s="255"/>
      <c r="AS22" s="255"/>
      <c r="AT22" s="255"/>
      <c r="AU22" s="255"/>
      <c r="AV22" s="255"/>
      <c r="AW22" s="255"/>
      <c r="AX22" s="255"/>
      <c r="AZ22" s="223" t="str">
        <f t="shared" si="5"/>
        <v/>
      </c>
      <c r="BA22" s="223" t="str">
        <f t="shared" si="6"/>
        <v/>
      </c>
      <c r="BB22" s="223">
        <f t="shared" si="7"/>
        <v>0</v>
      </c>
      <c r="BC22" s="223" t="str">
        <f t="shared" si="8"/>
        <v/>
      </c>
      <c r="BE22" s="199" t="str">
        <f t="shared" ref="BE22:BE61" si="20">IFERROR((F22/2*BB22)+(AZ22*F22),"")</f>
        <v/>
      </c>
      <c r="BF22" s="27"/>
      <c r="BG22" s="200">
        <f t="shared" ref="BG22:BG61" si="21">IFERROR((F22/8*BF22),"")</f>
        <v>0</v>
      </c>
      <c r="BH22" s="200"/>
      <c r="BI22" s="226"/>
      <c r="BJ22" s="228"/>
      <c r="BK22" s="226"/>
      <c r="BL22" s="228"/>
      <c r="BM22" s="226"/>
      <c r="BN22" s="228"/>
      <c r="BO22" s="226"/>
      <c r="BP22" s="228"/>
      <c r="BQ22" s="227">
        <f t="shared" ref="BQ22:BQ60" si="22">BJ22+BL22+BN22+BP22</f>
        <v>0</v>
      </c>
      <c r="BS22" s="241">
        <f t="shared" ref="BS22:BS61" si="23">IF(CB22=$CF$9,(E22*$CG$9/2),IF(CB22=$CF$11,(E22*$CG$11/2),0))</f>
        <v>214.5</v>
      </c>
      <c r="BT22" s="225">
        <f t="shared" ref="BT22:BT61" si="24">IF(CB22=$CF$9,(E22*$CJ$9/2),IF(CB22=$CF$11,(E22*$CJ$9/2),0))</f>
        <v>33</v>
      </c>
      <c r="BU22" s="224">
        <f t="shared" ref="BU22:BU61" si="25">IF(CB22=$CF$9,(E22*$CG$9/2),IF(CB22=$CF$11,(E22*$CG$11/2),0))</f>
        <v>214.5</v>
      </c>
      <c r="BV22" s="224">
        <f t="shared" ref="BV22:BV61" si="26">IF(CB22=$CF$9,(E22*$CJ$9/2),IF(CB22=$CF$11,(E22*$CJ$9/2),0))</f>
        <v>33</v>
      </c>
      <c r="BW22" s="243">
        <f t="shared" ref="BW22:BW61" si="27">SUM(BS22:BV22)</f>
        <v>495</v>
      </c>
      <c r="BX22" s="214"/>
      <c r="BY22" s="199">
        <f t="shared" ref="BY22:BY61" si="28">BQ22+BW22</f>
        <v>495</v>
      </c>
      <c r="BZ22" s="199"/>
      <c r="CA22" s="247">
        <f>IFERROR((BE22-BW22),0)</f>
        <v>0</v>
      </c>
      <c r="CB22" s="11" t="s">
        <v>258</v>
      </c>
    </row>
    <row r="23" spans="2:82" ht="15.75" thickBot="1" x14ac:dyDescent="0.3">
      <c r="B23" s="217" t="s">
        <v>17</v>
      </c>
      <c r="C23" s="198"/>
      <c r="D23" s="217" t="str">
        <f>IFERROR(VLOOKUP(B23,'DATOS GRALES 1'!$B$2:$E$91,4,0),"")</f>
        <v>PEON</v>
      </c>
      <c r="E23" s="251">
        <f t="shared" si="18"/>
        <v>3300</v>
      </c>
      <c r="F23" s="220">
        <f t="shared" si="19"/>
        <v>110</v>
      </c>
      <c r="H23" s="253"/>
      <c r="I23" s="253"/>
      <c r="J23" s="253"/>
      <c r="K23" s="253"/>
      <c r="L23" s="253"/>
      <c r="M23" s="253"/>
      <c r="N23" s="253"/>
      <c r="O23" s="253"/>
      <c r="P23" s="253"/>
      <c r="Q23" s="253"/>
      <c r="R23" s="253"/>
      <c r="S23" s="253"/>
      <c r="T23" s="253"/>
      <c r="U23" s="253"/>
      <c r="V23" s="253"/>
      <c r="W23" s="253"/>
      <c r="X23" s="253"/>
      <c r="Y23" s="253"/>
      <c r="Z23" s="253"/>
      <c r="AA23" s="253"/>
      <c r="AB23" s="253"/>
      <c r="AC23" s="253"/>
      <c r="AD23" s="253"/>
      <c r="AE23" s="253"/>
      <c r="AF23" s="253"/>
      <c r="AG23" s="253"/>
      <c r="AH23" s="253"/>
      <c r="AI23" s="253"/>
      <c r="AJ23" s="253"/>
      <c r="AK23" s="253"/>
      <c r="AL23" s="255"/>
      <c r="AM23" s="253"/>
      <c r="AN23" s="253"/>
      <c r="AO23" s="253"/>
      <c r="AP23" s="253"/>
      <c r="AQ23" s="253"/>
      <c r="AR23" s="255"/>
      <c r="AS23" s="255"/>
      <c r="AT23" s="255"/>
      <c r="AU23" s="255"/>
      <c r="AV23" s="255"/>
      <c r="AW23" s="255"/>
      <c r="AX23" s="255"/>
      <c r="AZ23" s="223" t="str">
        <f t="shared" si="5"/>
        <v/>
      </c>
      <c r="BA23" s="223" t="str">
        <f t="shared" si="6"/>
        <v/>
      </c>
      <c r="BB23" s="223">
        <f t="shared" si="7"/>
        <v>0</v>
      </c>
      <c r="BC23" s="223" t="str">
        <f t="shared" si="8"/>
        <v/>
      </c>
      <c r="BE23" s="199" t="str">
        <f t="shared" si="20"/>
        <v/>
      </c>
      <c r="BF23" s="27"/>
      <c r="BG23" s="200">
        <f t="shared" si="21"/>
        <v>0</v>
      </c>
      <c r="BH23" s="200"/>
      <c r="BI23" s="226"/>
      <c r="BJ23" s="228"/>
      <c r="BK23" s="226"/>
      <c r="BL23" s="228"/>
      <c r="BM23" s="226"/>
      <c r="BN23" s="228"/>
      <c r="BO23" s="226"/>
      <c r="BP23" s="228"/>
      <c r="BQ23" s="227">
        <f t="shared" si="22"/>
        <v>0</v>
      </c>
      <c r="BS23" s="241">
        <f t="shared" si="23"/>
        <v>214.5</v>
      </c>
      <c r="BT23" s="225">
        <f t="shared" si="24"/>
        <v>33</v>
      </c>
      <c r="BU23" s="224">
        <f t="shared" si="25"/>
        <v>214.5</v>
      </c>
      <c r="BV23" s="224">
        <f t="shared" si="26"/>
        <v>33</v>
      </c>
      <c r="BW23" s="243">
        <f t="shared" si="27"/>
        <v>495</v>
      </c>
      <c r="BX23" s="214"/>
      <c r="BY23" s="199">
        <f t="shared" si="28"/>
        <v>495</v>
      </c>
      <c r="BZ23" s="199"/>
      <c r="CA23" s="247">
        <f t="shared" ref="CA23:CA61" si="29">IFERROR((BE23-BW23),0)</f>
        <v>0</v>
      </c>
      <c r="CB23" s="11" t="s">
        <v>258</v>
      </c>
    </row>
    <row r="24" spans="2:82" ht="15.75" thickBot="1" x14ac:dyDescent="0.3">
      <c r="B24" s="217" t="s">
        <v>22</v>
      </c>
      <c r="C24" s="198"/>
      <c r="D24" s="217" t="str">
        <f>IFERROR(VLOOKUP(B24,'DATOS GRALES 1'!$B$2:$E$91,4,0),"")</f>
        <v>PEON</v>
      </c>
      <c r="E24" s="251">
        <f t="shared" si="18"/>
        <v>3300</v>
      </c>
      <c r="F24" s="220">
        <f t="shared" si="19"/>
        <v>110</v>
      </c>
      <c r="H24" s="253"/>
      <c r="I24" s="253"/>
      <c r="J24" s="253"/>
      <c r="K24" s="253"/>
      <c r="L24" s="253"/>
      <c r="M24" s="253"/>
      <c r="N24" s="253"/>
      <c r="O24" s="253"/>
      <c r="P24" s="253"/>
      <c r="Q24" s="253"/>
      <c r="R24" s="253"/>
      <c r="S24" s="253"/>
      <c r="T24" s="253"/>
      <c r="U24" s="253"/>
      <c r="V24" s="253"/>
      <c r="W24" s="253"/>
      <c r="X24" s="253"/>
      <c r="Y24" s="253"/>
      <c r="Z24" s="253"/>
      <c r="AA24" s="253"/>
      <c r="AB24" s="253"/>
      <c r="AC24" s="253"/>
      <c r="AD24" s="253"/>
      <c r="AE24" s="253"/>
      <c r="AF24" s="253"/>
      <c r="AG24" s="253"/>
      <c r="AH24" s="253"/>
      <c r="AI24" s="253"/>
      <c r="AJ24" s="253"/>
      <c r="AK24" s="253"/>
      <c r="AL24" s="255"/>
      <c r="AM24" s="253"/>
      <c r="AN24" s="253"/>
      <c r="AO24" s="253"/>
      <c r="AP24" s="253"/>
      <c r="AQ24" s="253"/>
      <c r="AR24" s="255"/>
      <c r="AS24" s="255"/>
      <c r="AT24" s="255"/>
      <c r="AU24" s="255"/>
      <c r="AV24" s="255"/>
      <c r="AW24" s="255"/>
      <c r="AX24" s="255"/>
      <c r="AZ24" s="223" t="str">
        <f t="shared" si="5"/>
        <v/>
      </c>
      <c r="BA24" s="223" t="str">
        <f t="shared" si="6"/>
        <v/>
      </c>
      <c r="BB24" s="223">
        <f t="shared" si="7"/>
        <v>0</v>
      </c>
      <c r="BC24" s="223" t="str">
        <f t="shared" si="8"/>
        <v/>
      </c>
      <c r="BE24" s="199" t="str">
        <f t="shared" si="20"/>
        <v/>
      </c>
      <c r="BF24" s="27"/>
      <c r="BG24" s="200">
        <f t="shared" si="21"/>
        <v>0</v>
      </c>
      <c r="BH24" s="200"/>
      <c r="BI24" s="226"/>
      <c r="BJ24" s="228"/>
      <c r="BK24" s="226"/>
      <c r="BL24" s="228"/>
      <c r="BM24" s="226"/>
      <c r="BN24" s="228"/>
      <c r="BO24" s="226"/>
      <c r="BP24" s="228"/>
      <c r="BQ24" s="227">
        <f t="shared" si="22"/>
        <v>0</v>
      </c>
      <c r="BS24" s="241">
        <f t="shared" si="23"/>
        <v>214.5</v>
      </c>
      <c r="BT24" s="225">
        <f t="shared" si="24"/>
        <v>33</v>
      </c>
      <c r="BU24" s="224">
        <f t="shared" si="25"/>
        <v>214.5</v>
      </c>
      <c r="BV24" s="224">
        <f t="shared" si="26"/>
        <v>33</v>
      </c>
      <c r="BW24" s="243">
        <f t="shared" si="27"/>
        <v>495</v>
      </c>
      <c r="BX24" s="214"/>
      <c r="BY24" s="199">
        <f t="shared" si="28"/>
        <v>495</v>
      </c>
      <c r="BZ24" s="199"/>
      <c r="CA24" s="247">
        <f t="shared" si="29"/>
        <v>0</v>
      </c>
      <c r="CB24" s="11" t="s">
        <v>258</v>
      </c>
    </row>
    <row r="25" spans="2:82" ht="15.75" thickBot="1" x14ac:dyDescent="0.3">
      <c r="B25" s="217" t="s">
        <v>21</v>
      </c>
      <c r="C25" s="198"/>
      <c r="D25" s="217" t="str">
        <f>IFERROR(VLOOKUP(B25,'DATOS GRALES 1'!$B$2:$E$91,4,0),"")</f>
        <v>OPERARIO</v>
      </c>
      <c r="E25" s="251">
        <f t="shared" si="18"/>
        <v>4200</v>
      </c>
      <c r="F25" s="220">
        <f t="shared" si="19"/>
        <v>140</v>
      </c>
      <c r="H25" s="253"/>
      <c r="I25" s="253"/>
      <c r="J25" s="253"/>
      <c r="K25" s="253"/>
      <c r="L25" s="253"/>
      <c r="M25" s="253"/>
      <c r="N25" s="253"/>
      <c r="O25" s="253"/>
      <c r="P25" s="253"/>
      <c r="Q25" s="253"/>
      <c r="R25" s="253"/>
      <c r="S25" s="253"/>
      <c r="T25" s="253"/>
      <c r="U25" s="253"/>
      <c r="V25" s="253"/>
      <c r="W25" s="253"/>
      <c r="X25" s="253"/>
      <c r="Y25" s="253"/>
      <c r="Z25" s="253"/>
      <c r="AA25" s="253"/>
      <c r="AB25" s="253"/>
      <c r="AC25" s="253"/>
      <c r="AD25" s="253"/>
      <c r="AE25" s="253"/>
      <c r="AF25" s="253"/>
      <c r="AG25" s="253"/>
      <c r="AH25" s="253"/>
      <c r="AI25" s="253"/>
      <c r="AJ25" s="253"/>
      <c r="AK25" s="253"/>
      <c r="AL25" s="255"/>
      <c r="AM25" s="253"/>
      <c r="AN25" s="253"/>
      <c r="AO25" s="253"/>
      <c r="AP25" s="253"/>
      <c r="AQ25" s="253"/>
      <c r="AR25" s="255"/>
      <c r="AS25" s="255"/>
      <c r="AT25" s="255"/>
      <c r="AU25" s="255"/>
      <c r="AV25" s="255"/>
      <c r="AW25" s="255"/>
      <c r="AX25" s="255"/>
      <c r="AZ25" s="223" t="str">
        <f t="shared" si="5"/>
        <v/>
      </c>
      <c r="BA25" s="223" t="str">
        <f t="shared" si="6"/>
        <v/>
      </c>
      <c r="BB25" s="223">
        <f t="shared" si="7"/>
        <v>0</v>
      </c>
      <c r="BC25" s="223" t="str">
        <f t="shared" si="8"/>
        <v/>
      </c>
      <c r="BE25" s="199" t="str">
        <f t="shared" si="20"/>
        <v/>
      </c>
      <c r="BF25" s="27"/>
      <c r="BG25" s="200">
        <f t="shared" si="21"/>
        <v>0</v>
      </c>
      <c r="BH25" s="200"/>
      <c r="BI25" s="226"/>
      <c r="BJ25" s="228"/>
      <c r="BK25" s="226"/>
      <c r="BL25" s="228"/>
      <c r="BM25" s="226"/>
      <c r="BN25" s="228"/>
      <c r="BO25" s="226"/>
      <c r="BP25" s="228"/>
      <c r="BQ25" s="227">
        <f t="shared" si="22"/>
        <v>0</v>
      </c>
      <c r="BS25" s="241">
        <f t="shared" si="23"/>
        <v>273</v>
      </c>
      <c r="BT25" s="225">
        <f t="shared" si="24"/>
        <v>42</v>
      </c>
      <c r="BU25" s="224">
        <f t="shared" si="25"/>
        <v>273</v>
      </c>
      <c r="BV25" s="224">
        <f t="shared" si="26"/>
        <v>42</v>
      </c>
      <c r="BW25" s="243">
        <f t="shared" si="27"/>
        <v>630</v>
      </c>
      <c r="BX25" s="214"/>
      <c r="BY25" s="199">
        <f t="shared" si="28"/>
        <v>630</v>
      </c>
      <c r="BZ25" s="199"/>
      <c r="CA25" s="247">
        <f t="shared" si="29"/>
        <v>0</v>
      </c>
      <c r="CB25" s="11" t="s">
        <v>258</v>
      </c>
    </row>
    <row r="26" spans="2:82" ht="15.75" thickBot="1" x14ac:dyDescent="0.3">
      <c r="B26" s="217" t="s">
        <v>25</v>
      </c>
      <c r="C26" s="198"/>
      <c r="D26" s="217" t="str">
        <f>IFERROR(VLOOKUP(B26,'DATOS GRALES 1'!$B$2:$E$91,4,0),"")</f>
        <v>PEON</v>
      </c>
      <c r="E26" s="251">
        <f t="shared" si="18"/>
        <v>3300</v>
      </c>
      <c r="F26" s="220">
        <f t="shared" si="19"/>
        <v>110</v>
      </c>
      <c r="H26" s="253"/>
      <c r="I26" s="253"/>
      <c r="J26" s="253"/>
      <c r="K26" s="253"/>
      <c r="L26" s="253"/>
      <c r="M26" s="253"/>
      <c r="N26" s="253"/>
      <c r="O26" s="253"/>
      <c r="P26" s="253"/>
      <c r="Q26" s="253"/>
      <c r="R26" s="253"/>
      <c r="S26" s="253"/>
      <c r="T26" s="253"/>
      <c r="U26" s="253"/>
      <c r="V26" s="253"/>
      <c r="W26" s="253"/>
      <c r="X26" s="253"/>
      <c r="Y26" s="253"/>
      <c r="Z26" s="253"/>
      <c r="AA26" s="253"/>
      <c r="AB26" s="253"/>
      <c r="AC26" s="253"/>
      <c r="AD26" s="253"/>
      <c r="AE26" s="253"/>
      <c r="AF26" s="253"/>
      <c r="AG26" s="253"/>
      <c r="AH26" s="253"/>
      <c r="AI26" s="253"/>
      <c r="AJ26" s="253"/>
      <c r="AK26" s="253"/>
      <c r="AL26" s="255"/>
      <c r="AM26" s="253"/>
      <c r="AN26" s="253"/>
      <c r="AO26" s="253"/>
      <c r="AP26" s="253"/>
      <c r="AQ26" s="253"/>
      <c r="AR26" s="255"/>
      <c r="AS26" s="255"/>
      <c r="AT26" s="255"/>
      <c r="AU26" s="255"/>
      <c r="AV26" s="255"/>
      <c r="AW26" s="255"/>
      <c r="AX26" s="255"/>
      <c r="AZ26" s="223" t="str">
        <f t="shared" si="5"/>
        <v/>
      </c>
      <c r="BA26" s="223" t="str">
        <f t="shared" si="6"/>
        <v/>
      </c>
      <c r="BB26" s="223">
        <f t="shared" si="7"/>
        <v>0</v>
      </c>
      <c r="BC26" s="223" t="str">
        <f t="shared" si="8"/>
        <v/>
      </c>
      <c r="BE26" s="199" t="str">
        <f t="shared" si="20"/>
        <v/>
      </c>
      <c r="BF26" s="27"/>
      <c r="BG26" s="200">
        <f t="shared" si="21"/>
        <v>0</v>
      </c>
      <c r="BH26" s="200"/>
      <c r="BI26" s="226"/>
      <c r="BJ26" s="228"/>
      <c r="BK26" s="226"/>
      <c r="BL26" s="228"/>
      <c r="BM26" s="226"/>
      <c r="BN26" s="228"/>
      <c r="BO26" s="226"/>
      <c r="BP26" s="228"/>
      <c r="BQ26" s="227">
        <f t="shared" si="22"/>
        <v>0</v>
      </c>
      <c r="BS26" s="241">
        <f t="shared" si="23"/>
        <v>214.5</v>
      </c>
      <c r="BT26" s="225">
        <f t="shared" si="24"/>
        <v>33</v>
      </c>
      <c r="BU26" s="224">
        <f t="shared" si="25"/>
        <v>214.5</v>
      </c>
      <c r="BV26" s="224">
        <f t="shared" si="26"/>
        <v>33</v>
      </c>
      <c r="BW26" s="243">
        <f t="shared" si="27"/>
        <v>495</v>
      </c>
      <c r="BX26" s="214"/>
      <c r="BY26" s="199">
        <f t="shared" si="28"/>
        <v>495</v>
      </c>
      <c r="BZ26" s="199"/>
      <c r="CA26" s="247">
        <f t="shared" si="29"/>
        <v>0</v>
      </c>
      <c r="CB26" s="11" t="s">
        <v>258</v>
      </c>
    </row>
    <row r="27" spans="2:82" ht="23.25" thickBot="1" x14ac:dyDescent="0.3">
      <c r="B27" s="217" t="s">
        <v>19</v>
      </c>
      <c r="C27" s="198"/>
      <c r="D27" s="221" t="str">
        <f>IFERROR(VLOOKUP(B27,'DATOS GRALES 1'!$B$2:$E$91,4,0),"")</f>
        <v>OPERARIO/VOLQUETERO</v>
      </c>
      <c r="E27" s="251">
        <f t="shared" si="18"/>
        <v>4200</v>
      </c>
      <c r="F27" s="220">
        <f t="shared" si="19"/>
        <v>140</v>
      </c>
      <c r="H27" s="253"/>
      <c r="I27" s="253"/>
      <c r="J27" s="253"/>
      <c r="K27" s="253"/>
      <c r="L27" s="253"/>
      <c r="M27" s="253"/>
      <c r="N27" s="253"/>
      <c r="O27" s="253"/>
      <c r="P27" s="253"/>
      <c r="Q27" s="253"/>
      <c r="R27" s="253"/>
      <c r="S27" s="253"/>
      <c r="T27" s="253"/>
      <c r="U27" s="253"/>
      <c r="V27" s="253"/>
      <c r="W27" s="253"/>
      <c r="X27" s="253"/>
      <c r="Y27" s="253"/>
      <c r="Z27" s="253"/>
      <c r="AA27" s="253"/>
      <c r="AB27" s="253"/>
      <c r="AC27" s="253"/>
      <c r="AD27" s="253"/>
      <c r="AE27" s="253"/>
      <c r="AF27" s="253"/>
      <c r="AG27" s="253"/>
      <c r="AH27" s="253"/>
      <c r="AI27" s="253"/>
      <c r="AJ27" s="253"/>
      <c r="AK27" s="253"/>
      <c r="AL27" s="255"/>
      <c r="AM27" s="253"/>
      <c r="AN27" s="253"/>
      <c r="AO27" s="253"/>
      <c r="AP27" s="253"/>
      <c r="AQ27" s="253"/>
      <c r="AR27" s="255"/>
      <c r="AS27" s="255"/>
      <c r="AT27" s="255"/>
      <c r="AU27" s="255"/>
      <c r="AV27" s="255"/>
      <c r="AW27" s="255"/>
      <c r="AX27" s="255"/>
      <c r="AZ27" s="223" t="str">
        <f t="shared" si="5"/>
        <v/>
      </c>
      <c r="BA27" s="223" t="str">
        <f t="shared" si="6"/>
        <v/>
      </c>
      <c r="BB27" s="223">
        <f t="shared" si="7"/>
        <v>0</v>
      </c>
      <c r="BC27" s="223" t="str">
        <f t="shared" si="8"/>
        <v/>
      </c>
      <c r="BE27" s="199" t="str">
        <f t="shared" si="20"/>
        <v/>
      </c>
      <c r="BF27" s="27"/>
      <c r="BG27" s="200">
        <f t="shared" si="21"/>
        <v>0</v>
      </c>
      <c r="BH27" s="200"/>
      <c r="BI27" s="226"/>
      <c r="BJ27" s="228"/>
      <c r="BK27" s="226"/>
      <c r="BL27" s="228"/>
      <c r="BM27" s="226"/>
      <c r="BN27" s="228"/>
      <c r="BO27" s="226"/>
      <c r="BP27" s="228"/>
      <c r="BQ27" s="227">
        <f t="shared" si="22"/>
        <v>0</v>
      </c>
      <c r="BS27" s="241">
        <f t="shared" si="23"/>
        <v>273</v>
      </c>
      <c r="BT27" s="225">
        <f t="shared" si="24"/>
        <v>42</v>
      </c>
      <c r="BU27" s="224">
        <f t="shared" si="25"/>
        <v>273</v>
      </c>
      <c r="BV27" s="224">
        <f t="shared" si="26"/>
        <v>42</v>
      </c>
      <c r="BW27" s="243">
        <f t="shared" si="27"/>
        <v>630</v>
      </c>
      <c r="BX27" s="214"/>
      <c r="BY27" s="199">
        <f t="shared" si="28"/>
        <v>630</v>
      </c>
      <c r="BZ27" s="199"/>
      <c r="CA27" s="247">
        <f t="shared" si="29"/>
        <v>0</v>
      </c>
      <c r="CB27" s="11" t="s">
        <v>258</v>
      </c>
    </row>
    <row r="28" spans="2:82" ht="15.75" thickBot="1" x14ac:dyDescent="0.3">
      <c r="B28" s="217" t="s">
        <v>104</v>
      </c>
      <c r="C28" s="198"/>
      <c r="D28" s="217" t="str">
        <f>IFERROR(VLOOKUP(B28,'DATOS GRALES 1'!$B$2:$E$91,4,0),"")</f>
        <v>OPERARIO</v>
      </c>
      <c r="E28" s="251">
        <f t="shared" si="18"/>
        <v>4200</v>
      </c>
      <c r="F28" s="220">
        <f t="shared" si="19"/>
        <v>140</v>
      </c>
      <c r="H28" s="253"/>
      <c r="I28" s="253"/>
      <c r="J28" s="253"/>
      <c r="K28" s="253"/>
      <c r="L28" s="253"/>
      <c r="M28" s="253"/>
      <c r="N28" s="253"/>
      <c r="O28" s="253"/>
      <c r="P28" s="253"/>
      <c r="Q28" s="253"/>
      <c r="R28" s="253"/>
      <c r="S28" s="253"/>
      <c r="T28" s="253"/>
      <c r="U28" s="253"/>
      <c r="V28" s="253"/>
      <c r="W28" s="253"/>
      <c r="X28" s="253"/>
      <c r="Y28" s="253"/>
      <c r="Z28" s="253"/>
      <c r="AA28" s="253"/>
      <c r="AB28" s="253"/>
      <c r="AC28" s="253"/>
      <c r="AD28" s="253"/>
      <c r="AE28" s="253"/>
      <c r="AF28" s="253"/>
      <c r="AG28" s="253"/>
      <c r="AH28" s="253"/>
      <c r="AI28" s="253"/>
      <c r="AJ28" s="253"/>
      <c r="AK28" s="253"/>
      <c r="AL28" s="255"/>
      <c r="AM28" s="253"/>
      <c r="AN28" s="253"/>
      <c r="AO28" s="253"/>
      <c r="AP28" s="253"/>
      <c r="AQ28" s="253"/>
      <c r="AR28" s="255"/>
      <c r="AS28" s="255"/>
      <c r="AT28" s="255"/>
      <c r="AU28" s="255"/>
      <c r="AV28" s="255"/>
      <c r="AW28" s="255"/>
      <c r="AX28" s="255"/>
      <c r="AZ28" s="223" t="str">
        <f t="shared" si="5"/>
        <v/>
      </c>
      <c r="BA28" s="223" t="str">
        <f t="shared" si="6"/>
        <v/>
      </c>
      <c r="BB28" s="223">
        <f t="shared" si="7"/>
        <v>0</v>
      </c>
      <c r="BC28" s="223" t="str">
        <f t="shared" si="8"/>
        <v/>
      </c>
      <c r="BE28" s="199" t="str">
        <f t="shared" si="20"/>
        <v/>
      </c>
      <c r="BF28" s="27"/>
      <c r="BG28" s="200">
        <f t="shared" si="21"/>
        <v>0</v>
      </c>
      <c r="BH28" s="200"/>
      <c r="BI28" s="226"/>
      <c r="BJ28" s="228"/>
      <c r="BK28" s="226"/>
      <c r="BL28" s="228"/>
      <c r="BM28" s="226"/>
      <c r="BN28" s="228"/>
      <c r="BO28" s="226"/>
      <c r="BP28" s="228"/>
      <c r="BQ28" s="227">
        <f t="shared" si="22"/>
        <v>0</v>
      </c>
      <c r="BS28" s="241">
        <f t="shared" si="23"/>
        <v>273</v>
      </c>
      <c r="BT28" s="225">
        <f t="shared" si="24"/>
        <v>42</v>
      </c>
      <c r="BU28" s="224">
        <f t="shared" si="25"/>
        <v>273</v>
      </c>
      <c r="BV28" s="224">
        <f t="shared" si="26"/>
        <v>42</v>
      </c>
      <c r="BW28" s="243">
        <f t="shared" si="27"/>
        <v>630</v>
      </c>
      <c r="BX28" s="214"/>
      <c r="BY28" s="199">
        <f t="shared" si="28"/>
        <v>630</v>
      </c>
      <c r="BZ28" s="199"/>
      <c r="CA28" s="247">
        <f t="shared" si="29"/>
        <v>0</v>
      </c>
      <c r="CB28" s="11" t="s">
        <v>258</v>
      </c>
    </row>
    <row r="29" spans="2:82" ht="15.75" thickBot="1" x14ac:dyDescent="0.3">
      <c r="B29" s="217" t="s">
        <v>106</v>
      </c>
      <c r="C29" s="198"/>
      <c r="D29" s="217" t="str">
        <f>IFERROR(VLOOKUP(B29,'DATOS GRALES 1'!$B$2:$E$91,4,0),"")</f>
        <v>PEON</v>
      </c>
      <c r="E29" s="251">
        <f t="shared" si="18"/>
        <v>3300</v>
      </c>
      <c r="F29" s="220">
        <f t="shared" si="19"/>
        <v>110</v>
      </c>
      <c r="H29" s="253"/>
      <c r="I29" s="253"/>
      <c r="J29" s="253"/>
      <c r="K29" s="253"/>
      <c r="L29" s="253"/>
      <c r="M29" s="253"/>
      <c r="N29" s="253"/>
      <c r="O29" s="253"/>
      <c r="P29" s="253"/>
      <c r="Q29" s="253"/>
      <c r="R29" s="253"/>
      <c r="S29" s="253"/>
      <c r="T29" s="253"/>
      <c r="U29" s="253"/>
      <c r="V29" s="253"/>
      <c r="W29" s="253"/>
      <c r="X29" s="253"/>
      <c r="Y29" s="253"/>
      <c r="Z29" s="253"/>
      <c r="AA29" s="253"/>
      <c r="AB29" s="253"/>
      <c r="AC29" s="253"/>
      <c r="AD29" s="253"/>
      <c r="AE29" s="253"/>
      <c r="AF29" s="253"/>
      <c r="AG29" s="253"/>
      <c r="AH29" s="253"/>
      <c r="AI29" s="253"/>
      <c r="AJ29" s="253"/>
      <c r="AK29" s="253"/>
      <c r="AL29" s="255"/>
      <c r="AM29" s="253"/>
      <c r="AN29" s="253"/>
      <c r="AO29" s="253"/>
      <c r="AP29" s="253"/>
      <c r="AQ29" s="253"/>
      <c r="AR29" s="255"/>
      <c r="AS29" s="255"/>
      <c r="AT29" s="255"/>
      <c r="AU29" s="255"/>
      <c r="AV29" s="255"/>
      <c r="AW29" s="255"/>
      <c r="AX29" s="255"/>
      <c r="AZ29" s="223" t="str">
        <f t="shared" si="5"/>
        <v/>
      </c>
      <c r="BA29" s="223" t="str">
        <f t="shared" si="6"/>
        <v/>
      </c>
      <c r="BB29" s="223">
        <f t="shared" si="7"/>
        <v>0</v>
      </c>
      <c r="BC29" s="223" t="str">
        <f t="shared" si="8"/>
        <v/>
      </c>
      <c r="BE29" s="199" t="str">
        <f t="shared" si="20"/>
        <v/>
      </c>
      <c r="BF29" s="27"/>
      <c r="BG29" s="200">
        <f t="shared" si="21"/>
        <v>0</v>
      </c>
      <c r="BH29" s="200"/>
      <c r="BI29" s="226"/>
      <c r="BJ29" s="228"/>
      <c r="BK29" s="226"/>
      <c r="BL29" s="228"/>
      <c r="BM29" s="226"/>
      <c r="BN29" s="228"/>
      <c r="BO29" s="226"/>
      <c r="BP29" s="228"/>
      <c r="BQ29" s="227">
        <f t="shared" si="22"/>
        <v>0</v>
      </c>
      <c r="BS29" s="241">
        <f t="shared" si="23"/>
        <v>214.5</v>
      </c>
      <c r="BT29" s="225">
        <f t="shared" si="24"/>
        <v>33</v>
      </c>
      <c r="BU29" s="224">
        <f t="shared" si="25"/>
        <v>214.5</v>
      </c>
      <c r="BV29" s="224">
        <f t="shared" si="26"/>
        <v>33</v>
      </c>
      <c r="BW29" s="243">
        <f t="shared" si="27"/>
        <v>495</v>
      </c>
      <c r="BX29" s="214"/>
      <c r="BY29" s="199">
        <f t="shared" si="28"/>
        <v>495</v>
      </c>
      <c r="BZ29" s="199"/>
      <c r="CA29" s="247">
        <f t="shared" si="29"/>
        <v>0</v>
      </c>
      <c r="CB29" s="11" t="s">
        <v>258</v>
      </c>
    </row>
    <row r="30" spans="2:82" ht="15.75" thickBot="1" x14ac:dyDescent="0.3">
      <c r="B30" s="217" t="s">
        <v>107</v>
      </c>
      <c r="C30" s="198"/>
      <c r="D30" s="217" t="str">
        <f>IFERROR(VLOOKUP(B30,'DATOS GRALES 1'!$B$2:$E$91,4,0),"")</f>
        <v>OPERARIO</v>
      </c>
      <c r="E30" s="251">
        <f t="shared" si="18"/>
        <v>4200</v>
      </c>
      <c r="F30" s="220">
        <f t="shared" si="19"/>
        <v>140</v>
      </c>
      <c r="H30" s="253"/>
      <c r="I30" s="253"/>
      <c r="J30" s="253"/>
      <c r="K30" s="253"/>
      <c r="L30" s="253"/>
      <c r="M30" s="253"/>
      <c r="N30" s="253"/>
      <c r="O30" s="253"/>
      <c r="P30" s="253"/>
      <c r="Q30" s="253"/>
      <c r="R30" s="253"/>
      <c r="S30" s="253"/>
      <c r="T30" s="253"/>
      <c r="U30" s="253"/>
      <c r="V30" s="253"/>
      <c r="W30" s="253"/>
      <c r="X30" s="253"/>
      <c r="Y30" s="253"/>
      <c r="Z30" s="253"/>
      <c r="AA30" s="253"/>
      <c r="AB30" s="253"/>
      <c r="AC30" s="253"/>
      <c r="AD30" s="253"/>
      <c r="AE30" s="253"/>
      <c r="AF30" s="253"/>
      <c r="AG30" s="253"/>
      <c r="AH30" s="253"/>
      <c r="AI30" s="253"/>
      <c r="AJ30" s="253"/>
      <c r="AK30" s="253"/>
      <c r="AL30" s="255"/>
      <c r="AM30" s="253"/>
      <c r="AN30" s="253"/>
      <c r="AO30" s="253"/>
      <c r="AP30" s="253"/>
      <c r="AQ30" s="253"/>
      <c r="AR30" s="255"/>
      <c r="AS30" s="255"/>
      <c r="AT30" s="255"/>
      <c r="AU30" s="255"/>
      <c r="AV30" s="255"/>
      <c r="AW30" s="255"/>
      <c r="AX30" s="255"/>
      <c r="AZ30" s="223" t="str">
        <f t="shared" si="5"/>
        <v/>
      </c>
      <c r="BA30" s="223" t="str">
        <f t="shared" si="6"/>
        <v/>
      </c>
      <c r="BB30" s="223">
        <f t="shared" si="7"/>
        <v>0</v>
      </c>
      <c r="BC30" s="223" t="str">
        <f t="shared" si="8"/>
        <v/>
      </c>
      <c r="BE30" s="199" t="str">
        <f t="shared" si="20"/>
        <v/>
      </c>
      <c r="BF30" s="27"/>
      <c r="BG30" s="200">
        <f t="shared" si="21"/>
        <v>0</v>
      </c>
      <c r="BH30" s="200"/>
      <c r="BI30" s="226"/>
      <c r="BJ30" s="228"/>
      <c r="BK30" s="226"/>
      <c r="BL30" s="228"/>
      <c r="BM30" s="226"/>
      <c r="BN30" s="228"/>
      <c r="BO30" s="226"/>
      <c r="BP30" s="228"/>
      <c r="BQ30" s="227">
        <f t="shared" si="22"/>
        <v>0</v>
      </c>
      <c r="BS30" s="241">
        <f t="shared" si="23"/>
        <v>273</v>
      </c>
      <c r="BT30" s="225">
        <f t="shared" si="24"/>
        <v>42</v>
      </c>
      <c r="BU30" s="224">
        <f t="shared" si="25"/>
        <v>273</v>
      </c>
      <c r="BV30" s="224">
        <f t="shared" si="26"/>
        <v>42</v>
      </c>
      <c r="BW30" s="243">
        <f t="shared" si="27"/>
        <v>630</v>
      </c>
      <c r="BX30" s="214"/>
      <c r="BY30" s="199">
        <f t="shared" si="28"/>
        <v>630</v>
      </c>
      <c r="BZ30" s="199"/>
      <c r="CA30" s="247">
        <f t="shared" si="29"/>
        <v>0</v>
      </c>
      <c r="CB30" s="11" t="s">
        <v>258</v>
      </c>
    </row>
    <row r="31" spans="2:82" ht="15.75" thickBot="1" x14ac:dyDescent="0.3">
      <c r="B31" s="217" t="s">
        <v>108</v>
      </c>
      <c r="C31" s="198"/>
      <c r="D31" s="217" t="str">
        <f>IFERROR(VLOOKUP(B31,'DATOS GRALES 1'!$B$2:$E$91,4,0),"")</f>
        <v>OPERARIO</v>
      </c>
      <c r="E31" s="251">
        <f t="shared" si="18"/>
        <v>4200</v>
      </c>
      <c r="F31" s="220">
        <f t="shared" si="19"/>
        <v>140</v>
      </c>
      <c r="H31" s="253"/>
      <c r="I31" s="253"/>
      <c r="J31" s="253"/>
      <c r="K31" s="253"/>
      <c r="L31" s="253"/>
      <c r="M31" s="253"/>
      <c r="N31" s="253"/>
      <c r="O31" s="253"/>
      <c r="P31" s="253"/>
      <c r="Q31" s="253"/>
      <c r="R31" s="253"/>
      <c r="S31" s="253"/>
      <c r="T31" s="253"/>
      <c r="U31" s="253"/>
      <c r="V31" s="253"/>
      <c r="W31" s="253"/>
      <c r="X31" s="253"/>
      <c r="Y31" s="253"/>
      <c r="Z31" s="253"/>
      <c r="AA31" s="253"/>
      <c r="AB31" s="253"/>
      <c r="AC31" s="253"/>
      <c r="AD31" s="253"/>
      <c r="AE31" s="253"/>
      <c r="AF31" s="253"/>
      <c r="AG31" s="253"/>
      <c r="AH31" s="253"/>
      <c r="AI31" s="253"/>
      <c r="AJ31" s="253"/>
      <c r="AK31" s="253"/>
      <c r="AL31" s="255"/>
      <c r="AM31" s="253"/>
      <c r="AN31" s="253"/>
      <c r="AO31" s="253"/>
      <c r="AP31" s="253"/>
      <c r="AQ31" s="253"/>
      <c r="AR31" s="255"/>
      <c r="AS31" s="255"/>
      <c r="AT31" s="255"/>
      <c r="AU31" s="255"/>
      <c r="AV31" s="255"/>
      <c r="AW31" s="255"/>
      <c r="AX31" s="255"/>
      <c r="AZ31" s="223" t="str">
        <f t="shared" si="5"/>
        <v/>
      </c>
      <c r="BA31" s="223" t="str">
        <f t="shared" si="6"/>
        <v/>
      </c>
      <c r="BB31" s="223">
        <f t="shared" si="7"/>
        <v>0</v>
      </c>
      <c r="BC31" s="223" t="str">
        <f t="shared" si="8"/>
        <v/>
      </c>
      <c r="BE31" s="199" t="str">
        <f t="shared" si="20"/>
        <v/>
      </c>
      <c r="BF31" s="27"/>
      <c r="BG31" s="200">
        <f t="shared" si="21"/>
        <v>0</v>
      </c>
      <c r="BH31" s="200"/>
      <c r="BI31" s="226"/>
      <c r="BJ31" s="228"/>
      <c r="BK31" s="226"/>
      <c r="BL31" s="228"/>
      <c r="BM31" s="226"/>
      <c r="BN31" s="228"/>
      <c r="BO31" s="226"/>
      <c r="BP31" s="228"/>
      <c r="BQ31" s="227">
        <f t="shared" si="22"/>
        <v>0</v>
      </c>
      <c r="BS31" s="241">
        <f t="shared" si="23"/>
        <v>273</v>
      </c>
      <c r="BT31" s="225">
        <f t="shared" si="24"/>
        <v>42</v>
      </c>
      <c r="BU31" s="224">
        <f t="shared" si="25"/>
        <v>273</v>
      </c>
      <c r="BV31" s="224">
        <f t="shared" si="26"/>
        <v>42</v>
      </c>
      <c r="BW31" s="243">
        <f t="shared" si="27"/>
        <v>630</v>
      </c>
      <c r="BX31" s="214"/>
      <c r="BY31" s="199">
        <f t="shared" si="28"/>
        <v>630</v>
      </c>
      <c r="BZ31" s="199"/>
      <c r="CA31" s="247">
        <f t="shared" si="29"/>
        <v>0</v>
      </c>
      <c r="CB31" s="11" t="s">
        <v>258</v>
      </c>
    </row>
    <row r="32" spans="2:82" ht="15.75" thickBot="1" x14ac:dyDescent="0.3">
      <c r="B32" s="217" t="s">
        <v>109</v>
      </c>
      <c r="C32" s="198"/>
      <c r="D32" s="217" t="str">
        <f>IFERROR(VLOOKUP(B32,'DATOS GRALES 1'!$B$2:$E$91,4,0),"")</f>
        <v>PEON</v>
      </c>
      <c r="E32" s="251">
        <f t="shared" si="18"/>
        <v>3300</v>
      </c>
      <c r="F32" s="220">
        <f t="shared" si="19"/>
        <v>110</v>
      </c>
      <c r="H32" s="253"/>
      <c r="I32" s="253"/>
      <c r="J32" s="253"/>
      <c r="K32" s="253"/>
      <c r="L32" s="253"/>
      <c r="M32" s="253"/>
      <c r="N32" s="253"/>
      <c r="O32" s="253"/>
      <c r="P32" s="253"/>
      <c r="Q32" s="253"/>
      <c r="R32" s="253"/>
      <c r="S32" s="253"/>
      <c r="T32" s="253"/>
      <c r="U32" s="253"/>
      <c r="V32" s="253"/>
      <c r="W32" s="253"/>
      <c r="X32" s="253"/>
      <c r="Y32" s="253"/>
      <c r="Z32" s="253"/>
      <c r="AA32" s="253"/>
      <c r="AB32" s="253"/>
      <c r="AC32" s="253"/>
      <c r="AD32" s="253"/>
      <c r="AE32" s="253"/>
      <c r="AF32" s="253"/>
      <c r="AG32" s="253"/>
      <c r="AH32" s="253"/>
      <c r="AI32" s="253"/>
      <c r="AJ32" s="253"/>
      <c r="AK32" s="253"/>
      <c r="AL32" s="255"/>
      <c r="AM32" s="253"/>
      <c r="AN32" s="253"/>
      <c r="AO32" s="253"/>
      <c r="AP32" s="253"/>
      <c r="AQ32" s="253"/>
      <c r="AR32" s="255"/>
      <c r="AS32" s="255"/>
      <c r="AT32" s="255"/>
      <c r="AU32" s="255"/>
      <c r="AV32" s="255"/>
      <c r="AW32" s="255"/>
      <c r="AX32" s="255"/>
      <c r="AZ32" s="223" t="str">
        <f t="shared" si="5"/>
        <v/>
      </c>
      <c r="BA32" s="223" t="str">
        <f t="shared" si="6"/>
        <v/>
      </c>
      <c r="BB32" s="223">
        <f t="shared" si="7"/>
        <v>0</v>
      </c>
      <c r="BC32" s="223" t="str">
        <f t="shared" si="8"/>
        <v/>
      </c>
      <c r="BE32" s="199" t="str">
        <f t="shared" si="20"/>
        <v/>
      </c>
      <c r="BF32" s="27"/>
      <c r="BG32" s="200">
        <f t="shared" si="21"/>
        <v>0</v>
      </c>
      <c r="BH32" s="200"/>
      <c r="BI32" s="226"/>
      <c r="BJ32" s="228"/>
      <c r="BK32" s="226"/>
      <c r="BL32" s="228"/>
      <c r="BM32" s="226"/>
      <c r="BN32" s="228"/>
      <c r="BO32" s="226"/>
      <c r="BP32" s="228"/>
      <c r="BQ32" s="227">
        <f t="shared" si="22"/>
        <v>0</v>
      </c>
      <c r="BS32" s="241">
        <f t="shared" si="23"/>
        <v>214.5</v>
      </c>
      <c r="BT32" s="225">
        <f t="shared" si="24"/>
        <v>33</v>
      </c>
      <c r="BU32" s="224">
        <f t="shared" si="25"/>
        <v>214.5</v>
      </c>
      <c r="BV32" s="224">
        <f t="shared" si="26"/>
        <v>33</v>
      </c>
      <c r="BW32" s="243">
        <f t="shared" si="27"/>
        <v>495</v>
      </c>
      <c r="BX32" s="214"/>
      <c r="BY32" s="199">
        <f t="shared" si="28"/>
        <v>495</v>
      </c>
      <c r="BZ32" s="199"/>
      <c r="CA32" s="247">
        <f t="shared" si="29"/>
        <v>0</v>
      </c>
      <c r="CB32" s="11" t="s">
        <v>258</v>
      </c>
    </row>
    <row r="33" spans="2:80" ht="15.75" thickBot="1" x14ac:dyDescent="0.3">
      <c r="B33" s="217" t="s">
        <v>115</v>
      </c>
      <c r="C33" s="198"/>
      <c r="D33" s="217" t="str">
        <f>IFERROR(VLOOKUP(B33,'DATOS GRALES 1'!$B$2:$E$91,4,0),"")</f>
        <v>OPERARIO</v>
      </c>
      <c r="E33" s="251">
        <f t="shared" si="18"/>
        <v>4200</v>
      </c>
      <c r="F33" s="220">
        <f t="shared" si="19"/>
        <v>140</v>
      </c>
      <c r="H33" s="253"/>
      <c r="I33" s="253"/>
      <c r="J33" s="253"/>
      <c r="K33" s="253"/>
      <c r="L33" s="253"/>
      <c r="M33" s="253"/>
      <c r="N33" s="253"/>
      <c r="O33" s="253"/>
      <c r="P33" s="253"/>
      <c r="Q33" s="253"/>
      <c r="R33" s="253"/>
      <c r="S33" s="253"/>
      <c r="T33" s="253"/>
      <c r="U33" s="253"/>
      <c r="V33" s="253"/>
      <c r="W33" s="253"/>
      <c r="X33" s="253"/>
      <c r="Y33" s="253"/>
      <c r="Z33" s="253"/>
      <c r="AA33" s="253"/>
      <c r="AB33" s="253"/>
      <c r="AC33" s="253"/>
      <c r="AD33" s="253"/>
      <c r="AE33" s="253"/>
      <c r="AF33" s="253"/>
      <c r="AG33" s="253"/>
      <c r="AH33" s="253"/>
      <c r="AI33" s="253"/>
      <c r="AJ33" s="253"/>
      <c r="AK33" s="253"/>
      <c r="AL33" s="255"/>
      <c r="AM33" s="253"/>
      <c r="AN33" s="253"/>
      <c r="AO33" s="253"/>
      <c r="AP33" s="253"/>
      <c r="AQ33" s="253"/>
      <c r="AR33" s="255"/>
      <c r="AS33" s="255"/>
      <c r="AT33" s="255"/>
      <c r="AU33" s="255"/>
      <c r="AV33" s="255"/>
      <c r="AW33" s="255"/>
      <c r="AX33" s="255"/>
      <c r="AZ33" s="223" t="str">
        <f t="shared" si="5"/>
        <v/>
      </c>
      <c r="BA33" s="223" t="str">
        <f t="shared" si="6"/>
        <v/>
      </c>
      <c r="BB33" s="223">
        <f t="shared" si="7"/>
        <v>0</v>
      </c>
      <c r="BC33" s="223" t="str">
        <f t="shared" si="8"/>
        <v/>
      </c>
      <c r="BE33" s="199" t="str">
        <f t="shared" si="20"/>
        <v/>
      </c>
      <c r="BF33" s="27"/>
      <c r="BG33" s="200">
        <f t="shared" si="21"/>
        <v>0</v>
      </c>
      <c r="BH33" s="200"/>
      <c r="BI33" s="226"/>
      <c r="BJ33" s="228"/>
      <c r="BK33" s="226"/>
      <c r="BL33" s="228"/>
      <c r="BM33" s="226"/>
      <c r="BN33" s="228"/>
      <c r="BO33" s="226"/>
      <c r="BP33" s="228"/>
      <c r="BQ33" s="227">
        <f t="shared" si="22"/>
        <v>0</v>
      </c>
      <c r="BS33" s="241">
        <f t="shared" si="23"/>
        <v>273</v>
      </c>
      <c r="BT33" s="225">
        <f t="shared" si="24"/>
        <v>42</v>
      </c>
      <c r="BU33" s="224">
        <f t="shared" si="25"/>
        <v>273</v>
      </c>
      <c r="BV33" s="224">
        <f t="shared" si="26"/>
        <v>42</v>
      </c>
      <c r="BW33" s="243">
        <f t="shared" si="27"/>
        <v>630</v>
      </c>
      <c r="BX33" s="214"/>
      <c r="BY33" s="199">
        <f t="shared" si="28"/>
        <v>630</v>
      </c>
      <c r="BZ33" s="199"/>
      <c r="CA33" s="247">
        <f t="shared" si="29"/>
        <v>0</v>
      </c>
      <c r="CB33" s="11" t="s">
        <v>258</v>
      </c>
    </row>
    <row r="34" spans="2:80" ht="15.75" thickBot="1" x14ac:dyDescent="0.3">
      <c r="B34" s="217" t="s">
        <v>133</v>
      </c>
      <c r="C34" s="198"/>
      <c r="D34" s="217" t="str">
        <f>IFERROR(VLOOKUP(B34,'DATOS GRALES 1'!$B$2:$E$91,4,0),"")</f>
        <v>OPERARIO</v>
      </c>
      <c r="E34" s="251">
        <f t="shared" si="18"/>
        <v>4200</v>
      </c>
      <c r="F34" s="220">
        <f t="shared" si="19"/>
        <v>140</v>
      </c>
      <c r="H34" s="253"/>
      <c r="I34" s="253"/>
      <c r="J34" s="253"/>
      <c r="K34" s="253"/>
      <c r="L34" s="253"/>
      <c r="M34" s="253"/>
      <c r="N34" s="253"/>
      <c r="O34" s="253"/>
      <c r="P34" s="253"/>
      <c r="Q34" s="253"/>
      <c r="R34" s="253"/>
      <c r="S34" s="253"/>
      <c r="T34" s="253"/>
      <c r="U34" s="253"/>
      <c r="V34" s="253"/>
      <c r="W34" s="253"/>
      <c r="X34" s="253"/>
      <c r="Y34" s="253"/>
      <c r="Z34" s="253"/>
      <c r="AA34" s="253"/>
      <c r="AB34" s="253"/>
      <c r="AC34" s="253"/>
      <c r="AD34" s="253"/>
      <c r="AE34" s="253"/>
      <c r="AF34" s="253"/>
      <c r="AG34" s="253"/>
      <c r="AH34" s="253"/>
      <c r="AI34" s="253"/>
      <c r="AJ34" s="253"/>
      <c r="AK34" s="253"/>
      <c r="AL34" s="255"/>
      <c r="AM34" s="253"/>
      <c r="AN34" s="253"/>
      <c r="AO34" s="253"/>
      <c r="AP34" s="253"/>
      <c r="AQ34" s="253"/>
      <c r="AR34" s="255"/>
      <c r="AS34" s="255"/>
      <c r="AT34" s="255"/>
      <c r="AU34" s="255"/>
      <c r="AV34" s="255"/>
      <c r="AW34" s="255"/>
      <c r="AX34" s="255"/>
      <c r="AZ34" s="223" t="str">
        <f t="shared" si="5"/>
        <v/>
      </c>
      <c r="BA34" s="223" t="str">
        <f t="shared" si="6"/>
        <v/>
      </c>
      <c r="BB34" s="223">
        <f t="shared" si="7"/>
        <v>0</v>
      </c>
      <c r="BC34" s="223" t="str">
        <f t="shared" si="8"/>
        <v/>
      </c>
      <c r="BE34" s="199" t="str">
        <f t="shared" si="20"/>
        <v/>
      </c>
      <c r="BF34" s="27"/>
      <c r="BG34" s="200">
        <f t="shared" si="21"/>
        <v>0</v>
      </c>
      <c r="BH34" s="200"/>
      <c r="BI34" s="226"/>
      <c r="BJ34" s="228"/>
      <c r="BK34" s="226"/>
      <c r="BL34" s="228"/>
      <c r="BM34" s="226"/>
      <c r="BN34" s="228"/>
      <c r="BO34" s="226"/>
      <c r="BP34" s="228"/>
      <c r="BQ34" s="227">
        <f t="shared" si="22"/>
        <v>0</v>
      </c>
      <c r="BS34" s="241">
        <f t="shared" si="23"/>
        <v>273</v>
      </c>
      <c r="BT34" s="225">
        <f t="shared" si="24"/>
        <v>42</v>
      </c>
      <c r="BU34" s="224">
        <f t="shared" si="25"/>
        <v>273</v>
      </c>
      <c r="BV34" s="224">
        <f t="shared" si="26"/>
        <v>42</v>
      </c>
      <c r="BW34" s="243">
        <f t="shared" si="27"/>
        <v>630</v>
      </c>
      <c r="BX34" s="214"/>
      <c r="BY34" s="199">
        <f t="shared" si="28"/>
        <v>630</v>
      </c>
      <c r="BZ34" s="199"/>
      <c r="CA34" s="247">
        <f t="shared" si="29"/>
        <v>0</v>
      </c>
      <c r="CB34" s="11" t="s">
        <v>258</v>
      </c>
    </row>
    <row r="35" spans="2:80" ht="15.75" thickBot="1" x14ac:dyDescent="0.3">
      <c r="B35" s="217" t="s">
        <v>202</v>
      </c>
      <c r="C35" s="198"/>
      <c r="D35" s="217" t="str">
        <f>IFERROR(VLOOKUP(B35,'DATOS GRALES 1'!$B$2:$E$91,4,0),"")</f>
        <v>PEÓN</v>
      </c>
      <c r="E35" s="251">
        <f t="shared" si="18"/>
        <v>4200</v>
      </c>
      <c r="F35" s="220">
        <f t="shared" si="19"/>
        <v>140</v>
      </c>
      <c r="H35" s="253"/>
      <c r="I35" s="253"/>
      <c r="J35" s="253"/>
      <c r="K35" s="253"/>
      <c r="L35" s="253"/>
      <c r="M35" s="253"/>
      <c r="N35" s="253"/>
      <c r="O35" s="253"/>
      <c r="P35" s="253"/>
      <c r="Q35" s="253"/>
      <c r="R35" s="253"/>
      <c r="S35" s="253"/>
      <c r="T35" s="253"/>
      <c r="U35" s="253"/>
      <c r="V35" s="253"/>
      <c r="W35" s="253"/>
      <c r="X35" s="253"/>
      <c r="Y35" s="253"/>
      <c r="Z35" s="253"/>
      <c r="AA35" s="253"/>
      <c r="AB35" s="253"/>
      <c r="AC35" s="253"/>
      <c r="AD35" s="253"/>
      <c r="AE35" s="253"/>
      <c r="AF35" s="253"/>
      <c r="AG35" s="253"/>
      <c r="AH35" s="253"/>
      <c r="AI35" s="253"/>
      <c r="AJ35" s="253"/>
      <c r="AK35" s="253"/>
      <c r="AL35" s="255"/>
      <c r="AM35" s="253"/>
      <c r="AN35" s="253"/>
      <c r="AO35" s="253"/>
      <c r="AP35" s="253"/>
      <c r="AQ35" s="253"/>
      <c r="AR35" s="255"/>
      <c r="AS35" s="255"/>
      <c r="AT35" s="255"/>
      <c r="AU35" s="255"/>
      <c r="AV35" s="255"/>
      <c r="AW35" s="255"/>
      <c r="AX35" s="255"/>
      <c r="AZ35" s="223" t="str">
        <f t="shared" si="5"/>
        <v/>
      </c>
      <c r="BA35" s="223" t="str">
        <f t="shared" si="6"/>
        <v/>
      </c>
      <c r="BB35" s="223">
        <f t="shared" si="7"/>
        <v>0</v>
      </c>
      <c r="BC35" s="223" t="str">
        <f t="shared" si="8"/>
        <v/>
      </c>
      <c r="BE35" s="199" t="str">
        <f t="shared" si="20"/>
        <v/>
      </c>
      <c r="BF35" s="27"/>
      <c r="BG35" s="200">
        <f t="shared" si="21"/>
        <v>0</v>
      </c>
      <c r="BH35" s="200"/>
      <c r="BI35" s="226"/>
      <c r="BJ35" s="228"/>
      <c r="BK35" s="226"/>
      <c r="BL35" s="228"/>
      <c r="BM35" s="226"/>
      <c r="BN35" s="228"/>
      <c r="BO35" s="226"/>
      <c r="BP35" s="228"/>
      <c r="BQ35" s="227">
        <f t="shared" si="22"/>
        <v>0</v>
      </c>
      <c r="BS35" s="241">
        <f t="shared" si="23"/>
        <v>273</v>
      </c>
      <c r="BT35" s="225">
        <f t="shared" si="24"/>
        <v>42</v>
      </c>
      <c r="BU35" s="224">
        <f t="shared" si="25"/>
        <v>273</v>
      </c>
      <c r="BV35" s="224">
        <f t="shared" si="26"/>
        <v>42</v>
      </c>
      <c r="BW35" s="243">
        <f t="shared" si="27"/>
        <v>630</v>
      </c>
      <c r="BX35" s="214"/>
      <c r="BY35" s="199">
        <f t="shared" si="28"/>
        <v>630</v>
      </c>
      <c r="BZ35" s="199"/>
      <c r="CA35" s="247">
        <f t="shared" si="29"/>
        <v>0</v>
      </c>
      <c r="CB35" s="11" t="s">
        <v>258</v>
      </c>
    </row>
    <row r="36" spans="2:80" ht="15.75" thickBot="1" x14ac:dyDescent="0.3">
      <c r="B36" s="217" t="s">
        <v>184</v>
      </c>
      <c r="C36" s="198"/>
      <c r="D36" s="217" t="s">
        <v>88</v>
      </c>
      <c r="E36" s="251">
        <f t="shared" si="18"/>
        <v>3300</v>
      </c>
      <c r="F36" s="220">
        <f t="shared" si="19"/>
        <v>110</v>
      </c>
      <c r="H36" s="253"/>
      <c r="I36" s="253"/>
      <c r="J36" s="253"/>
      <c r="K36" s="253"/>
      <c r="L36" s="253"/>
      <c r="M36" s="253"/>
      <c r="N36" s="253"/>
      <c r="O36" s="253"/>
      <c r="P36" s="253"/>
      <c r="Q36" s="253"/>
      <c r="R36" s="253"/>
      <c r="S36" s="253"/>
      <c r="T36" s="253"/>
      <c r="U36" s="253"/>
      <c r="V36" s="253"/>
      <c r="W36" s="253"/>
      <c r="X36" s="253"/>
      <c r="Y36" s="253"/>
      <c r="Z36" s="253"/>
      <c r="AA36" s="253"/>
      <c r="AB36" s="253"/>
      <c r="AC36" s="253"/>
      <c r="AD36" s="253"/>
      <c r="AE36" s="253"/>
      <c r="AF36" s="253"/>
      <c r="AG36" s="253"/>
      <c r="AH36" s="253"/>
      <c r="AI36" s="253"/>
      <c r="AJ36" s="253"/>
      <c r="AK36" s="253"/>
      <c r="AL36" s="255"/>
      <c r="AM36" s="253"/>
      <c r="AN36" s="253"/>
      <c r="AO36" s="253"/>
      <c r="AP36" s="253"/>
      <c r="AQ36" s="253"/>
      <c r="AR36" s="255"/>
      <c r="AS36" s="255"/>
      <c r="AT36" s="255"/>
      <c r="AU36" s="255"/>
      <c r="AV36" s="255"/>
      <c r="AW36" s="255"/>
      <c r="AX36" s="255"/>
      <c r="AZ36" s="223" t="str">
        <f t="shared" si="5"/>
        <v/>
      </c>
      <c r="BA36" s="223" t="str">
        <f t="shared" si="6"/>
        <v/>
      </c>
      <c r="BB36" s="223">
        <f t="shared" si="7"/>
        <v>0</v>
      </c>
      <c r="BC36" s="223" t="str">
        <f t="shared" si="8"/>
        <v/>
      </c>
      <c r="BE36" s="199" t="str">
        <f t="shared" si="20"/>
        <v/>
      </c>
      <c r="BF36" s="27"/>
      <c r="BG36" s="200">
        <f t="shared" si="21"/>
        <v>0</v>
      </c>
      <c r="BH36" s="200"/>
      <c r="BI36" s="226"/>
      <c r="BJ36" s="228"/>
      <c r="BK36" s="226"/>
      <c r="BL36" s="228"/>
      <c r="BM36" s="226"/>
      <c r="BN36" s="228"/>
      <c r="BO36" s="226"/>
      <c r="BP36" s="228"/>
      <c r="BQ36" s="227">
        <f t="shared" si="22"/>
        <v>0</v>
      </c>
      <c r="BS36" s="241">
        <f t="shared" si="23"/>
        <v>214.5</v>
      </c>
      <c r="BT36" s="225">
        <f t="shared" si="24"/>
        <v>33</v>
      </c>
      <c r="BU36" s="224">
        <f t="shared" si="25"/>
        <v>214.5</v>
      </c>
      <c r="BV36" s="224">
        <f t="shared" si="26"/>
        <v>33</v>
      </c>
      <c r="BW36" s="243">
        <f t="shared" si="27"/>
        <v>495</v>
      </c>
      <c r="BX36" s="214"/>
      <c r="BY36" s="199">
        <f t="shared" si="28"/>
        <v>495</v>
      </c>
      <c r="BZ36" s="199"/>
      <c r="CA36" s="247">
        <f t="shared" si="29"/>
        <v>0</v>
      </c>
      <c r="CB36" s="11" t="s">
        <v>258</v>
      </c>
    </row>
    <row r="37" spans="2:80" ht="15.75" thickBot="1" x14ac:dyDescent="0.3">
      <c r="B37" s="217" t="s">
        <v>196</v>
      </c>
      <c r="C37" s="198"/>
      <c r="D37" s="217" t="s">
        <v>88</v>
      </c>
      <c r="E37" s="251">
        <f t="shared" si="18"/>
        <v>3300</v>
      </c>
      <c r="F37" s="220">
        <f t="shared" si="19"/>
        <v>110</v>
      </c>
      <c r="H37" s="253"/>
      <c r="I37" s="253"/>
      <c r="J37" s="253"/>
      <c r="K37" s="253"/>
      <c r="L37" s="253"/>
      <c r="M37" s="253"/>
      <c r="N37" s="253"/>
      <c r="O37" s="253"/>
      <c r="P37" s="253"/>
      <c r="Q37" s="253"/>
      <c r="R37" s="253"/>
      <c r="S37" s="253"/>
      <c r="T37" s="253"/>
      <c r="U37" s="253"/>
      <c r="V37" s="253"/>
      <c r="W37" s="253"/>
      <c r="X37" s="253"/>
      <c r="Y37" s="253"/>
      <c r="Z37" s="253"/>
      <c r="AA37" s="253"/>
      <c r="AB37" s="253"/>
      <c r="AC37" s="253"/>
      <c r="AD37" s="253"/>
      <c r="AE37" s="253"/>
      <c r="AF37" s="253"/>
      <c r="AG37" s="253"/>
      <c r="AH37" s="253"/>
      <c r="AI37" s="253"/>
      <c r="AJ37" s="253"/>
      <c r="AK37" s="253"/>
      <c r="AL37" s="255"/>
      <c r="AM37" s="253"/>
      <c r="AN37" s="253"/>
      <c r="AO37" s="253"/>
      <c r="AP37" s="253"/>
      <c r="AQ37" s="253"/>
      <c r="AR37" s="255"/>
      <c r="AS37" s="255"/>
      <c r="AT37" s="255"/>
      <c r="AU37" s="255"/>
      <c r="AV37" s="255"/>
      <c r="AW37" s="255"/>
      <c r="AX37" s="255"/>
      <c r="AZ37" s="223" t="str">
        <f t="shared" si="5"/>
        <v/>
      </c>
      <c r="BA37" s="223" t="str">
        <f t="shared" si="6"/>
        <v/>
      </c>
      <c r="BB37" s="223">
        <f t="shared" si="7"/>
        <v>0</v>
      </c>
      <c r="BC37" s="223" t="str">
        <f t="shared" si="8"/>
        <v/>
      </c>
      <c r="BE37" s="199" t="str">
        <f t="shared" si="20"/>
        <v/>
      </c>
      <c r="BF37" s="27"/>
      <c r="BG37" s="200">
        <f t="shared" si="21"/>
        <v>0</v>
      </c>
      <c r="BH37" s="200"/>
      <c r="BI37" s="226"/>
      <c r="BJ37" s="228"/>
      <c r="BK37" s="226"/>
      <c r="BL37" s="228"/>
      <c r="BM37" s="226"/>
      <c r="BN37" s="228"/>
      <c r="BO37" s="226"/>
      <c r="BP37" s="228"/>
      <c r="BQ37" s="227">
        <f t="shared" si="22"/>
        <v>0</v>
      </c>
      <c r="BS37" s="241">
        <f t="shared" si="23"/>
        <v>214.5</v>
      </c>
      <c r="BT37" s="225">
        <f t="shared" si="24"/>
        <v>33</v>
      </c>
      <c r="BU37" s="224">
        <f t="shared" si="25"/>
        <v>214.5</v>
      </c>
      <c r="BV37" s="224">
        <f t="shared" si="26"/>
        <v>33</v>
      </c>
      <c r="BW37" s="243">
        <f t="shared" si="27"/>
        <v>495</v>
      </c>
      <c r="BX37" s="214"/>
      <c r="BY37" s="199">
        <f t="shared" si="28"/>
        <v>495</v>
      </c>
      <c r="BZ37" s="199"/>
      <c r="CA37" s="247">
        <f t="shared" si="29"/>
        <v>0</v>
      </c>
      <c r="CB37" s="11" t="s">
        <v>258</v>
      </c>
    </row>
    <row r="38" spans="2:80" ht="15.75" thickBot="1" x14ac:dyDescent="0.3">
      <c r="B38" s="217" t="s">
        <v>243</v>
      </c>
      <c r="C38" s="198"/>
      <c r="D38" s="217" t="str">
        <f>IFERROR(VLOOKUP(B38,'DATOS GRALES 1'!$B$2:$E$91,4,0),"")</f>
        <v>PEON</v>
      </c>
      <c r="E38" s="251">
        <f t="shared" si="18"/>
        <v>3300</v>
      </c>
      <c r="F38" s="220">
        <f t="shared" si="19"/>
        <v>110</v>
      </c>
      <c r="H38" s="253"/>
      <c r="I38" s="253"/>
      <c r="J38" s="253"/>
      <c r="K38" s="253"/>
      <c r="L38" s="253"/>
      <c r="M38" s="253"/>
      <c r="N38" s="253"/>
      <c r="O38" s="253"/>
      <c r="P38" s="253"/>
      <c r="Q38" s="253"/>
      <c r="R38" s="253"/>
      <c r="S38" s="253"/>
      <c r="T38" s="253"/>
      <c r="U38" s="253"/>
      <c r="V38" s="253"/>
      <c r="W38" s="253"/>
      <c r="X38" s="253"/>
      <c r="Y38" s="253"/>
      <c r="Z38" s="253"/>
      <c r="AA38" s="253"/>
      <c r="AB38" s="253"/>
      <c r="AC38" s="253"/>
      <c r="AD38" s="253"/>
      <c r="AE38" s="253"/>
      <c r="AF38" s="253"/>
      <c r="AG38" s="253"/>
      <c r="AH38" s="253"/>
      <c r="AI38" s="253"/>
      <c r="AJ38" s="253"/>
      <c r="AK38" s="253"/>
      <c r="AL38" s="255"/>
      <c r="AM38" s="253"/>
      <c r="AN38" s="253"/>
      <c r="AO38" s="253"/>
      <c r="AP38" s="253"/>
      <c r="AQ38" s="253"/>
      <c r="AR38" s="255"/>
      <c r="AS38" s="255"/>
      <c r="AT38" s="255"/>
      <c r="AU38" s="255"/>
      <c r="AV38" s="255"/>
      <c r="AW38" s="255"/>
      <c r="AX38" s="255"/>
      <c r="AZ38" s="223" t="str">
        <f t="shared" si="5"/>
        <v/>
      </c>
      <c r="BA38" s="223" t="str">
        <f t="shared" si="6"/>
        <v/>
      </c>
      <c r="BB38" s="223">
        <f t="shared" si="7"/>
        <v>0</v>
      </c>
      <c r="BC38" s="223" t="str">
        <f t="shared" si="8"/>
        <v/>
      </c>
      <c r="BE38" s="199" t="str">
        <f t="shared" si="20"/>
        <v/>
      </c>
      <c r="BF38" s="27"/>
      <c r="BG38" s="200">
        <f t="shared" si="21"/>
        <v>0</v>
      </c>
      <c r="BH38" s="200"/>
      <c r="BI38" s="226"/>
      <c r="BJ38" s="228"/>
      <c r="BK38" s="226"/>
      <c r="BL38" s="228"/>
      <c r="BM38" s="226"/>
      <c r="BN38" s="228"/>
      <c r="BO38" s="226"/>
      <c r="BP38" s="228"/>
      <c r="BQ38" s="227">
        <f t="shared" si="22"/>
        <v>0</v>
      </c>
      <c r="BS38" s="241">
        <f t="shared" si="23"/>
        <v>214.5</v>
      </c>
      <c r="BT38" s="225">
        <f t="shared" si="24"/>
        <v>33</v>
      </c>
      <c r="BU38" s="224">
        <f t="shared" si="25"/>
        <v>214.5</v>
      </c>
      <c r="BV38" s="224">
        <f t="shared" si="26"/>
        <v>33</v>
      </c>
      <c r="BW38" s="243">
        <f t="shared" si="27"/>
        <v>495</v>
      </c>
      <c r="BX38" s="214"/>
      <c r="BY38" s="199">
        <f t="shared" si="28"/>
        <v>495</v>
      </c>
      <c r="BZ38" s="199"/>
      <c r="CA38" s="247">
        <f t="shared" si="29"/>
        <v>0</v>
      </c>
      <c r="CB38" s="11" t="s">
        <v>258</v>
      </c>
    </row>
    <row r="39" spans="2:80" ht="15.75" thickBot="1" x14ac:dyDescent="0.3">
      <c r="B39" s="217" t="s">
        <v>244</v>
      </c>
      <c r="C39" s="198"/>
      <c r="D39" s="217" t="str">
        <f>IFERROR(VLOOKUP(B39,'DATOS GRALES 1'!$B$2:$E$91,4,0),"")</f>
        <v>PEON</v>
      </c>
      <c r="E39" s="251">
        <f t="shared" si="18"/>
        <v>3300</v>
      </c>
      <c r="F39" s="220">
        <f t="shared" si="19"/>
        <v>110</v>
      </c>
      <c r="H39" s="253"/>
      <c r="I39" s="253"/>
      <c r="J39" s="253"/>
      <c r="K39" s="253"/>
      <c r="L39" s="253"/>
      <c r="M39" s="253"/>
      <c r="N39" s="253"/>
      <c r="O39" s="253"/>
      <c r="P39" s="253"/>
      <c r="Q39" s="253"/>
      <c r="R39" s="253"/>
      <c r="S39" s="253"/>
      <c r="T39" s="253"/>
      <c r="U39" s="253"/>
      <c r="V39" s="253"/>
      <c r="W39" s="253"/>
      <c r="X39" s="253"/>
      <c r="Y39" s="253"/>
      <c r="Z39" s="253"/>
      <c r="AA39" s="253"/>
      <c r="AB39" s="253"/>
      <c r="AC39" s="253"/>
      <c r="AD39" s="253"/>
      <c r="AE39" s="253"/>
      <c r="AF39" s="253"/>
      <c r="AG39" s="253"/>
      <c r="AH39" s="253"/>
      <c r="AI39" s="253"/>
      <c r="AJ39" s="253"/>
      <c r="AK39" s="253"/>
      <c r="AL39" s="255"/>
      <c r="AM39" s="253"/>
      <c r="AN39" s="253"/>
      <c r="AO39" s="253"/>
      <c r="AP39" s="253"/>
      <c r="AQ39" s="253"/>
      <c r="AR39" s="255"/>
      <c r="AS39" s="255"/>
      <c r="AT39" s="255"/>
      <c r="AU39" s="255"/>
      <c r="AV39" s="255"/>
      <c r="AW39" s="255"/>
      <c r="AX39" s="255"/>
      <c r="AZ39" s="223" t="str">
        <f t="shared" si="5"/>
        <v/>
      </c>
      <c r="BA39" s="223" t="str">
        <f t="shared" si="6"/>
        <v/>
      </c>
      <c r="BB39" s="223">
        <f t="shared" si="7"/>
        <v>0</v>
      </c>
      <c r="BC39" s="223" t="str">
        <f t="shared" si="8"/>
        <v/>
      </c>
      <c r="BE39" s="199" t="str">
        <f t="shared" si="20"/>
        <v/>
      </c>
      <c r="BF39" s="27"/>
      <c r="BG39" s="200">
        <f t="shared" si="21"/>
        <v>0</v>
      </c>
      <c r="BH39" s="200"/>
      <c r="BI39" s="226"/>
      <c r="BJ39" s="228"/>
      <c r="BK39" s="226"/>
      <c r="BL39" s="228"/>
      <c r="BM39" s="226"/>
      <c r="BN39" s="228"/>
      <c r="BO39" s="226"/>
      <c r="BP39" s="228"/>
      <c r="BQ39" s="227">
        <f t="shared" si="22"/>
        <v>0</v>
      </c>
      <c r="BS39" s="241">
        <f t="shared" si="23"/>
        <v>214.5</v>
      </c>
      <c r="BT39" s="225">
        <f t="shared" si="24"/>
        <v>33</v>
      </c>
      <c r="BU39" s="224">
        <f t="shared" si="25"/>
        <v>214.5</v>
      </c>
      <c r="BV39" s="224">
        <f t="shared" si="26"/>
        <v>33</v>
      </c>
      <c r="BW39" s="243">
        <f t="shared" si="27"/>
        <v>495</v>
      </c>
      <c r="BX39" s="214"/>
      <c r="BY39" s="199">
        <f t="shared" si="28"/>
        <v>495</v>
      </c>
      <c r="BZ39" s="199"/>
      <c r="CA39" s="247">
        <f t="shared" si="29"/>
        <v>0</v>
      </c>
      <c r="CB39" s="11" t="s">
        <v>258</v>
      </c>
    </row>
    <row r="40" spans="2:80" ht="15.75" thickBot="1" x14ac:dyDescent="0.3">
      <c r="B40" s="217" t="s">
        <v>245</v>
      </c>
      <c r="C40" s="198"/>
      <c r="D40" s="217" t="str">
        <f>IFERROR(VLOOKUP(B40,'DATOS GRALES 1'!$B$2:$E$91,4,0),"")</f>
        <v>OPERARIO</v>
      </c>
      <c r="E40" s="251">
        <f t="shared" si="18"/>
        <v>4200</v>
      </c>
      <c r="F40" s="220">
        <f t="shared" si="19"/>
        <v>140</v>
      </c>
      <c r="H40" s="253"/>
      <c r="I40" s="253"/>
      <c r="J40" s="253"/>
      <c r="K40" s="253"/>
      <c r="L40" s="253"/>
      <c r="M40" s="253"/>
      <c r="N40" s="253"/>
      <c r="O40" s="253"/>
      <c r="P40" s="253"/>
      <c r="Q40" s="253"/>
      <c r="R40" s="253"/>
      <c r="S40" s="253"/>
      <c r="T40" s="253"/>
      <c r="U40" s="253"/>
      <c r="V40" s="253"/>
      <c r="W40" s="253"/>
      <c r="X40" s="253"/>
      <c r="Y40" s="253"/>
      <c r="Z40" s="253"/>
      <c r="AA40" s="253"/>
      <c r="AB40" s="253"/>
      <c r="AC40" s="253"/>
      <c r="AD40" s="253"/>
      <c r="AE40" s="253"/>
      <c r="AF40" s="253"/>
      <c r="AG40" s="253"/>
      <c r="AH40" s="253"/>
      <c r="AI40" s="253"/>
      <c r="AJ40" s="253"/>
      <c r="AK40" s="253"/>
      <c r="AL40" s="255"/>
      <c r="AM40" s="253"/>
      <c r="AN40" s="253"/>
      <c r="AO40" s="253"/>
      <c r="AP40" s="253"/>
      <c r="AQ40" s="253"/>
      <c r="AR40" s="255"/>
      <c r="AS40" s="255"/>
      <c r="AT40" s="255"/>
      <c r="AU40" s="255"/>
      <c r="AV40" s="255"/>
      <c r="AW40" s="255"/>
      <c r="AX40" s="255"/>
      <c r="AZ40" s="223" t="str">
        <f t="shared" si="5"/>
        <v/>
      </c>
      <c r="BA40" s="223" t="str">
        <f t="shared" si="6"/>
        <v/>
      </c>
      <c r="BB40" s="223">
        <f t="shared" si="7"/>
        <v>0</v>
      </c>
      <c r="BC40" s="223" t="str">
        <f t="shared" si="8"/>
        <v/>
      </c>
      <c r="BE40" s="199" t="str">
        <f t="shared" si="20"/>
        <v/>
      </c>
      <c r="BF40" s="27"/>
      <c r="BG40" s="200">
        <f t="shared" si="21"/>
        <v>0</v>
      </c>
      <c r="BH40" s="200"/>
      <c r="BI40" s="226"/>
      <c r="BJ40" s="228"/>
      <c r="BK40" s="226"/>
      <c r="BL40" s="228"/>
      <c r="BM40" s="226"/>
      <c r="BN40" s="228"/>
      <c r="BO40" s="226"/>
      <c r="BP40" s="228"/>
      <c r="BQ40" s="227">
        <f t="shared" si="22"/>
        <v>0</v>
      </c>
      <c r="BS40" s="241">
        <f t="shared" si="23"/>
        <v>273</v>
      </c>
      <c r="BT40" s="225">
        <f t="shared" si="24"/>
        <v>42</v>
      </c>
      <c r="BU40" s="224">
        <f t="shared" si="25"/>
        <v>273</v>
      </c>
      <c r="BV40" s="224">
        <f t="shared" si="26"/>
        <v>42</v>
      </c>
      <c r="BW40" s="243">
        <f t="shared" si="27"/>
        <v>630</v>
      </c>
      <c r="BX40" s="214"/>
      <c r="BY40" s="199">
        <f t="shared" si="28"/>
        <v>630</v>
      </c>
      <c r="BZ40" s="199"/>
      <c r="CA40" s="247">
        <f t="shared" si="29"/>
        <v>0</v>
      </c>
      <c r="CB40" s="11" t="s">
        <v>258</v>
      </c>
    </row>
    <row r="41" spans="2:80" ht="15.75" thickBot="1" x14ac:dyDescent="0.3">
      <c r="B41" s="217" t="s">
        <v>246</v>
      </c>
      <c r="C41" s="198"/>
      <c r="D41" s="217" t="str">
        <f>IFERROR(VLOOKUP(B41,'DATOS GRALES 1'!$B$2:$E$91,4,0),"")</f>
        <v>OPERARIO</v>
      </c>
      <c r="E41" s="251">
        <f t="shared" si="18"/>
        <v>4200</v>
      </c>
      <c r="F41" s="220">
        <f t="shared" si="19"/>
        <v>140</v>
      </c>
      <c r="H41" s="253"/>
      <c r="I41" s="253"/>
      <c r="J41" s="253"/>
      <c r="K41" s="253"/>
      <c r="L41" s="253"/>
      <c r="M41" s="253"/>
      <c r="N41" s="253"/>
      <c r="O41" s="253"/>
      <c r="P41" s="253"/>
      <c r="Q41" s="253"/>
      <c r="R41" s="253"/>
      <c r="S41" s="253"/>
      <c r="T41" s="253"/>
      <c r="U41" s="253"/>
      <c r="V41" s="253"/>
      <c r="W41" s="253"/>
      <c r="X41" s="253"/>
      <c r="Y41" s="253"/>
      <c r="Z41" s="253"/>
      <c r="AA41" s="253"/>
      <c r="AB41" s="253"/>
      <c r="AC41" s="253"/>
      <c r="AD41" s="253"/>
      <c r="AE41" s="253"/>
      <c r="AF41" s="253"/>
      <c r="AG41" s="253"/>
      <c r="AH41" s="253"/>
      <c r="AI41" s="253"/>
      <c r="AJ41" s="253"/>
      <c r="AK41" s="253"/>
      <c r="AL41" s="255"/>
      <c r="AM41" s="253"/>
      <c r="AN41" s="253"/>
      <c r="AO41" s="253"/>
      <c r="AP41" s="253"/>
      <c r="AQ41" s="253"/>
      <c r="AR41" s="255"/>
      <c r="AS41" s="255"/>
      <c r="AT41" s="255"/>
      <c r="AU41" s="255"/>
      <c r="AV41" s="255"/>
      <c r="AW41" s="255"/>
      <c r="AX41" s="255"/>
      <c r="AZ41" s="223" t="str">
        <f t="shared" si="5"/>
        <v/>
      </c>
      <c r="BA41" s="223" t="str">
        <f t="shared" si="6"/>
        <v/>
      </c>
      <c r="BB41" s="223">
        <f t="shared" si="7"/>
        <v>0</v>
      </c>
      <c r="BC41" s="223" t="str">
        <f t="shared" si="8"/>
        <v/>
      </c>
      <c r="BE41" s="199" t="str">
        <f t="shared" si="20"/>
        <v/>
      </c>
      <c r="BF41" s="27"/>
      <c r="BG41" s="200">
        <f t="shared" si="21"/>
        <v>0</v>
      </c>
      <c r="BH41" s="200"/>
      <c r="BI41" s="226"/>
      <c r="BJ41" s="228"/>
      <c r="BK41" s="226"/>
      <c r="BL41" s="228"/>
      <c r="BM41" s="226"/>
      <c r="BN41" s="228"/>
      <c r="BO41" s="226"/>
      <c r="BP41" s="228"/>
      <c r="BQ41" s="227">
        <f t="shared" si="22"/>
        <v>0</v>
      </c>
      <c r="BS41" s="241">
        <f t="shared" si="23"/>
        <v>273</v>
      </c>
      <c r="BT41" s="225">
        <f t="shared" si="24"/>
        <v>42</v>
      </c>
      <c r="BU41" s="224">
        <f t="shared" si="25"/>
        <v>273</v>
      </c>
      <c r="BV41" s="224">
        <f t="shared" si="26"/>
        <v>42</v>
      </c>
      <c r="BW41" s="243">
        <f t="shared" si="27"/>
        <v>630</v>
      </c>
      <c r="BX41" s="214"/>
      <c r="BY41" s="199">
        <f t="shared" si="28"/>
        <v>630</v>
      </c>
      <c r="BZ41" s="199"/>
      <c r="CA41" s="247">
        <f t="shared" si="29"/>
        <v>0</v>
      </c>
      <c r="CB41" s="11" t="s">
        <v>258</v>
      </c>
    </row>
    <row r="42" spans="2:80" ht="15.75" thickBot="1" x14ac:dyDescent="0.3">
      <c r="B42" s="217" t="s">
        <v>247</v>
      </c>
      <c r="C42" s="198"/>
      <c r="D42" s="217" t="str">
        <f>IFERROR(VLOOKUP(B42,'DATOS GRALES 1'!$B$2:$E$91,4,0),"")</f>
        <v>PEON</v>
      </c>
      <c r="E42" s="251">
        <f t="shared" si="18"/>
        <v>3300</v>
      </c>
      <c r="F42" s="220">
        <f t="shared" si="19"/>
        <v>110</v>
      </c>
      <c r="H42" s="253"/>
      <c r="I42" s="253"/>
      <c r="J42" s="253"/>
      <c r="K42" s="253"/>
      <c r="L42" s="253"/>
      <c r="M42" s="253"/>
      <c r="N42" s="253"/>
      <c r="O42" s="253"/>
      <c r="P42" s="253"/>
      <c r="Q42" s="253"/>
      <c r="R42" s="253"/>
      <c r="S42" s="253"/>
      <c r="T42" s="253"/>
      <c r="U42" s="253"/>
      <c r="V42" s="253"/>
      <c r="W42" s="253"/>
      <c r="X42" s="253"/>
      <c r="Y42" s="253"/>
      <c r="Z42" s="253"/>
      <c r="AA42" s="253"/>
      <c r="AB42" s="253"/>
      <c r="AC42" s="253"/>
      <c r="AD42" s="253"/>
      <c r="AE42" s="253"/>
      <c r="AF42" s="253"/>
      <c r="AG42" s="253"/>
      <c r="AH42" s="253"/>
      <c r="AI42" s="253"/>
      <c r="AJ42" s="253"/>
      <c r="AK42" s="253"/>
      <c r="AL42" s="255"/>
      <c r="AM42" s="253"/>
      <c r="AN42" s="253"/>
      <c r="AO42" s="253"/>
      <c r="AP42" s="253"/>
      <c r="AQ42" s="253"/>
      <c r="AR42" s="255"/>
      <c r="AS42" s="255"/>
      <c r="AT42" s="255"/>
      <c r="AU42" s="255"/>
      <c r="AV42" s="255"/>
      <c r="AW42" s="255"/>
      <c r="AX42" s="255"/>
      <c r="AZ42" s="223" t="str">
        <f t="shared" si="5"/>
        <v/>
      </c>
      <c r="BA42" s="223" t="str">
        <f t="shared" si="6"/>
        <v/>
      </c>
      <c r="BB42" s="223">
        <f t="shared" si="7"/>
        <v>0</v>
      </c>
      <c r="BC42" s="223" t="str">
        <f t="shared" si="8"/>
        <v/>
      </c>
      <c r="BE42" s="199" t="str">
        <f t="shared" si="20"/>
        <v/>
      </c>
      <c r="BF42" s="27"/>
      <c r="BG42" s="200">
        <f t="shared" si="21"/>
        <v>0</v>
      </c>
      <c r="BH42" s="200"/>
      <c r="BI42" s="226"/>
      <c r="BJ42" s="228"/>
      <c r="BK42" s="226"/>
      <c r="BL42" s="228"/>
      <c r="BM42" s="226"/>
      <c r="BN42" s="228"/>
      <c r="BO42" s="226"/>
      <c r="BP42" s="228"/>
      <c r="BQ42" s="227">
        <f t="shared" si="22"/>
        <v>0</v>
      </c>
      <c r="BS42" s="241">
        <f t="shared" si="23"/>
        <v>214.5</v>
      </c>
      <c r="BT42" s="225">
        <f t="shared" si="24"/>
        <v>33</v>
      </c>
      <c r="BU42" s="224">
        <f t="shared" si="25"/>
        <v>214.5</v>
      </c>
      <c r="BV42" s="224">
        <f t="shared" si="26"/>
        <v>33</v>
      </c>
      <c r="BW42" s="243">
        <f t="shared" si="27"/>
        <v>495</v>
      </c>
      <c r="BX42" s="214"/>
      <c r="BY42" s="199">
        <f t="shared" si="28"/>
        <v>495</v>
      </c>
      <c r="BZ42" s="199"/>
      <c r="CA42" s="247">
        <f t="shared" si="29"/>
        <v>0</v>
      </c>
      <c r="CB42" s="11" t="s">
        <v>258</v>
      </c>
    </row>
    <row r="43" spans="2:80" ht="15.75" thickBot="1" x14ac:dyDescent="0.3">
      <c r="B43" s="217" t="s">
        <v>248</v>
      </c>
      <c r="C43" s="198"/>
      <c r="D43" s="217" t="str">
        <f>IFERROR(VLOOKUP(B43,'DATOS GRALES 1'!$B$2:$E$91,4,0),"")</f>
        <v>PEON</v>
      </c>
      <c r="E43" s="251">
        <f t="shared" si="18"/>
        <v>3300</v>
      </c>
      <c r="F43" s="220">
        <f t="shared" si="19"/>
        <v>110</v>
      </c>
      <c r="H43" s="253"/>
      <c r="I43" s="253"/>
      <c r="J43" s="253"/>
      <c r="K43" s="253"/>
      <c r="L43" s="253"/>
      <c r="M43" s="253"/>
      <c r="N43" s="253"/>
      <c r="O43" s="253"/>
      <c r="P43" s="253"/>
      <c r="Q43" s="253"/>
      <c r="R43" s="253"/>
      <c r="S43" s="253"/>
      <c r="T43" s="253"/>
      <c r="U43" s="253"/>
      <c r="V43" s="253"/>
      <c r="W43" s="253"/>
      <c r="X43" s="253"/>
      <c r="Y43" s="253"/>
      <c r="Z43" s="253"/>
      <c r="AA43" s="253"/>
      <c r="AB43" s="253"/>
      <c r="AC43" s="253"/>
      <c r="AD43" s="253"/>
      <c r="AE43" s="253"/>
      <c r="AF43" s="253"/>
      <c r="AG43" s="253"/>
      <c r="AH43" s="253"/>
      <c r="AI43" s="253"/>
      <c r="AJ43" s="253"/>
      <c r="AK43" s="253"/>
      <c r="AL43" s="255"/>
      <c r="AM43" s="253"/>
      <c r="AN43" s="253"/>
      <c r="AO43" s="253"/>
      <c r="AP43" s="253"/>
      <c r="AQ43" s="253"/>
      <c r="AR43" s="255"/>
      <c r="AS43" s="255"/>
      <c r="AT43" s="255"/>
      <c r="AU43" s="255"/>
      <c r="AV43" s="255"/>
      <c r="AW43" s="255"/>
      <c r="AX43" s="255"/>
      <c r="AZ43" s="223" t="str">
        <f t="shared" si="5"/>
        <v/>
      </c>
      <c r="BA43" s="223" t="str">
        <f t="shared" si="6"/>
        <v/>
      </c>
      <c r="BB43" s="223">
        <f t="shared" si="7"/>
        <v>0</v>
      </c>
      <c r="BC43" s="223" t="str">
        <f t="shared" si="8"/>
        <v/>
      </c>
      <c r="BE43" s="199" t="str">
        <f t="shared" si="20"/>
        <v/>
      </c>
      <c r="BF43" s="27"/>
      <c r="BG43" s="200">
        <f t="shared" si="21"/>
        <v>0</v>
      </c>
      <c r="BH43" s="200"/>
      <c r="BI43" s="226"/>
      <c r="BJ43" s="228"/>
      <c r="BK43" s="226"/>
      <c r="BL43" s="228"/>
      <c r="BM43" s="226"/>
      <c r="BN43" s="228"/>
      <c r="BO43" s="226"/>
      <c r="BP43" s="228"/>
      <c r="BQ43" s="227">
        <f t="shared" si="22"/>
        <v>0</v>
      </c>
      <c r="BS43" s="241">
        <f t="shared" si="23"/>
        <v>214.5</v>
      </c>
      <c r="BT43" s="225">
        <f t="shared" si="24"/>
        <v>33</v>
      </c>
      <c r="BU43" s="224">
        <f t="shared" si="25"/>
        <v>214.5</v>
      </c>
      <c r="BV43" s="224">
        <f t="shared" si="26"/>
        <v>33</v>
      </c>
      <c r="BW43" s="243">
        <f t="shared" si="27"/>
        <v>495</v>
      </c>
      <c r="BX43" s="214"/>
      <c r="BY43" s="199">
        <f t="shared" si="28"/>
        <v>495</v>
      </c>
      <c r="BZ43" s="199"/>
      <c r="CA43" s="247">
        <f t="shared" si="29"/>
        <v>0</v>
      </c>
      <c r="CB43" s="11" t="s">
        <v>258</v>
      </c>
    </row>
    <row r="44" spans="2:80" ht="15.75" thickBot="1" x14ac:dyDescent="0.3">
      <c r="B44" s="217" t="s">
        <v>262</v>
      </c>
      <c r="C44" s="198"/>
      <c r="D44" s="217" t="str">
        <f>IFERROR(VLOOKUP(B44,'DATOS GRALES 1'!$B$2:$E$91,4,0),"")</f>
        <v>PEON</v>
      </c>
      <c r="E44" s="251">
        <f t="shared" si="18"/>
        <v>3300</v>
      </c>
      <c r="F44" s="220">
        <f t="shared" si="19"/>
        <v>110</v>
      </c>
      <c r="H44" s="253"/>
      <c r="I44" s="253"/>
      <c r="J44" s="253"/>
      <c r="K44" s="253"/>
      <c r="L44" s="253"/>
      <c r="M44" s="253"/>
      <c r="N44" s="253"/>
      <c r="O44" s="253"/>
      <c r="P44" s="253"/>
      <c r="Q44" s="253"/>
      <c r="R44" s="253"/>
      <c r="S44" s="253"/>
      <c r="T44" s="253"/>
      <c r="U44" s="253"/>
      <c r="V44" s="253"/>
      <c r="W44" s="253"/>
      <c r="X44" s="253"/>
      <c r="Y44" s="253"/>
      <c r="Z44" s="253"/>
      <c r="AA44" s="253"/>
      <c r="AB44" s="253"/>
      <c r="AC44" s="253"/>
      <c r="AD44" s="253"/>
      <c r="AE44" s="253"/>
      <c r="AF44" s="253"/>
      <c r="AG44" s="253"/>
      <c r="AH44" s="253"/>
      <c r="AI44" s="253"/>
      <c r="AJ44" s="253"/>
      <c r="AK44" s="253"/>
      <c r="AL44" s="255"/>
      <c r="AM44" s="253"/>
      <c r="AN44" s="253"/>
      <c r="AO44" s="253"/>
      <c r="AP44" s="253"/>
      <c r="AQ44" s="253"/>
      <c r="AR44" s="255"/>
      <c r="AS44" s="255"/>
      <c r="AT44" s="255"/>
      <c r="AU44" s="255"/>
      <c r="AV44" s="255"/>
      <c r="AW44" s="255"/>
      <c r="AX44" s="255"/>
      <c r="AZ44" s="223" t="str">
        <f t="shared" si="5"/>
        <v/>
      </c>
      <c r="BA44" s="223" t="str">
        <f t="shared" si="6"/>
        <v/>
      </c>
      <c r="BB44" s="223">
        <f t="shared" si="7"/>
        <v>0</v>
      </c>
      <c r="BC44" s="223" t="str">
        <f t="shared" si="8"/>
        <v/>
      </c>
      <c r="BE44" s="199" t="str">
        <f t="shared" si="20"/>
        <v/>
      </c>
      <c r="BF44" s="27"/>
      <c r="BG44" s="200">
        <f t="shared" si="21"/>
        <v>0</v>
      </c>
      <c r="BH44" s="200"/>
      <c r="BI44" s="226"/>
      <c r="BJ44" s="228"/>
      <c r="BK44" s="226"/>
      <c r="BL44" s="228"/>
      <c r="BM44" s="226"/>
      <c r="BN44" s="228"/>
      <c r="BO44" s="226"/>
      <c r="BP44" s="228"/>
      <c r="BQ44" s="227">
        <f t="shared" si="22"/>
        <v>0</v>
      </c>
      <c r="BS44" s="241">
        <f t="shared" si="23"/>
        <v>214.5</v>
      </c>
      <c r="BT44" s="225">
        <f t="shared" si="24"/>
        <v>33</v>
      </c>
      <c r="BU44" s="224">
        <f t="shared" si="25"/>
        <v>214.5</v>
      </c>
      <c r="BV44" s="224">
        <f t="shared" si="26"/>
        <v>33</v>
      </c>
      <c r="BW44" s="243">
        <f t="shared" si="27"/>
        <v>495</v>
      </c>
      <c r="BX44" s="214"/>
      <c r="BY44" s="199">
        <f t="shared" si="28"/>
        <v>495</v>
      </c>
      <c r="BZ44" s="199"/>
      <c r="CA44" s="247">
        <f t="shared" si="29"/>
        <v>0</v>
      </c>
      <c r="CB44" s="11" t="s">
        <v>258</v>
      </c>
    </row>
    <row r="45" spans="2:80" ht="15.75" thickBot="1" x14ac:dyDescent="0.3">
      <c r="B45" s="217" t="s">
        <v>264</v>
      </c>
      <c r="C45" s="198"/>
      <c r="D45" s="217" t="str">
        <f>IFERROR(VLOOKUP(B45,'DATOS GRALES 1'!$B$2:$E$91,4,0),"")</f>
        <v>PEON</v>
      </c>
      <c r="E45" s="251">
        <f t="shared" si="18"/>
        <v>3300</v>
      </c>
      <c r="F45" s="220">
        <f t="shared" si="19"/>
        <v>110</v>
      </c>
      <c r="H45" s="253"/>
      <c r="I45" s="253"/>
      <c r="J45" s="253"/>
      <c r="K45" s="253"/>
      <c r="L45" s="253"/>
      <c r="M45" s="253"/>
      <c r="N45" s="253"/>
      <c r="O45" s="253"/>
      <c r="P45" s="253"/>
      <c r="Q45" s="253"/>
      <c r="R45" s="253"/>
      <c r="S45" s="253"/>
      <c r="T45" s="253"/>
      <c r="U45" s="253"/>
      <c r="V45" s="253"/>
      <c r="W45" s="253"/>
      <c r="X45" s="253"/>
      <c r="Y45" s="253"/>
      <c r="Z45" s="253"/>
      <c r="AA45" s="253"/>
      <c r="AB45" s="253"/>
      <c r="AC45" s="253"/>
      <c r="AD45" s="253"/>
      <c r="AE45" s="253"/>
      <c r="AF45" s="253"/>
      <c r="AG45" s="253"/>
      <c r="AH45" s="253"/>
      <c r="AI45" s="253"/>
      <c r="AJ45" s="253"/>
      <c r="AK45" s="253"/>
      <c r="AL45" s="255"/>
      <c r="AM45" s="253"/>
      <c r="AN45" s="253"/>
      <c r="AO45" s="253"/>
      <c r="AP45" s="253"/>
      <c r="AQ45" s="253"/>
      <c r="AR45" s="255"/>
      <c r="AS45" s="255"/>
      <c r="AT45" s="255"/>
      <c r="AU45" s="255"/>
      <c r="AV45" s="255"/>
      <c r="AW45" s="255"/>
      <c r="AX45" s="255"/>
      <c r="AZ45" s="223" t="str">
        <f t="shared" si="5"/>
        <v/>
      </c>
      <c r="BA45" s="223" t="str">
        <f t="shared" si="6"/>
        <v/>
      </c>
      <c r="BB45" s="223">
        <f t="shared" si="7"/>
        <v>0</v>
      </c>
      <c r="BC45" s="223" t="str">
        <f t="shared" si="8"/>
        <v/>
      </c>
      <c r="BE45" s="199" t="str">
        <f t="shared" si="20"/>
        <v/>
      </c>
      <c r="BF45" s="27"/>
      <c r="BG45" s="200">
        <f t="shared" si="21"/>
        <v>0</v>
      </c>
      <c r="BH45" s="200"/>
      <c r="BI45" s="226"/>
      <c r="BJ45" s="228"/>
      <c r="BK45" s="226"/>
      <c r="BL45" s="228"/>
      <c r="BM45" s="226"/>
      <c r="BN45" s="228"/>
      <c r="BO45" s="226"/>
      <c r="BP45" s="228"/>
      <c r="BQ45" s="227">
        <f t="shared" si="22"/>
        <v>0</v>
      </c>
      <c r="BS45" s="241">
        <f t="shared" si="23"/>
        <v>214.5</v>
      </c>
      <c r="BT45" s="225">
        <f t="shared" si="24"/>
        <v>33</v>
      </c>
      <c r="BU45" s="224">
        <f t="shared" si="25"/>
        <v>214.5</v>
      </c>
      <c r="BV45" s="224">
        <f t="shared" si="26"/>
        <v>33</v>
      </c>
      <c r="BW45" s="243">
        <f t="shared" si="27"/>
        <v>495</v>
      </c>
      <c r="BX45" s="214"/>
      <c r="BY45" s="199">
        <f t="shared" si="28"/>
        <v>495</v>
      </c>
      <c r="BZ45" s="199"/>
      <c r="CA45" s="247">
        <f t="shared" si="29"/>
        <v>0</v>
      </c>
      <c r="CB45" s="11" t="s">
        <v>258</v>
      </c>
    </row>
    <row r="46" spans="2:80" ht="15.75" thickBot="1" x14ac:dyDescent="0.3">
      <c r="B46" s="252" t="s">
        <v>266</v>
      </c>
      <c r="D46" s="218" t="str">
        <f>IFERROR(VLOOKUP(B46,'DATOS GRALES 1'!$B$2:$E$91,4,0),"")</f>
        <v>OPERARIO</v>
      </c>
      <c r="E46" s="251">
        <f t="shared" si="18"/>
        <v>4200</v>
      </c>
      <c r="F46" s="220">
        <f t="shared" si="19"/>
        <v>140</v>
      </c>
      <c r="H46" s="253"/>
      <c r="I46" s="253"/>
      <c r="J46" s="253"/>
      <c r="K46" s="253"/>
      <c r="L46" s="253"/>
      <c r="M46" s="253"/>
      <c r="N46" s="253"/>
      <c r="O46" s="253"/>
      <c r="P46" s="253"/>
      <c r="Q46" s="253"/>
      <c r="R46" s="253"/>
      <c r="S46" s="253"/>
      <c r="T46" s="253"/>
      <c r="U46" s="253"/>
      <c r="V46" s="253"/>
      <c r="W46" s="253"/>
      <c r="X46" s="253"/>
      <c r="Y46" s="253"/>
      <c r="Z46" s="253"/>
      <c r="AA46" s="253"/>
      <c r="AB46" s="253"/>
      <c r="AC46" s="253"/>
      <c r="AD46" s="253"/>
      <c r="AE46" s="253"/>
      <c r="AF46" s="253"/>
      <c r="AG46" s="253"/>
      <c r="AH46" s="253"/>
      <c r="AI46" s="253"/>
      <c r="AJ46" s="253"/>
      <c r="AK46" s="253"/>
      <c r="AL46" s="255"/>
      <c r="AM46" s="253"/>
      <c r="AN46" s="253"/>
      <c r="AO46" s="253"/>
      <c r="AP46" s="253"/>
      <c r="AQ46" s="253"/>
      <c r="AR46" s="255"/>
      <c r="AS46" s="255"/>
      <c r="AT46" s="255"/>
      <c r="AU46" s="255"/>
      <c r="AV46" s="255"/>
      <c r="AW46" s="255"/>
      <c r="AX46" s="255"/>
      <c r="AZ46" s="223" t="str">
        <f t="shared" si="5"/>
        <v/>
      </c>
      <c r="BA46" s="223" t="str">
        <f t="shared" si="6"/>
        <v/>
      </c>
      <c r="BB46" s="223">
        <f t="shared" si="7"/>
        <v>0</v>
      </c>
      <c r="BC46" s="223" t="str">
        <f t="shared" si="8"/>
        <v/>
      </c>
      <c r="BE46" s="199" t="str">
        <f t="shared" si="20"/>
        <v/>
      </c>
      <c r="BF46" s="27"/>
      <c r="BG46" s="200">
        <f t="shared" si="21"/>
        <v>0</v>
      </c>
      <c r="BH46" s="200"/>
      <c r="BI46" s="226"/>
      <c r="BJ46" s="228"/>
      <c r="BK46" s="226"/>
      <c r="BL46" s="228"/>
      <c r="BM46" s="226"/>
      <c r="BN46" s="228"/>
      <c r="BO46" s="226"/>
      <c r="BP46" s="228"/>
      <c r="BQ46" s="227">
        <f t="shared" si="22"/>
        <v>0</v>
      </c>
      <c r="BS46" s="241">
        <f t="shared" si="23"/>
        <v>273</v>
      </c>
      <c r="BT46" s="225">
        <f t="shared" si="24"/>
        <v>42</v>
      </c>
      <c r="BU46" s="224">
        <f t="shared" si="25"/>
        <v>273</v>
      </c>
      <c r="BV46" s="224">
        <f t="shared" si="26"/>
        <v>42</v>
      </c>
      <c r="BW46" s="243">
        <f t="shared" si="27"/>
        <v>630</v>
      </c>
      <c r="BX46" s="214"/>
      <c r="BY46" s="199">
        <f t="shared" si="28"/>
        <v>630</v>
      </c>
      <c r="BZ46" s="199"/>
      <c r="CA46" s="247">
        <f t="shared" si="29"/>
        <v>0</v>
      </c>
      <c r="CB46" s="11" t="s">
        <v>258</v>
      </c>
    </row>
    <row r="47" spans="2:80" ht="15.75" thickBot="1" x14ac:dyDescent="0.3">
      <c r="B47" s="252" t="s">
        <v>268</v>
      </c>
      <c r="D47" s="218" t="str">
        <f>IFERROR(VLOOKUP(B47,'DATOS GRALES 1'!$B$2:$E$91,4,0),"")</f>
        <v>OPERARIO</v>
      </c>
      <c r="E47" s="251">
        <f t="shared" si="18"/>
        <v>4200</v>
      </c>
      <c r="F47" s="220">
        <f t="shared" si="19"/>
        <v>140</v>
      </c>
      <c r="H47" s="253"/>
      <c r="I47" s="253"/>
      <c r="J47" s="253"/>
      <c r="K47" s="253"/>
      <c r="L47" s="253"/>
      <c r="M47" s="253"/>
      <c r="N47" s="253"/>
      <c r="O47" s="253"/>
      <c r="P47" s="253"/>
      <c r="Q47" s="253"/>
      <c r="R47" s="253"/>
      <c r="S47" s="253"/>
      <c r="T47" s="253"/>
      <c r="U47" s="253"/>
      <c r="V47" s="253"/>
      <c r="W47" s="253"/>
      <c r="X47" s="253"/>
      <c r="Y47" s="253"/>
      <c r="Z47" s="253"/>
      <c r="AA47" s="253"/>
      <c r="AB47" s="253"/>
      <c r="AC47" s="253"/>
      <c r="AD47" s="253"/>
      <c r="AE47" s="253"/>
      <c r="AF47" s="253"/>
      <c r="AG47" s="253"/>
      <c r="AH47" s="253"/>
      <c r="AI47" s="253"/>
      <c r="AJ47" s="253"/>
      <c r="AK47" s="253"/>
      <c r="AL47" s="255"/>
      <c r="AM47" s="253"/>
      <c r="AN47" s="253"/>
      <c r="AO47" s="253"/>
      <c r="AP47" s="253"/>
      <c r="AQ47" s="253"/>
      <c r="AR47" s="255"/>
      <c r="AS47" s="255"/>
      <c r="AT47" s="255"/>
      <c r="AU47" s="255"/>
      <c r="AV47" s="255"/>
      <c r="AW47" s="255"/>
      <c r="AX47" s="255"/>
      <c r="AZ47" s="223" t="str">
        <f t="shared" si="5"/>
        <v/>
      </c>
      <c r="BA47" s="223" t="str">
        <f t="shared" si="6"/>
        <v/>
      </c>
      <c r="BB47" s="223">
        <f t="shared" si="7"/>
        <v>0</v>
      </c>
      <c r="BC47" s="223" t="str">
        <f t="shared" si="8"/>
        <v/>
      </c>
      <c r="BE47" s="199" t="str">
        <f t="shared" si="20"/>
        <v/>
      </c>
      <c r="BF47" s="27"/>
      <c r="BG47" s="200">
        <f t="shared" si="21"/>
        <v>0</v>
      </c>
      <c r="BH47" s="200"/>
      <c r="BI47" s="226"/>
      <c r="BJ47" s="228"/>
      <c r="BK47" s="226"/>
      <c r="BL47" s="228"/>
      <c r="BM47" s="226"/>
      <c r="BN47" s="228"/>
      <c r="BO47" s="226"/>
      <c r="BP47" s="228"/>
      <c r="BQ47" s="227">
        <f t="shared" si="22"/>
        <v>0</v>
      </c>
      <c r="BS47" s="241">
        <f t="shared" si="23"/>
        <v>273</v>
      </c>
      <c r="BT47" s="225">
        <f t="shared" si="24"/>
        <v>42</v>
      </c>
      <c r="BU47" s="224">
        <f t="shared" si="25"/>
        <v>273</v>
      </c>
      <c r="BV47" s="224">
        <f t="shared" si="26"/>
        <v>42</v>
      </c>
      <c r="BW47" s="243">
        <f t="shared" si="27"/>
        <v>630</v>
      </c>
      <c r="BX47" s="214"/>
      <c r="BY47" s="199">
        <f t="shared" si="28"/>
        <v>630</v>
      </c>
      <c r="BZ47" s="199"/>
      <c r="CA47" s="247">
        <f t="shared" si="29"/>
        <v>0</v>
      </c>
      <c r="CB47" s="11" t="s">
        <v>258</v>
      </c>
    </row>
    <row r="48" spans="2:80" ht="15.75" thickBot="1" x14ac:dyDescent="0.3">
      <c r="B48" s="252" t="s">
        <v>270</v>
      </c>
      <c r="D48" s="218" t="str">
        <f>IFERROR(VLOOKUP(B48,'DATOS GRALES 1'!$B$2:$E$91,4,0),"")</f>
        <v>OPERARIO</v>
      </c>
      <c r="E48" s="251">
        <f t="shared" si="18"/>
        <v>4200</v>
      </c>
      <c r="F48" s="220">
        <f t="shared" si="19"/>
        <v>140</v>
      </c>
      <c r="H48" s="253"/>
      <c r="I48" s="253"/>
      <c r="J48" s="253"/>
      <c r="K48" s="253"/>
      <c r="L48" s="253"/>
      <c r="M48" s="253"/>
      <c r="N48" s="253"/>
      <c r="O48" s="253"/>
      <c r="P48" s="253"/>
      <c r="Q48" s="253"/>
      <c r="R48" s="253"/>
      <c r="S48" s="253"/>
      <c r="T48" s="253"/>
      <c r="U48" s="253"/>
      <c r="V48" s="253"/>
      <c r="W48" s="253"/>
      <c r="X48" s="253"/>
      <c r="Y48" s="253"/>
      <c r="Z48" s="253"/>
      <c r="AA48" s="253"/>
      <c r="AB48" s="253"/>
      <c r="AC48" s="253"/>
      <c r="AD48" s="253"/>
      <c r="AE48" s="253"/>
      <c r="AF48" s="253"/>
      <c r="AG48" s="253"/>
      <c r="AH48" s="253"/>
      <c r="AI48" s="253"/>
      <c r="AJ48" s="253"/>
      <c r="AK48" s="253"/>
      <c r="AL48" s="255"/>
      <c r="AM48" s="253"/>
      <c r="AN48" s="253"/>
      <c r="AO48" s="253"/>
      <c r="AP48" s="253"/>
      <c r="AQ48" s="253"/>
      <c r="AR48" s="255"/>
      <c r="AS48" s="255"/>
      <c r="AT48" s="255"/>
      <c r="AU48" s="255"/>
      <c r="AV48" s="255"/>
      <c r="AW48" s="255"/>
      <c r="AX48" s="255"/>
      <c r="AZ48" s="223" t="str">
        <f t="shared" si="5"/>
        <v/>
      </c>
      <c r="BA48" s="223" t="str">
        <f t="shared" si="6"/>
        <v/>
      </c>
      <c r="BB48" s="223">
        <f t="shared" si="7"/>
        <v>0</v>
      </c>
      <c r="BC48" s="223" t="str">
        <f t="shared" si="8"/>
        <v/>
      </c>
      <c r="BE48" s="199" t="str">
        <f t="shared" si="20"/>
        <v/>
      </c>
      <c r="BF48" s="27"/>
      <c r="BG48" s="200">
        <f t="shared" si="21"/>
        <v>0</v>
      </c>
      <c r="BH48" s="200"/>
      <c r="BI48" s="226"/>
      <c r="BJ48" s="228"/>
      <c r="BK48" s="226"/>
      <c r="BL48" s="228"/>
      <c r="BM48" s="226"/>
      <c r="BN48" s="228"/>
      <c r="BO48" s="226"/>
      <c r="BP48" s="228"/>
      <c r="BQ48" s="227">
        <f t="shared" si="22"/>
        <v>0</v>
      </c>
      <c r="BS48" s="241">
        <f t="shared" si="23"/>
        <v>273</v>
      </c>
      <c r="BT48" s="225">
        <f t="shared" si="24"/>
        <v>42</v>
      </c>
      <c r="BU48" s="224">
        <f t="shared" si="25"/>
        <v>273</v>
      </c>
      <c r="BV48" s="224">
        <f t="shared" si="26"/>
        <v>42</v>
      </c>
      <c r="BW48" s="243">
        <f t="shared" si="27"/>
        <v>630</v>
      </c>
      <c r="BX48" s="214"/>
      <c r="BY48" s="199">
        <f t="shared" si="28"/>
        <v>630</v>
      </c>
      <c r="BZ48" s="199"/>
      <c r="CA48" s="247">
        <f t="shared" si="29"/>
        <v>0</v>
      </c>
      <c r="CB48" s="11" t="s">
        <v>258</v>
      </c>
    </row>
    <row r="49" spans="2:80" ht="15.75" thickBot="1" x14ac:dyDescent="0.3">
      <c r="B49" s="252"/>
      <c r="D49" s="218" t="str">
        <f>IFERROR(VLOOKUP(B49,'DATOS GRALES 1'!$B$2:$E$91,4,0),"")</f>
        <v/>
      </c>
      <c r="E49" s="251">
        <f t="shared" si="18"/>
        <v>0</v>
      </c>
      <c r="F49" s="220">
        <f t="shared" si="19"/>
        <v>0</v>
      </c>
      <c r="H49" s="253"/>
      <c r="I49" s="253"/>
      <c r="J49" s="253"/>
      <c r="K49" s="253"/>
      <c r="L49" s="253"/>
      <c r="M49" s="253"/>
      <c r="N49" s="253"/>
      <c r="O49" s="253"/>
      <c r="P49" s="253"/>
      <c r="Q49" s="253"/>
      <c r="R49" s="253"/>
      <c r="S49" s="253"/>
      <c r="T49" s="253"/>
      <c r="U49" s="253"/>
      <c r="V49" s="253"/>
      <c r="W49" s="253"/>
      <c r="X49" s="253"/>
      <c r="Y49" s="253"/>
      <c r="Z49" s="253"/>
      <c r="AA49" s="253"/>
      <c r="AB49" s="253"/>
      <c r="AC49" s="253"/>
      <c r="AD49" s="253"/>
      <c r="AE49" s="253"/>
      <c r="AF49" s="253"/>
      <c r="AG49" s="253"/>
      <c r="AH49" s="253"/>
      <c r="AI49" s="253"/>
      <c r="AJ49" s="253"/>
      <c r="AK49" s="253"/>
      <c r="AL49" s="255"/>
      <c r="AM49" s="253"/>
      <c r="AN49" s="253"/>
      <c r="AO49" s="253"/>
      <c r="AP49" s="253"/>
      <c r="AQ49" s="253"/>
      <c r="AR49" s="255"/>
      <c r="AS49" s="255"/>
      <c r="AT49" s="255"/>
      <c r="AU49" s="255"/>
      <c r="AV49" s="255"/>
      <c r="AW49" s="255"/>
      <c r="AX49" s="255"/>
      <c r="AZ49" s="223" t="str">
        <f t="shared" si="5"/>
        <v/>
      </c>
      <c r="BA49" s="223" t="str">
        <f t="shared" si="6"/>
        <v/>
      </c>
      <c r="BB49" s="223">
        <f t="shared" si="7"/>
        <v>0</v>
      </c>
      <c r="BC49" s="223" t="str">
        <f t="shared" si="8"/>
        <v/>
      </c>
      <c r="BE49" s="199" t="str">
        <f t="shared" si="20"/>
        <v/>
      </c>
      <c r="BF49" s="27"/>
      <c r="BG49" s="200">
        <f t="shared" si="21"/>
        <v>0</v>
      </c>
      <c r="BH49" s="200"/>
      <c r="BI49" s="226"/>
      <c r="BJ49" s="228"/>
      <c r="BK49" s="226"/>
      <c r="BL49" s="228"/>
      <c r="BM49" s="226"/>
      <c r="BN49" s="228"/>
      <c r="BO49" s="226"/>
      <c r="BP49" s="228"/>
      <c r="BQ49" s="227">
        <f t="shared" si="22"/>
        <v>0</v>
      </c>
      <c r="BS49" s="241">
        <f t="shared" si="23"/>
        <v>0</v>
      </c>
      <c r="BT49" s="225">
        <f t="shared" si="24"/>
        <v>0</v>
      </c>
      <c r="BU49" s="224">
        <f t="shared" si="25"/>
        <v>0</v>
      </c>
      <c r="BV49" s="224">
        <f t="shared" si="26"/>
        <v>0</v>
      </c>
      <c r="BW49" s="243">
        <f t="shared" si="27"/>
        <v>0</v>
      </c>
      <c r="BX49" s="214"/>
      <c r="BY49" s="199">
        <f t="shared" si="28"/>
        <v>0</v>
      </c>
      <c r="BZ49" s="199"/>
      <c r="CA49" s="247">
        <f t="shared" si="29"/>
        <v>0</v>
      </c>
      <c r="CB49" s="11" t="s">
        <v>258</v>
      </c>
    </row>
    <row r="50" spans="2:80" ht="15.75" thickBot="1" x14ac:dyDescent="0.3">
      <c r="B50" s="252"/>
      <c r="D50" s="218" t="str">
        <f>IFERROR(VLOOKUP(B50,'DATOS GRALES 1'!$B$2:$E$91,4,0),"")</f>
        <v/>
      </c>
      <c r="E50" s="251">
        <f t="shared" si="18"/>
        <v>0</v>
      </c>
      <c r="F50" s="220">
        <f t="shared" si="19"/>
        <v>0</v>
      </c>
      <c r="H50" s="253"/>
      <c r="I50" s="253"/>
      <c r="J50" s="253"/>
      <c r="K50" s="253"/>
      <c r="L50" s="253"/>
      <c r="M50" s="253"/>
      <c r="N50" s="253"/>
      <c r="O50" s="253"/>
      <c r="P50" s="253"/>
      <c r="Q50" s="253"/>
      <c r="R50" s="253"/>
      <c r="S50" s="253"/>
      <c r="T50" s="253"/>
      <c r="U50" s="253"/>
      <c r="V50" s="253"/>
      <c r="W50" s="253"/>
      <c r="X50" s="253"/>
      <c r="Y50" s="253"/>
      <c r="Z50" s="253"/>
      <c r="AA50" s="253"/>
      <c r="AB50" s="253"/>
      <c r="AC50" s="253"/>
      <c r="AD50" s="253"/>
      <c r="AE50" s="253"/>
      <c r="AF50" s="253"/>
      <c r="AG50" s="253"/>
      <c r="AH50" s="253"/>
      <c r="AI50" s="253"/>
      <c r="AJ50" s="253"/>
      <c r="AK50" s="253"/>
      <c r="AL50" s="255"/>
      <c r="AM50" s="253"/>
      <c r="AN50" s="253"/>
      <c r="AO50" s="253"/>
      <c r="AP50" s="253"/>
      <c r="AQ50" s="253"/>
      <c r="AR50" s="255"/>
      <c r="AS50" s="255"/>
      <c r="AT50" s="255"/>
      <c r="AU50" s="255"/>
      <c r="AV50" s="255"/>
      <c r="AW50" s="255"/>
      <c r="AX50" s="255"/>
      <c r="AZ50" s="223" t="str">
        <f t="shared" si="5"/>
        <v/>
      </c>
      <c r="BA50" s="223" t="str">
        <f t="shared" si="6"/>
        <v/>
      </c>
      <c r="BB50" s="223">
        <f t="shared" si="7"/>
        <v>0</v>
      </c>
      <c r="BC50" s="223" t="str">
        <f t="shared" si="8"/>
        <v/>
      </c>
      <c r="BE50" s="199" t="str">
        <f t="shared" si="20"/>
        <v/>
      </c>
      <c r="BF50" s="27"/>
      <c r="BG50" s="200">
        <f t="shared" si="21"/>
        <v>0</v>
      </c>
      <c r="BH50" s="200"/>
      <c r="BI50" s="226"/>
      <c r="BJ50" s="228"/>
      <c r="BK50" s="226"/>
      <c r="BL50" s="228"/>
      <c r="BM50" s="226"/>
      <c r="BN50" s="228"/>
      <c r="BO50" s="226"/>
      <c r="BP50" s="228"/>
      <c r="BQ50" s="227">
        <f t="shared" si="22"/>
        <v>0</v>
      </c>
      <c r="BS50" s="241">
        <f t="shared" si="23"/>
        <v>0</v>
      </c>
      <c r="BT50" s="225">
        <f t="shared" si="24"/>
        <v>0</v>
      </c>
      <c r="BU50" s="224">
        <f t="shared" si="25"/>
        <v>0</v>
      </c>
      <c r="BV50" s="224">
        <f t="shared" si="26"/>
        <v>0</v>
      </c>
      <c r="BW50" s="243">
        <f t="shared" si="27"/>
        <v>0</v>
      </c>
      <c r="BX50" s="214"/>
      <c r="BY50" s="199">
        <f t="shared" si="28"/>
        <v>0</v>
      </c>
      <c r="BZ50" s="199"/>
      <c r="CA50" s="247">
        <f t="shared" si="29"/>
        <v>0</v>
      </c>
      <c r="CB50" s="11" t="s">
        <v>258</v>
      </c>
    </row>
    <row r="51" spans="2:80" ht="15.75" thickBot="1" x14ac:dyDescent="0.3">
      <c r="B51" s="252"/>
      <c r="D51" s="218" t="str">
        <f>IFERROR(VLOOKUP(B51,'DATOS GRALES 1'!$B$2:$E$91,4,0),"")</f>
        <v/>
      </c>
      <c r="E51" s="251">
        <f t="shared" si="18"/>
        <v>0</v>
      </c>
      <c r="F51" s="220">
        <f t="shared" si="19"/>
        <v>0</v>
      </c>
      <c r="H51" s="253"/>
      <c r="I51" s="253"/>
      <c r="J51" s="253"/>
      <c r="K51" s="253"/>
      <c r="L51" s="253"/>
      <c r="M51" s="253"/>
      <c r="N51" s="253"/>
      <c r="O51" s="253"/>
      <c r="P51" s="253"/>
      <c r="Q51" s="253"/>
      <c r="R51" s="253"/>
      <c r="S51" s="253"/>
      <c r="T51" s="253"/>
      <c r="U51" s="253"/>
      <c r="V51" s="253"/>
      <c r="W51" s="253"/>
      <c r="X51" s="253"/>
      <c r="Y51" s="253"/>
      <c r="Z51" s="253"/>
      <c r="AA51" s="253"/>
      <c r="AB51" s="253"/>
      <c r="AC51" s="253"/>
      <c r="AD51" s="253"/>
      <c r="AE51" s="253"/>
      <c r="AF51" s="253"/>
      <c r="AG51" s="253"/>
      <c r="AH51" s="253"/>
      <c r="AI51" s="253"/>
      <c r="AJ51" s="253"/>
      <c r="AK51" s="253"/>
      <c r="AL51" s="255"/>
      <c r="AM51" s="253"/>
      <c r="AN51" s="253"/>
      <c r="AO51" s="253"/>
      <c r="AP51" s="253"/>
      <c r="AQ51" s="253"/>
      <c r="AR51" s="255"/>
      <c r="AS51" s="255"/>
      <c r="AT51" s="255"/>
      <c r="AU51" s="255"/>
      <c r="AV51" s="255"/>
      <c r="AW51" s="255"/>
      <c r="AX51" s="255"/>
      <c r="AZ51" s="223" t="str">
        <f t="shared" si="5"/>
        <v/>
      </c>
      <c r="BA51" s="223" t="str">
        <f t="shared" si="6"/>
        <v/>
      </c>
      <c r="BB51" s="223">
        <f t="shared" si="7"/>
        <v>0</v>
      </c>
      <c r="BC51" s="223" t="str">
        <f t="shared" si="8"/>
        <v/>
      </c>
      <c r="BE51" s="199" t="str">
        <f t="shared" si="20"/>
        <v/>
      </c>
      <c r="BF51" s="27"/>
      <c r="BG51" s="200">
        <f t="shared" si="21"/>
        <v>0</v>
      </c>
      <c r="BH51" s="200"/>
      <c r="BI51" s="226"/>
      <c r="BJ51" s="228"/>
      <c r="BK51" s="226"/>
      <c r="BL51" s="228"/>
      <c r="BM51" s="226"/>
      <c r="BN51" s="228"/>
      <c r="BO51" s="226"/>
      <c r="BP51" s="228"/>
      <c r="BQ51" s="227">
        <f t="shared" si="22"/>
        <v>0</v>
      </c>
      <c r="BS51" s="241">
        <f t="shared" si="23"/>
        <v>0</v>
      </c>
      <c r="BT51" s="225">
        <f t="shared" si="24"/>
        <v>0</v>
      </c>
      <c r="BU51" s="224">
        <f t="shared" si="25"/>
        <v>0</v>
      </c>
      <c r="BV51" s="224">
        <f t="shared" si="26"/>
        <v>0</v>
      </c>
      <c r="BW51" s="243">
        <f t="shared" si="27"/>
        <v>0</v>
      </c>
      <c r="BX51" s="214"/>
      <c r="BY51" s="199">
        <f t="shared" si="28"/>
        <v>0</v>
      </c>
      <c r="BZ51" s="199"/>
      <c r="CA51" s="247">
        <f t="shared" si="29"/>
        <v>0</v>
      </c>
      <c r="CB51" s="11" t="s">
        <v>258</v>
      </c>
    </row>
    <row r="52" spans="2:80" ht="15.75" thickBot="1" x14ac:dyDescent="0.3">
      <c r="B52" s="252"/>
      <c r="D52" s="218" t="str">
        <f>IFERROR(VLOOKUP(B52,'DATOS GRALES 1'!$B$2:$E$91,4,0),"")</f>
        <v/>
      </c>
      <c r="E52" s="251">
        <f t="shared" si="18"/>
        <v>0</v>
      </c>
      <c r="F52" s="220">
        <f t="shared" si="19"/>
        <v>0</v>
      </c>
      <c r="H52" s="253"/>
      <c r="I52" s="253"/>
      <c r="J52" s="253"/>
      <c r="K52" s="253"/>
      <c r="L52" s="253"/>
      <c r="M52" s="253"/>
      <c r="N52" s="253"/>
      <c r="O52" s="253"/>
      <c r="P52" s="253"/>
      <c r="Q52" s="253"/>
      <c r="R52" s="253"/>
      <c r="S52" s="253"/>
      <c r="T52" s="253"/>
      <c r="U52" s="253"/>
      <c r="V52" s="253"/>
      <c r="W52" s="253"/>
      <c r="X52" s="253"/>
      <c r="Y52" s="253"/>
      <c r="Z52" s="253"/>
      <c r="AA52" s="253"/>
      <c r="AB52" s="253"/>
      <c r="AC52" s="253"/>
      <c r="AD52" s="253"/>
      <c r="AE52" s="253"/>
      <c r="AF52" s="253"/>
      <c r="AG52" s="253"/>
      <c r="AH52" s="253"/>
      <c r="AI52" s="253"/>
      <c r="AJ52" s="253"/>
      <c r="AK52" s="253"/>
      <c r="AL52" s="255"/>
      <c r="AM52" s="253"/>
      <c r="AN52" s="253"/>
      <c r="AO52" s="253"/>
      <c r="AP52" s="253"/>
      <c r="AQ52" s="253"/>
      <c r="AR52" s="255"/>
      <c r="AS52" s="255"/>
      <c r="AT52" s="255"/>
      <c r="AU52" s="255"/>
      <c r="AV52" s="255"/>
      <c r="AW52" s="255"/>
      <c r="AX52" s="255"/>
      <c r="AZ52" s="223" t="str">
        <f t="shared" si="5"/>
        <v/>
      </c>
      <c r="BA52" s="223" t="str">
        <f t="shared" si="6"/>
        <v/>
      </c>
      <c r="BB52" s="223">
        <f t="shared" si="7"/>
        <v>0</v>
      </c>
      <c r="BC52" s="223" t="str">
        <f t="shared" si="8"/>
        <v/>
      </c>
      <c r="BE52" s="199" t="str">
        <f t="shared" si="20"/>
        <v/>
      </c>
      <c r="BF52" s="27"/>
      <c r="BG52" s="200">
        <f t="shared" si="21"/>
        <v>0</v>
      </c>
      <c r="BH52" s="200"/>
      <c r="BI52" s="226"/>
      <c r="BJ52" s="228"/>
      <c r="BK52" s="226"/>
      <c r="BL52" s="228"/>
      <c r="BM52" s="226"/>
      <c r="BN52" s="228"/>
      <c r="BO52" s="226"/>
      <c r="BP52" s="228"/>
      <c r="BQ52" s="227">
        <f t="shared" si="22"/>
        <v>0</v>
      </c>
      <c r="BS52" s="241">
        <f t="shared" si="23"/>
        <v>0</v>
      </c>
      <c r="BT52" s="225">
        <f t="shared" si="24"/>
        <v>0</v>
      </c>
      <c r="BU52" s="224">
        <f t="shared" si="25"/>
        <v>0</v>
      </c>
      <c r="BV52" s="224">
        <f t="shared" si="26"/>
        <v>0</v>
      </c>
      <c r="BW52" s="243">
        <f t="shared" si="27"/>
        <v>0</v>
      </c>
      <c r="BX52" s="214"/>
      <c r="BY52" s="199">
        <f t="shared" si="28"/>
        <v>0</v>
      </c>
      <c r="BZ52" s="199"/>
      <c r="CA52" s="247">
        <f t="shared" si="29"/>
        <v>0</v>
      </c>
      <c r="CB52" s="11" t="s">
        <v>258</v>
      </c>
    </row>
    <row r="53" spans="2:80" ht="15.75" thickBot="1" x14ac:dyDescent="0.3">
      <c r="B53" s="252"/>
      <c r="D53" s="218" t="str">
        <f>IFERROR(VLOOKUP(B53,'DATOS GRALES 1'!$B$2:$E$91,4,0),"")</f>
        <v/>
      </c>
      <c r="E53" s="251">
        <f t="shared" si="18"/>
        <v>0</v>
      </c>
      <c r="F53" s="220">
        <f t="shared" si="19"/>
        <v>0</v>
      </c>
      <c r="H53" s="253"/>
      <c r="I53" s="253"/>
      <c r="J53" s="253"/>
      <c r="K53" s="253"/>
      <c r="L53" s="253"/>
      <c r="M53" s="253"/>
      <c r="N53" s="253"/>
      <c r="O53" s="253"/>
      <c r="P53" s="253"/>
      <c r="Q53" s="253"/>
      <c r="R53" s="253"/>
      <c r="S53" s="253"/>
      <c r="T53" s="253"/>
      <c r="U53" s="253"/>
      <c r="V53" s="253"/>
      <c r="W53" s="253"/>
      <c r="X53" s="253"/>
      <c r="Y53" s="253"/>
      <c r="Z53" s="253"/>
      <c r="AA53" s="253"/>
      <c r="AB53" s="253"/>
      <c r="AC53" s="253"/>
      <c r="AD53" s="253"/>
      <c r="AE53" s="253"/>
      <c r="AF53" s="253"/>
      <c r="AG53" s="253"/>
      <c r="AH53" s="253"/>
      <c r="AI53" s="253"/>
      <c r="AJ53" s="253"/>
      <c r="AK53" s="253"/>
      <c r="AL53" s="255"/>
      <c r="AM53" s="253"/>
      <c r="AN53" s="253"/>
      <c r="AO53" s="253"/>
      <c r="AP53" s="253"/>
      <c r="AQ53" s="253"/>
      <c r="AR53" s="255"/>
      <c r="AS53" s="255"/>
      <c r="AT53" s="255"/>
      <c r="AU53" s="255"/>
      <c r="AV53" s="255"/>
      <c r="AW53" s="255"/>
      <c r="AX53" s="255"/>
      <c r="AZ53" s="223" t="str">
        <f t="shared" si="5"/>
        <v/>
      </c>
      <c r="BA53" s="223" t="str">
        <f t="shared" si="6"/>
        <v/>
      </c>
      <c r="BB53" s="223">
        <f t="shared" si="7"/>
        <v>0</v>
      </c>
      <c r="BC53" s="223" t="str">
        <f t="shared" si="8"/>
        <v/>
      </c>
      <c r="BE53" s="199" t="str">
        <f t="shared" si="20"/>
        <v/>
      </c>
      <c r="BF53" s="27"/>
      <c r="BG53" s="200">
        <f t="shared" si="21"/>
        <v>0</v>
      </c>
      <c r="BH53" s="200"/>
      <c r="BI53" s="226"/>
      <c r="BJ53" s="228"/>
      <c r="BK53" s="226"/>
      <c r="BL53" s="228"/>
      <c r="BM53" s="226"/>
      <c r="BN53" s="228"/>
      <c r="BO53" s="226"/>
      <c r="BP53" s="228"/>
      <c r="BQ53" s="227">
        <f t="shared" si="22"/>
        <v>0</v>
      </c>
      <c r="BS53" s="241">
        <f t="shared" si="23"/>
        <v>0</v>
      </c>
      <c r="BT53" s="225">
        <f t="shared" si="24"/>
        <v>0</v>
      </c>
      <c r="BU53" s="224">
        <f t="shared" si="25"/>
        <v>0</v>
      </c>
      <c r="BV53" s="224">
        <f t="shared" si="26"/>
        <v>0</v>
      </c>
      <c r="BW53" s="243">
        <f t="shared" si="27"/>
        <v>0</v>
      </c>
      <c r="BX53" s="214"/>
      <c r="BY53" s="199">
        <f t="shared" si="28"/>
        <v>0</v>
      </c>
      <c r="BZ53" s="199"/>
      <c r="CA53" s="247">
        <f t="shared" si="29"/>
        <v>0</v>
      </c>
      <c r="CB53" s="11" t="s">
        <v>258</v>
      </c>
    </row>
    <row r="54" spans="2:80" ht="15.75" thickBot="1" x14ac:dyDescent="0.3">
      <c r="B54" s="252"/>
      <c r="D54" s="218" t="str">
        <f>IFERROR(VLOOKUP(B54,'DATOS GRALES 1'!$B$2:$E$91,4,0),"")</f>
        <v/>
      </c>
      <c r="E54" s="251">
        <f t="shared" si="18"/>
        <v>0</v>
      </c>
      <c r="F54" s="220">
        <f t="shared" si="19"/>
        <v>0</v>
      </c>
      <c r="H54" s="253"/>
      <c r="I54" s="253"/>
      <c r="J54" s="253"/>
      <c r="K54" s="253"/>
      <c r="L54" s="253"/>
      <c r="M54" s="253"/>
      <c r="N54" s="253"/>
      <c r="O54" s="253"/>
      <c r="P54" s="253"/>
      <c r="Q54" s="253"/>
      <c r="R54" s="253"/>
      <c r="S54" s="253"/>
      <c r="T54" s="253"/>
      <c r="U54" s="253"/>
      <c r="V54" s="253"/>
      <c r="W54" s="253"/>
      <c r="X54" s="253"/>
      <c r="Y54" s="253"/>
      <c r="Z54" s="253"/>
      <c r="AA54" s="253"/>
      <c r="AB54" s="253"/>
      <c r="AC54" s="253"/>
      <c r="AD54" s="253"/>
      <c r="AE54" s="253"/>
      <c r="AF54" s="253"/>
      <c r="AG54" s="253"/>
      <c r="AH54" s="253"/>
      <c r="AI54" s="253"/>
      <c r="AJ54" s="253"/>
      <c r="AK54" s="253"/>
      <c r="AL54" s="255"/>
      <c r="AM54" s="253"/>
      <c r="AN54" s="253"/>
      <c r="AO54" s="253"/>
      <c r="AP54" s="253"/>
      <c r="AQ54" s="253"/>
      <c r="AR54" s="255"/>
      <c r="AS54" s="255"/>
      <c r="AT54" s="255"/>
      <c r="AU54" s="255"/>
      <c r="AV54" s="255"/>
      <c r="AW54" s="255"/>
      <c r="AX54" s="255"/>
      <c r="AZ54" s="223" t="str">
        <f t="shared" si="5"/>
        <v/>
      </c>
      <c r="BA54" s="223" t="str">
        <f t="shared" si="6"/>
        <v/>
      </c>
      <c r="BB54" s="223">
        <f t="shared" si="7"/>
        <v>0</v>
      </c>
      <c r="BC54" s="223" t="str">
        <f t="shared" si="8"/>
        <v/>
      </c>
      <c r="BE54" s="199" t="str">
        <f t="shared" si="20"/>
        <v/>
      </c>
      <c r="BF54" s="27"/>
      <c r="BG54" s="200">
        <f t="shared" si="21"/>
        <v>0</v>
      </c>
      <c r="BH54" s="200"/>
      <c r="BI54" s="226"/>
      <c r="BJ54" s="228"/>
      <c r="BK54" s="226"/>
      <c r="BL54" s="228"/>
      <c r="BM54" s="226"/>
      <c r="BN54" s="228"/>
      <c r="BO54" s="226"/>
      <c r="BP54" s="228"/>
      <c r="BQ54" s="227">
        <f t="shared" si="22"/>
        <v>0</v>
      </c>
      <c r="BS54" s="241">
        <f t="shared" si="23"/>
        <v>0</v>
      </c>
      <c r="BT54" s="225">
        <f t="shared" si="24"/>
        <v>0</v>
      </c>
      <c r="BU54" s="224">
        <f t="shared" si="25"/>
        <v>0</v>
      </c>
      <c r="BV54" s="224">
        <f t="shared" si="26"/>
        <v>0</v>
      </c>
      <c r="BW54" s="243">
        <f t="shared" si="27"/>
        <v>0</v>
      </c>
      <c r="BX54" s="214"/>
      <c r="BY54" s="199">
        <f t="shared" si="28"/>
        <v>0</v>
      </c>
      <c r="BZ54" s="199"/>
      <c r="CA54" s="247">
        <f t="shared" si="29"/>
        <v>0</v>
      </c>
      <c r="CB54" s="11" t="s">
        <v>258</v>
      </c>
    </row>
    <row r="55" spans="2:80" ht="15.75" thickBot="1" x14ac:dyDescent="0.3">
      <c r="B55" s="252"/>
      <c r="D55" s="218" t="str">
        <f>IFERROR(VLOOKUP(B55,'DATOS GRALES 1'!$B$2:$E$91,4,0),"")</f>
        <v/>
      </c>
      <c r="E55" s="251">
        <f t="shared" si="18"/>
        <v>0</v>
      </c>
      <c r="F55" s="220">
        <f t="shared" si="19"/>
        <v>0</v>
      </c>
      <c r="H55" s="253"/>
      <c r="I55" s="253"/>
      <c r="J55" s="253"/>
      <c r="K55" s="253"/>
      <c r="L55" s="253"/>
      <c r="M55" s="253"/>
      <c r="N55" s="253"/>
      <c r="O55" s="253"/>
      <c r="P55" s="253"/>
      <c r="Q55" s="253"/>
      <c r="R55" s="253"/>
      <c r="S55" s="253"/>
      <c r="T55" s="253"/>
      <c r="U55" s="253"/>
      <c r="V55" s="253"/>
      <c r="W55" s="253"/>
      <c r="X55" s="253"/>
      <c r="Y55" s="253"/>
      <c r="Z55" s="253"/>
      <c r="AA55" s="253"/>
      <c r="AB55" s="253"/>
      <c r="AC55" s="253"/>
      <c r="AD55" s="253"/>
      <c r="AE55" s="253"/>
      <c r="AF55" s="253"/>
      <c r="AG55" s="253"/>
      <c r="AH55" s="253"/>
      <c r="AI55" s="253"/>
      <c r="AJ55" s="253"/>
      <c r="AK55" s="253"/>
      <c r="AL55" s="255"/>
      <c r="AM55" s="253"/>
      <c r="AN55" s="253"/>
      <c r="AO55" s="253"/>
      <c r="AP55" s="253"/>
      <c r="AQ55" s="253"/>
      <c r="AR55" s="255"/>
      <c r="AS55" s="255"/>
      <c r="AT55" s="255"/>
      <c r="AU55" s="255"/>
      <c r="AV55" s="255"/>
      <c r="AW55" s="255"/>
      <c r="AX55" s="255"/>
      <c r="AZ55" s="223" t="str">
        <f t="shared" si="5"/>
        <v/>
      </c>
      <c r="BA55" s="223" t="str">
        <f t="shared" si="6"/>
        <v/>
      </c>
      <c r="BB55" s="223">
        <f t="shared" si="7"/>
        <v>0</v>
      </c>
      <c r="BC55" s="223" t="str">
        <f t="shared" si="8"/>
        <v/>
      </c>
      <c r="BE55" s="199" t="str">
        <f t="shared" si="20"/>
        <v/>
      </c>
      <c r="BF55" s="27"/>
      <c r="BG55" s="200">
        <f t="shared" si="21"/>
        <v>0</v>
      </c>
      <c r="BH55" s="200"/>
      <c r="BI55" s="226"/>
      <c r="BJ55" s="228"/>
      <c r="BK55" s="226"/>
      <c r="BL55" s="228"/>
      <c r="BM55" s="226"/>
      <c r="BN55" s="228"/>
      <c r="BO55" s="226"/>
      <c r="BP55" s="228"/>
      <c r="BQ55" s="227">
        <f t="shared" si="22"/>
        <v>0</v>
      </c>
      <c r="BS55" s="241">
        <f t="shared" si="23"/>
        <v>0</v>
      </c>
      <c r="BT55" s="225">
        <f t="shared" si="24"/>
        <v>0</v>
      </c>
      <c r="BU55" s="224">
        <f t="shared" si="25"/>
        <v>0</v>
      </c>
      <c r="BV55" s="224">
        <f t="shared" si="26"/>
        <v>0</v>
      </c>
      <c r="BW55" s="243">
        <f t="shared" si="27"/>
        <v>0</v>
      </c>
      <c r="BX55" s="214"/>
      <c r="BY55" s="199">
        <f t="shared" si="28"/>
        <v>0</v>
      </c>
      <c r="BZ55" s="199"/>
      <c r="CA55" s="247">
        <f t="shared" si="29"/>
        <v>0</v>
      </c>
      <c r="CB55" s="11" t="s">
        <v>258</v>
      </c>
    </row>
    <row r="56" spans="2:80" ht="15.75" thickBot="1" x14ac:dyDescent="0.3">
      <c r="B56" s="252"/>
      <c r="D56" s="218" t="str">
        <f>IFERROR(VLOOKUP(B56,'DATOS GRALES 1'!$B$2:$E$91,4,0),"")</f>
        <v/>
      </c>
      <c r="E56" s="251">
        <f t="shared" si="18"/>
        <v>0</v>
      </c>
      <c r="F56" s="220">
        <f t="shared" si="19"/>
        <v>0</v>
      </c>
      <c r="H56" s="253"/>
      <c r="I56" s="253"/>
      <c r="J56" s="253"/>
      <c r="K56" s="253"/>
      <c r="L56" s="253"/>
      <c r="M56" s="253"/>
      <c r="N56" s="253"/>
      <c r="O56" s="253"/>
      <c r="P56" s="253"/>
      <c r="Q56" s="253"/>
      <c r="R56" s="253"/>
      <c r="S56" s="253"/>
      <c r="T56" s="253"/>
      <c r="U56" s="253"/>
      <c r="V56" s="253"/>
      <c r="W56" s="253"/>
      <c r="X56" s="253"/>
      <c r="Y56" s="253"/>
      <c r="Z56" s="253"/>
      <c r="AA56" s="253"/>
      <c r="AB56" s="253"/>
      <c r="AC56" s="253"/>
      <c r="AD56" s="253"/>
      <c r="AE56" s="253"/>
      <c r="AF56" s="253"/>
      <c r="AG56" s="253"/>
      <c r="AH56" s="253"/>
      <c r="AI56" s="253"/>
      <c r="AJ56" s="253"/>
      <c r="AK56" s="253"/>
      <c r="AL56" s="255"/>
      <c r="AM56" s="253"/>
      <c r="AN56" s="253"/>
      <c r="AO56" s="253"/>
      <c r="AP56" s="253"/>
      <c r="AQ56" s="253"/>
      <c r="AR56" s="255"/>
      <c r="AS56" s="255"/>
      <c r="AT56" s="255"/>
      <c r="AU56" s="255"/>
      <c r="AV56" s="255"/>
      <c r="AW56" s="255"/>
      <c r="AX56" s="255"/>
      <c r="AZ56" s="223" t="str">
        <f t="shared" si="5"/>
        <v/>
      </c>
      <c r="BA56" s="223" t="str">
        <f t="shared" si="6"/>
        <v/>
      </c>
      <c r="BB56" s="223">
        <f t="shared" si="7"/>
        <v>0</v>
      </c>
      <c r="BC56" s="223" t="str">
        <f t="shared" si="8"/>
        <v/>
      </c>
      <c r="BE56" s="199" t="str">
        <f t="shared" si="20"/>
        <v/>
      </c>
      <c r="BF56" s="27"/>
      <c r="BG56" s="200">
        <f t="shared" si="21"/>
        <v>0</v>
      </c>
      <c r="BH56" s="200"/>
      <c r="BI56" s="226"/>
      <c r="BJ56" s="228"/>
      <c r="BK56" s="226"/>
      <c r="BL56" s="228"/>
      <c r="BM56" s="226"/>
      <c r="BN56" s="228"/>
      <c r="BO56" s="226"/>
      <c r="BP56" s="228"/>
      <c r="BQ56" s="227">
        <f t="shared" si="22"/>
        <v>0</v>
      </c>
      <c r="BS56" s="241">
        <f t="shared" si="23"/>
        <v>0</v>
      </c>
      <c r="BT56" s="225">
        <f t="shared" si="24"/>
        <v>0</v>
      </c>
      <c r="BU56" s="224">
        <f t="shared" si="25"/>
        <v>0</v>
      </c>
      <c r="BV56" s="224">
        <f t="shared" si="26"/>
        <v>0</v>
      </c>
      <c r="BW56" s="243">
        <f t="shared" si="27"/>
        <v>0</v>
      </c>
      <c r="BX56" s="214"/>
      <c r="BY56" s="199">
        <f t="shared" si="28"/>
        <v>0</v>
      </c>
      <c r="BZ56" s="199"/>
      <c r="CA56" s="247">
        <f t="shared" si="29"/>
        <v>0</v>
      </c>
      <c r="CB56" s="11" t="s">
        <v>258</v>
      </c>
    </row>
    <row r="57" spans="2:80" ht="15.75" thickBot="1" x14ac:dyDescent="0.3">
      <c r="B57" s="252"/>
      <c r="D57" s="218" t="str">
        <f>IFERROR(VLOOKUP(B57,'DATOS GRALES 1'!$B$2:$E$91,4,0),"")</f>
        <v/>
      </c>
      <c r="E57" s="251">
        <f t="shared" si="18"/>
        <v>0</v>
      </c>
      <c r="F57" s="220">
        <f t="shared" si="19"/>
        <v>0</v>
      </c>
      <c r="H57" s="253"/>
      <c r="I57" s="253"/>
      <c r="J57" s="253"/>
      <c r="K57" s="253"/>
      <c r="L57" s="253"/>
      <c r="M57" s="253"/>
      <c r="N57" s="253"/>
      <c r="O57" s="253"/>
      <c r="P57" s="253"/>
      <c r="Q57" s="253"/>
      <c r="R57" s="253"/>
      <c r="S57" s="253"/>
      <c r="T57" s="253"/>
      <c r="U57" s="253"/>
      <c r="V57" s="253"/>
      <c r="W57" s="253"/>
      <c r="X57" s="253"/>
      <c r="Y57" s="253"/>
      <c r="Z57" s="253"/>
      <c r="AA57" s="253"/>
      <c r="AB57" s="253"/>
      <c r="AC57" s="253"/>
      <c r="AD57" s="253"/>
      <c r="AE57" s="253"/>
      <c r="AF57" s="253"/>
      <c r="AG57" s="253"/>
      <c r="AH57" s="253"/>
      <c r="AI57" s="253"/>
      <c r="AJ57" s="253"/>
      <c r="AK57" s="253"/>
      <c r="AL57" s="255"/>
      <c r="AM57" s="253"/>
      <c r="AN57" s="253"/>
      <c r="AO57" s="253"/>
      <c r="AP57" s="253"/>
      <c r="AQ57" s="253"/>
      <c r="AR57" s="255"/>
      <c r="AS57" s="255"/>
      <c r="AT57" s="255"/>
      <c r="AU57" s="255"/>
      <c r="AV57" s="255"/>
      <c r="AW57" s="255"/>
      <c r="AX57" s="255"/>
      <c r="AZ57" s="223" t="str">
        <f t="shared" si="5"/>
        <v/>
      </c>
      <c r="BA57" s="223" t="str">
        <f t="shared" si="6"/>
        <v/>
      </c>
      <c r="BB57" s="223">
        <f t="shared" si="7"/>
        <v>0</v>
      </c>
      <c r="BC57" s="223" t="str">
        <f t="shared" si="8"/>
        <v/>
      </c>
      <c r="BE57" s="199" t="str">
        <f t="shared" si="20"/>
        <v/>
      </c>
      <c r="BF57" s="27"/>
      <c r="BG57" s="200">
        <f t="shared" si="21"/>
        <v>0</v>
      </c>
      <c r="BH57" s="200"/>
      <c r="BI57" s="226"/>
      <c r="BJ57" s="228"/>
      <c r="BK57" s="226"/>
      <c r="BL57" s="228"/>
      <c r="BM57" s="226"/>
      <c r="BN57" s="228"/>
      <c r="BO57" s="226"/>
      <c r="BP57" s="228"/>
      <c r="BQ57" s="227">
        <f t="shared" si="22"/>
        <v>0</v>
      </c>
      <c r="BS57" s="241">
        <f t="shared" si="23"/>
        <v>0</v>
      </c>
      <c r="BT57" s="225">
        <f t="shared" si="24"/>
        <v>0</v>
      </c>
      <c r="BU57" s="224">
        <f t="shared" si="25"/>
        <v>0</v>
      </c>
      <c r="BV57" s="224">
        <f t="shared" si="26"/>
        <v>0</v>
      </c>
      <c r="BW57" s="243">
        <f t="shared" si="27"/>
        <v>0</v>
      </c>
      <c r="BX57" s="214"/>
      <c r="BY57" s="199">
        <f t="shared" si="28"/>
        <v>0</v>
      </c>
      <c r="BZ57" s="199"/>
      <c r="CA57" s="247">
        <f t="shared" si="29"/>
        <v>0</v>
      </c>
      <c r="CB57" s="11" t="s">
        <v>258</v>
      </c>
    </row>
    <row r="58" spans="2:80" ht="15.75" thickBot="1" x14ac:dyDescent="0.3">
      <c r="B58" s="252"/>
      <c r="D58" s="218" t="str">
        <f>IFERROR(VLOOKUP(B58,'DATOS GRALES 1'!$B$2:$E$91,4,0),"")</f>
        <v/>
      </c>
      <c r="E58" s="251">
        <f t="shared" si="18"/>
        <v>0</v>
      </c>
      <c r="F58" s="220">
        <f t="shared" si="19"/>
        <v>0</v>
      </c>
      <c r="H58" s="253"/>
      <c r="I58" s="253"/>
      <c r="J58" s="253"/>
      <c r="K58" s="253"/>
      <c r="L58" s="253"/>
      <c r="M58" s="253"/>
      <c r="N58" s="253"/>
      <c r="O58" s="253"/>
      <c r="P58" s="253"/>
      <c r="Q58" s="253"/>
      <c r="R58" s="253"/>
      <c r="S58" s="253"/>
      <c r="T58" s="253"/>
      <c r="U58" s="253"/>
      <c r="V58" s="253"/>
      <c r="W58" s="253"/>
      <c r="X58" s="253"/>
      <c r="Y58" s="253"/>
      <c r="Z58" s="253"/>
      <c r="AA58" s="253"/>
      <c r="AB58" s="253"/>
      <c r="AC58" s="253"/>
      <c r="AD58" s="253"/>
      <c r="AE58" s="253"/>
      <c r="AF58" s="253"/>
      <c r="AG58" s="253"/>
      <c r="AH58" s="253"/>
      <c r="AI58" s="253"/>
      <c r="AJ58" s="253"/>
      <c r="AK58" s="253"/>
      <c r="AL58" s="255"/>
      <c r="AM58" s="253"/>
      <c r="AN58" s="253"/>
      <c r="AO58" s="253"/>
      <c r="AP58" s="253"/>
      <c r="AQ58" s="253"/>
      <c r="AR58" s="255"/>
      <c r="AS58" s="255"/>
      <c r="AT58" s="255"/>
      <c r="AU58" s="255"/>
      <c r="AV58" s="255"/>
      <c r="AW58" s="255"/>
      <c r="AX58" s="255"/>
      <c r="AZ58" s="223" t="str">
        <f t="shared" si="5"/>
        <v/>
      </c>
      <c r="BA58" s="223" t="str">
        <f t="shared" si="6"/>
        <v/>
      </c>
      <c r="BB58" s="223">
        <f t="shared" si="7"/>
        <v>0</v>
      </c>
      <c r="BC58" s="223" t="str">
        <f t="shared" si="8"/>
        <v/>
      </c>
      <c r="BE58" s="199" t="str">
        <f t="shared" si="20"/>
        <v/>
      </c>
      <c r="BF58" s="27"/>
      <c r="BG58" s="200">
        <f t="shared" si="21"/>
        <v>0</v>
      </c>
      <c r="BH58" s="200"/>
      <c r="BI58" s="226"/>
      <c r="BJ58" s="228"/>
      <c r="BK58" s="226"/>
      <c r="BL58" s="228"/>
      <c r="BM58" s="226"/>
      <c r="BN58" s="228"/>
      <c r="BO58" s="226"/>
      <c r="BP58" s="228"/>
      <c r="BQ58" s="227">
        <f t="shared" si="22"/>
        <v>0</v>
      </c>
      <c r="BS58" s="241">
        <f t="shared" si="23"/>
        <v>0</v>
      </c>
      <c r="BT58" s="225">
        <f t="shared" si="24"/>
        <v>0</v>
      </c>
      <c r="BU58" s="224">
        <f t="shared" si="25"/>
        <v>0</v>
      </c>
      <c r="BV58" s="224">
        <f t="shared" si="26"/>
        <v>0</v>
      </c>
      <c r="BW58" s="243">
        <f t="shared" si="27"/>
        <v>0</v>
      </c>
      <c r="BX58" s="214"/>
      <c r="BY58" s="199">
        <f t="shared" si="28"/>
        <v>0</v>
      </c>
      <c r="BZ58" s="199"/>
      <c r="CA58" s="247">
        <f t="shared" si="29"/>
        <v>0</v>
      </c>
      <c r="CB58" s="11" t="s">
        <v>258</v>
      </c>
    </row>
    <row r="59" spans="2:80" ht="15.75" thickBot="1" x14ac:dyDescent="0.3">
      <c r="B59" s="252"/>
      <c r="D59" s="218" t="str">
        <f>IFERROR(VLOOKUP(B59,'DATOS GRALES 1'!$B$2:$E$91,4,0),"")</f>
        <v/>
      </c>
      <c r="E59" s="251">
        <f t="shared" si="18"/>
        <v>0</v>
      </c>
      <c r="F59" s="220">
        <f t="shared" si="19"/>
        <v>0</v>
      </c>
      <c r="H59" s="253"/>
      <c r="I59" s="253"/>
      <c r="J59" s="253"/>
      <c r="K59" s="253"/>
      <c r="L59" s="253"/>
      <c r="M59" s="253"/>
      <c r="N59" s="253"/>
      <c r="O59" s="253"/>
      <c r="P59" s="253"/>
      <c r="Q59" s="253"/>
      <c r="R59" s="253"/>
      <c r="S59" s="253"/>
      <c r="T59" s="253"/>
      <c r="U59" s="253"/>
      <c r="V59" s="253"/>
      <c r="W59" s="253"/>
      <c r="X59" s="253"/>
      <c r="Y59" s="253"/>
      <c r="Z59" s="253"/>
      <c r="AA59" s="253"/>
      <c r="AB59" s="253"/>
      <c r="AC59" s="253"/>
      <c r="AD59" s="253"/>
      <c r="AE59" s="253"/>
      <c r="AF59" s="253"/>
      <c r="AG59" s="253"/>
      <c r="AH59" s="253"/>
      <c r="AI59" s="253"/>
      <c r="AJ59" s="253"/>
      <c r="AK59" s="253"/>
      <c r="AL59" s="255"/>
      <c r="AM59" s="253"/>
      <c r="AN59" s="253"/>
      <c r="AO59" s="253"/>
      <c r="AP59" s="253"/>
      <c r="AQ59" s="253"/>
      <c r="AR59" s="255"/>
      <c r="AS59" s="255"/>
      <c r="AT59" s="255"/>
      <c r="AU59" s="255"/>
      <c r="AV59" s="255"/>
      <c r="AW59" s="255"/>
      <c r="AX59" s="255"/>
      <c r="AZ59" s="223" t="str">
        <f t="shared" si="5"/>
        <v/>
      </c>
      <c r="BA59" s="223" t="str">
        <f t="shared" si="6"/>
        <v/>
      </c>
      <c r="BB59" s="223">
        <f t="shared" si="7"/>
        <v>0</v>
      </c>
      <c r="BC59" s="223" t="str">
        <f t="shared" si="8"/>
        <v/>
      </c>
      <c r="BE59" s="199" t="str">
        <f t="shared" si="20"/>
        <v/>
      </c>
      <c r="BF59" s="27"/>
      <c r="BG59" s="200">
        <f t="shared" si="21"/>
        <v>0</v>
      </c>
      <c r="BH59" s="200"/>
      <c r="BI59" s="226"/>
      <c r="BJ59" s="228"/>
      <c r="BK59" s="226"/>
      <c r="BL59" s="228"/>
      <c r="BM59" s="226"/>
      <c r="BN59" s="228"/>
      <c r="BO59" s="226"/>
      <c r="BP59" s="228"/>
      <c r="BQ59" s="227">
        <f t="shared" si="22"/>
        <v>0</v>
      </c>
      <c r="BS59" s="241">
        <f t="shared" si="23"/>
        <v>0</v>
      </c>
      <c r="BT59" s="225">
        <f t="shared" si="24"/>
        <v>0</v>
      </c>
      <c r="BU59" s="224">
        <f t="shared" si="25"/>
        <v>0</v>
      </c>
      <c r="BV59" s="224">
        <f t="shared" si="26"/>
        <v>0</v>
      </c>
      <c r="BW59" s="243">
        <f t="shared" si="27"/>
        <v>0</v>
      </c>
      <c r="BX59" s="214"/>
      <c r="BY59" s="199">
        <f t="shared" si="28"/>
        <v>0</v>
      </c>
      <c r="BZ59" s="199"/>
      <c r="CA59" s="247">
        <f t="shared" si="29"/>
        <v>0</v>
      </c>
      <c r="CB59" s="11" t="s">
        <v>258</v>
      </c>
    </row>
    <row r="60" spans="2:80" ht="15.75" thickBot="1" x14ac:dyDescent="0.3">
      <c r="B60" s="252"/>
      <c r="D60" s="218" t="str">
        <f>IFERROR(VLOOKUP(B60,'DATOS GRALES 1'!$B$2:$E$91,4,0),"")</f>
        <v/>
      </c>
      <c r="E60" s="251">
        <f t="shared" si="18"/>
        <v>0</v>
      </c>
      <c r="F60" s="220">
        <f t="shared" si="19"/>
        <v>0</v>
      </c>
      <c r="H60" s="253"/>
      <c r="I60" s="253"/>
      <c r="J60" s="253"/>
      <c r="K60" s="253"/>
      <c r="L60" s="253"/>
      <c r="M60" s="253"/>
      <c r="N60" s="253"/>
      <c r="O60" s="253"/>
      <c r="P60" s="253"/>
      <c r="Q60" s="253"/>
      <c r="R60" s="253"/>
      <c r="S60" s="253"/>
      <c r="T60" s="253"/>
      <c r="U60" s="253"/>
      <c r="V60" s="253"/>
      <c r="W60" s="253"/>
      <c r="X60" s="253"/>
      <c r="Y60" s="253"/>
      <c r="Z60" s="253"/>
      <c r="AA60" s="253"/>
      <c r="AB60" s="253"/>
      <c r="AC60" s="253"/>
      <c r="AD60" s="253"/>
      <c r="AE60" s="253"/>
      <c r="AF60" s="253"/>
      <c r="AG60" s="253"/>
      <c r="AH60" s="253"/>
      <c r="AI60" s="253"/>
      <c r="AJ60" s="253"/>
      <c r="AK60" s="253"/>
      <c r="AL60" s="255"/>
      <c r="AM60" s="253"/>
      <c r="AN60" s="253"/>
      <c r="AO60" s="253"/>
      <c r="AP60" s="253"/>
      <c r="AQ60" s="253"/>
      <c r="AR60" s="255"/>
      <c r="AS60" s="255"/>
      <c r="AT60" s="255"/>
      <c r="AU60" s="255"/>
      <c r="AV60" s="255"/>
      <c r="AW60" s="255"/>
      <c r="AX60" s="255"/>
      <c r="AZ60" s="223" t="str">
        <f t="shared" si="5"/>
        <v/>
      </c>
      <c r="BA60" s="223" t="str">
        <f t="shared" si="6"/>
        <v/>
      </c>
      <c r="BB60" s="223">
        <f t="shared" si="7"/>
        <v>0</v>
      </c>
      <c r="BC60" s="223" t="str">
        <f t="shared" si="8"/>
        <v/>
      </c>
      <c r="BE60" s="199" t="str">
        <f t="shared" si="20"/>
        <v/>
      </c>
      <c r="BF60" s="27"/>
      <c r="BG60" s="200">
        <f t="shared" si="21"/>
        <v>0</v>
      </c>
      <c r="BH60" s="200"/>
      <c r="BI60" s="226"/>
      <c r="BJ60" s="228"/>
      <c r="BK60" s="226"/>
      <c r="BL60" s="228"/>
      <c r="BM60" s="226"/>
      <c r="BN60" s="228"/>
      <c r="BO60" s="226"/>
      <c r="BP60" s="228"/>
      <c r="BQ60" s="227">
        <f t="shared" si="22"/>
        <v>0</v>
      </c>
      <c r="BS60" s="241">
        <f t="shared" si="23"/>
        <v>0</v>
      </c>
      <c r="BT60" s="225">
        <f t="shared" si="24"/>
        <v>0</v>
      </c>
      <c r="BU60" s="224">
        <f t="shared" si="25"/>
        <v>0</v>
      </c>
      <c r="BV60" s="224">
        <f t="shared" si="26"/>
        <v>0</v>
      </c>
      <c r="BW60" s="243">
        <f t="shared" si="27"/>
        <v>0</v>
      </c>
      <c r="BX60" s="214"/>
      <c r="BY60" s="199">
        <f t="shared" si="28"/>
        <v>0</v>
      </c>
      <c r="BZ60" s="199"/>
      <c r="CA60" s="247">
        <f t="shared" si="29"/>
        <v>0</v>
      </c>
      <c r="CB60" s="11" t="s">
        <v>258</v>
      </c>
    </row>
    <row r="61" spans="2:80" ht="15.75" thickBot="1" x14ac:dyDescent="0.3">
      <c r="B61" s="252"/>
      <c r="D61" s="218" t="str">
        <f>IFERROR(VLOOKUP(B61,'DATOS GRALES 1'!$B$2:$E$91,4,0),"")</f>
        <v/>
      </c>
      <c r="E61" s="251">
        <f t="shared" si="18"/>
        <v>0</v>
      </c>
      <c r="F61" s="220">
        <f t="shared" si="19"/>
        <v>0</v>
      </c>
      <c r="H61" s="253"/>
      <c r="I61" s="253"/>
      <c r="J61" s="253"/>
      <c r="K61" s="253"/>
      <c r="L61" s="253"/>
      <c r="M61" s="253"/>
      <c r="N61" s="253"/>
      <c r="O61" s="253"/>
      <c r="P61" s="253"/>
      <c r="Q61" s="253"/>
      <c r="R61" s="253"/>
      <c r="S61" s="253"/>
      <c r="T61" s="253"/>
      <c r="U61" s="253"/>
      <c r="V61" s="253"/>
      <c r="W61" s="253"/>
      <c r="X61" s="253"/>
      <c r="Y61" s="253"/>
      <c r="Z61" s="253"/>
      <c r="AA61" s="253"/>
      <c r="AB61" s="253"/>
      <c r="AC61" s="253"/>
      <c r="AD61" s="253"/>
      <c r="AE61" s="253"/>
      <c r="AF61" s="253"/>
      <c r="AG61" s="253"/>
      <c r="AH61" s="253"/>
      <c r="AI61" s="253"/>
      <c r="AJ61" s="253"/>
      <c r="AK61" s="253"/>
      <c r="AL61" s="255"/>
      <c r="AM61" s="253"/>
      <c r="AN61" s="253"/>
      <c r="AO61" s="253"/>
      <c r="AP61" s="253"/>
      <c r="AQ61" s="253"/>
      <c r="AR61" s="255"/>
      <c r="AS61" s="255"/>
      <c r="AT61" s="255"/>
      <c r="AU61" s="255"/>
      <c r="AV61" s="255"/>
      <c r="AW61" s="255"/>
      <c r="AX61" s="255"/>
      <c r="AZ61" s="223" t="str">
        <f t="shared" si="5"/>
        <v/>
      </c>
      <c r="BA61" s="223" t="str">
        <f t="shared" si="6"/>
        <v/>
      </c>
      <c r="BB61" s="223">
        <f t="shared" si="7"/>
        <v>0</v>
      </c>
      <c r="BC61" s="223" t="str">
        <f t="shared" si="8"/>
        <v/>
      </c>
      <c r="BE61" s="199" t="str">
        <f t="shared" si="20"/>
        <v/>
      </c>
      <c r="BF61" s="27"/>
      <c r="BG61" s="200">
        <f t="shared" si="21"/>
        <v>0</v>
      </c>
      <c r="BH61" s="200"/>
      <c r="BI61" s="226"/>
      <c r="BJ61" s="228"/>
      <c r="BK61" s="226"/>
      <c r="BL61" s="228"/>
      <c r="BM61" s="226"/>
      <c r="BN61" s="228"/>
      <c r="BO61" s="226"/>
      <c r="BP61" s="228"/>
      <c r="BQ61" s="227">
        <f>BJ61+BL61+BN61+BP61</f>
        <v>0</v>
      </c>
      <c r="BS61" s="241">
        <f t="shared" si="23"/>
        <v>0</v>
      </c>
      <c r="BT61" s="225">
        <f t="shared" si="24"/>
        <v>0</v>
      </c>
      <c r="BU61" s="224">
        <f t="shared" si="25"/>
        <v>0</v>
      </c>
      <c r="BV61" s="224">
        <f t="shared" si="26"/>
        <v>0</v>
      </c>
      <c r="BW61" s="244">
        <f t="shared" si="27"/>
        <v>0</v>
      </c>
      <c r="BX61" s="214"/>
      <c r="BY61" s="199">
        <f t="shared" si="28"/>
        <v>0</v>
      </c>
      <c r="BZ61" s="199"/>
      <c r="CA61" s="247">
        <f t="shared" si="29"/>
        <v>0</v>
      </c>
      <c r="CB61" s="11" t="s">
        <v>258</v>
      </c>
    </row>
    <row r="62" spans="2:80" ht="15.75" thickTop="1" x14ac:dyDescent="0.25">
      <c r="BG62" s="200"/>
      <c r="BH62" s="200"/>
    </row>
  </sheetData>
  <conditionalFormatting sqref="H11:AK11">
    <cfRule type="expression" dxfId="6" priority="3">
      <formula>WEEKDAY(_FECHAINICIAL3,2)&gt;WEEKDAY(_FECHASIGUIENTE3,2)</formula>
    </cfRule>
  </conditionalFormatting>
  <conditionalFormatting sqref="H10:AX10">
    <cfRule type="expression" dxfId="5" priority="1">
      <formula>MONTH(DICIEMBRE)=MONTH($D$2&amp;1)</formula>
    </cfRule>
  </conditionalFormatting>
  <conditionalFormatting sqref="H12:AX61">
    <cfRule type="expression" dxfId="4" priority="2">
      <formula>WEEKDAY(_FECHAINICIAL3,2)&gt;WEEKDAY(_FECHASIGUIENTE3,2)</formula>
    </cfRule>
    <cfRule type="containsText" dxfId="3" priority="4" operator="containsText" text="MED">
      <formula>NOT(ISERROR(SEARCH("MED",H12)))</formula>
    </cfRule>
    <cfRule type="containsText" dxfId="2" priority="5" operator="containsText" text="NO">
      <formula>NOT(ISERROR(SEARCH("NO",H12)))</formula>
    </cfRule>
    <cfRule type="containsText" dxfId="1" priority="6" operator="containsText" text="SI">
      <formula>NOT(ISERROR(SEARCH("SI",H12)))</formula>
    </cfRule>
  </conditionalFormatting>
  <conditionalFormatting sqref="H10:AY10">
    <cfRule type="expression" dxfId="0" priority="8">
      <formula>MONTH(_FECHAINICIAL3)=MONTH($B$2&amp;1)</formula>
    </cfRule>
  </conditionalFormatting>
  <dataValidations disablePrompts="1" count="1">
    <dataValidation type="list" allowBlank="1" showInputMessage="1" showErrorMessage="1" sqref="B2:C2" xr:uid="{928F2390-B174-4928-8D6A-80EDB728A7BA}">
      <formula1>"ENERO, FEBRERO, MARZO, ABRIL, MAYO, JUNIO, JULIO, AGOSTO, SETIEMBRE, OCTUBRE, NOVIEMBRE, DICEMBRE"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DCC9BF17-30EF-4738-985D-1B887A443D38}">
          <x14:formula1>
            <xm:f>'DATOS GRALES 1'!$B$2:$B$91</xm:f>
          </x14:formula1>
          <xm:sqref>B12:B19 B21:B61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34</vt:i4>
      </vt:variant>
    </vt:vector>
  </HeadingPairs>
  <TitlesOfParts>
    <vt:vector size="48" baseType="lpstr">
      <vt:lpstr>DATOS GRALES</vt:lpstr>
      <vt:lpstr>DATOS GRALES 1</vt:lpstr>
      <vt:lpstr>Hoja1</vt:lpstr>
      <vt:lpstr>CONTROL ASISTENCIA</vt:lpstr>
      <vt:lpstr>FORMATO</vt:lpstr>
      <vt:lpstr>TAREO HORAS EXTRAS</vt:lpstr>
      <vt:lpstr>formulas</vt:lpstr>
      <vt:lpstr>ASISTENCIA KRAMER1</vt:lpstr>
      <vt:lpstr>MESES</vt:lpstr>
      <vt:lpstr>ASISTENCIA 2 (2)</vt:lpstr>
      <vt:lpstr>ASISTENCIA OCTUBRE</vt:lpstr>
      <vt:lpstr>SET - OCT</vt:lpstr>
      <vt:lpstr>OCT - NOV</vt:lpstr>
      <vt:lpstr>NOV - DIC</vt:lpstr>
      <vt:lpstr>'ASISTENCIA 2 (2)'!_Datos</vt:lpstr>
      <vt:lpstr>'ASISTENCIA OCTUBRE'!_Datos</vt:lpstr>
      <vt:lpstr>'TAREO HORAS EXTRAS'!_Datos</vt:lpstr>
      <vt:lpstr>'SET - OCT'!_Fechafinal</vt:lpstr>
      <vt:lpstr>'ASISTENCIA 2 (2)'!_Fechainicial</vt:lpstr>
      <vt:lpstr>'ASISTENCIA OCTUBRE'!_Fechainicial</vt:lpstr>
      <vt:lpstr>'TAREO HORAS EXTRAS'!_Fechainicial</vt:lpstr>
      <vt:lpstr>'OCT - NOV'!_Fechainicial1</vt:lpstr>
      <vt:lpstr>'SET - OCT'!_Fechainicial1</vt:lpstr>
      <vt:lpstr>'NOV - DIC'!_FECHAINICIAL2</vt:lpstr>
      <vt:lpstr>'OCT - NOV'!_FECHAINICIAL2</vt:lpstr>
      <vt:lpstr>'NOV - DIC'!_FECHAINICIAL3</vt:lpstr>
      <vt:lpstr>'ASISTENCIA 2 (2)'!_FechaSiguiente</vt:lpstr>
      <vt:lpstr>'ASISTENCIA OCTUBRE'!_FechaSiguiente</vt:lpstr>
      <vt:lpstr>'OCT - NOV'!_Fechasiguiente</vt:lpstr>
      <vt:lpstr>'SET - OCT'!_Fechasiguiente</vt:lpstr>
      <vt:lpstr>'TAREO HORAS EXTRAS'!_FechaSiguiente</vt:lpstr>
      <vt:lpstr>'NOV - DIC'!_FECHASIGUIENTE2</vt:lpstr>
      <vt:lpstr>'OCT - NOV'!_FECHASIGUIENTE2</vt:lpstr>
      <vt:lpstr>'NOV - DIC'!_FECHASIGUIENTE3</vt:lpstr>
      <vt:lpstr>'ASISTENCIA 2 (2)'!_HorasExtras</vt:lpstr>
      <vt:lpstr>'ASISTENCIA OCTUBRE'!_HorasExtras</vt:lpstr>
      <vt:lpstr>'TAREO HORAS EXTRAS'!_HorasExtras</vt:lpstr>
      <vt:lpstr>'TAREO HORAS EXTRAS'!_NOMBRES</vt:lpstr>
      <vt:lpstr>'ASISTENCIA 2 (2)'!_PorEncimade</vt:lpstr>
      <vt:lpstr>'ASISTENCIA OCTUBRE'!_PorEncimade</vt:lpstr>
      <vt:lpstr>'TAREO HORAS EXTRAS'!_PorEncimade</vt:lpstr>
      <vt:lpstr>'ASISTENCIA 2 (2)'!LMeses</vt:lpstr>
      <vt:lpstr>'ASISTENCIA OCTUBRE'!LMeses</vt:lpstr>
      <vt:lpstr>LMeses</vt:lpstr>
      <vt:lpstr>'ASISTENCIA 2 (2)'!nFestivos</vt:lpstr>
      <vt:lpstr>'ASISTENCIA OCTUBRE'!nFestivos</vt:lpstr>
      <vt:lpstr>nFestivos</vt:lpstr>
      <vt:lpstr>'CONTROL ASISTENCIA'!Títulos_a_imprimir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Acosta Rojas</dc:creator>
  <cp:lastModifiedBy>Marcell Reynoso</cp:lastModifiedBy>
  <cp:lastPrinted>2025-09-23T13:30:59Z</cp:lastPrinted>
  <dcterms:created xsi:type="dcterms:W3CDTF">2025-08-25T14:55:44Z</dcterms:created>
  <dcterms:modified xsi:type="dcterms:W3CDTF">2025-12-23T20:55:00Z</dcterms:modified>
</cp:coreProperties>
</file>