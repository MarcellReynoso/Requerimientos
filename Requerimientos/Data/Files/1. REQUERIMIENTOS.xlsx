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slicers/slicer2.xml" ContentType="application/vnd.ms-excel.slicer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569585CBA11AF01/LOGISTICA 2025/"/>
    </mc:Choice>
  </mc:AlternateContent>
  <xr:revisionPtr revIDLastSave="3904" documentId="8_{4C2D8D60-4972-4546-9454-655667CBF440}" xr6:coauthVersionLast="47" xr6:coauthVersionMax="47" xr10:uidLastSave="{A907EFE7-D50D-4CF6-8F46-0E4022AB67CC}"/>
  <bookViews>
    <workbookView xWindow="28680" yWindow="-120" windowWidth="29040" windowHeight="15840" firstSheet="1" activeTab="3" xr2:uid="{06035BED-0B9B-4B3A-AF3B-B4E7A6B8637E}"/>
  </bookViews>
  <sheets>
    <sheet name="REQUERIMIENTO" sheetId="1" state="hidden" r:id="rId1"/>
    <sheet name="REQUERIMIENTO TABLA" sheetId="4" r:id="rId2"/>
    <sheet name="F. REQUE" sheetId="3" state="hidden" r:id="rId3"/>
    <sheet name="FORMATO REQUERIMIENTO" sheetId="6" r:id="rId4"/>
    <sheet name="COMPRAS" sheetId="7" r:id="rId5"/>
    <sheet name="TABLAS DATOS" sheetId="8" r:id="rId6"/>
    <sheet name="PROVEEDORES" sheetId="9" r:id="rId7"/>
    <sheet name="TABLAS" sheetId="2" state="hidden" r:id="rId8"/>
  </sheets>
  <definedNames>
    <definedName name="_xlnm.Print_Area" localSheetId="4">COMPRAS!$A$1:$L$49</definedName>
    <definedName name="_xlnm.Print_Area" localSheetId="3">'FORMATO REQUERIMIENTO'!$A$1:$G$76</definedName>
    <definedName name="SegmentaciónDeDatos_FECHA">#N/A</definedName>
    <definedName name="SegmentaciónDeDatos_N°_REQUERIMIENTO">#N/A</definedName>
    <definedName name="SegmentaciónDeDatos_PROVEEDOR">#N/A</definedName>
    <definedName name="SegmentaciónDeDatos_QUIEN_COMPRO">#N/A</definedName>
    <definedName name="_xlnm.Print_Titles" localSheetId="2">'F. REQUE'!$1:$9</definedName>
    <definedName name="_xlnm.Print_Titles" localSheetId="3">'FORMATO REQUERIMIENTO'!$1:$8</definedName>
  </definedName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9"/>
        <x14:slicerCache r:id="rId10"/>
        <x14:slicerCache r:id="rId11"/>
        <x14:slicerCache r:id="rId12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6" i="7" l="1"/>
  <c r="B10" i="3" a="1"/>
  <c r="B10" i="3" s="1"/>
  <c r="K326" i="4"/>
  <c r="L326" i="4" s="1"/>
  <c r="K325" i="4"/>
  <c r="L325" i="4" s="1"/>
  <c r="K324" i="4"/>
  <c r="L324" i="4" s="1"/>
  <c r="K323" i="4"/>
  <c r="L323" i="4" s="1"/>
  <c r="K322" i="4"/>
  <c r="L322" i="4" s="1"/>
  <c r="K321" i="4" l="1"/>
  <c r="L321" i="4" s="1"/>
  <c r="K320" i="4"/>
  <c r="L320" i="4" s="1"/>
  <c r="K319" i="4"/>
  <c r="L319" i="4" s="1"/>
  <c r="K318" i="4"/>
  <c r="L318" i="4" s="1"/>
  <c r="K317" i="4"/>
  <c r="L317" i="4" s="1"/>
  <c r="K316" i="4"/>
  <c r="L316" i="4" s="1"/>
  <c r="K315" i="4"/>
  <c r="L315" i="4" s="1"/>
  <c r="K314" i="4"/>
  <c r="L314" i="4" s="1"/>
  <c r="K313" i="4"/>
  <c r="L313" i="4" s="1"/>
  <c r="K312" i="4"/>
  <c r="L312" i="4" s="1"/>
  <c r="K311" i="4"/>
  <c r="L311" i="4" s="1"/>
  <c r="K310" i="4"/>
  <c r="L310" i="4" s="1"/>
  <c r="K309" i="4"/>
  <c r="L309" i="4" s="1"/>
  <c r="K308" i="4"/>
  <c r="L308" i="4" s="1"/>
  <c r="K307" i="4"/>
  <c r="L307" i="4" s="1"/>
  <c r="K306" i="4"/>
  <c r="L306" i="4" s="1"/>
  <c r="K305" i="4"/>
  <c r="L305" i="4" s="1"/>
  <c r="K304" i="4"/>
  <c r="L304" i="4" s="1"/>
  <c r="K303" i="4"/>
  <c r="L303" i="4" s="1"/>
  <c r="K302" i="4"/>
  <c r="L302" i="4" s="1"/>
  <c r="K301" i="4"/>
  <c r="L301" i="4" s="1"/>
  <c r="K300" i="4"/>
  <c r="L300" i="4" s="1"/>
  <c r="K299" i="4"/>
  <c r="L299" i="4" s="1"/>
  <c r="K298" i="4"/>
  <c r="L298" i="4" s="1"/>
  <c r="K297" i="4"/>
  <c r="L297" i="4" s="1"/>
  <c r="A55" i="7"/>
  <c r="A54" i="7"/>
  <c r="A53" i="7"/>
  <c r="A52" i="7"/>
  <c r="A51" i="7"/>
  <c r="A50" i="7"/>
  <c r="K296" i="4"/>
  <c r="L296" i="4" s="1"/>
  <c r="K295" i="4"/>
  <c r="L295" i="4" s="1"/>
  <c r="K294" i="4"/>
  <c r="L294" i="4" s="1"/>
  <c r="K293" i="4"/>
  <c r="L293" i="4" s="1"/>
  <c r="K292" i="4"/>
  <c r="L292" i="4" s="1"/>
  <c r="K291" i="4"/>
  <c r="L291" i="4" s="1"/>
  <c r="K290" i="4"/>
  <c r="L290" i="4" s="1"/>
  <c r="K289" i="4" l="1"/>
  <c r="L289" i="4" s="1"/>
  <c r="K288" i="4"/>
  <c r="L288" i="4" s="1"/>
  <c r="K287" i="4"/>
  <c r="L287" i="4" s="1"/>
  <c r="K286" i="4"/>
  <c r="L286" i="4" s="1"/>
  <c r="K285" i="4"/>
  <c r="L285" i="4" s="1"/>
  <c r="K284" i="4"/>
  <c r="L284" i="4" s="1"/>
  <c r="K283" i="4"/>
  <c r="L283" i="4" s="1"/>
  <c r="K282" i="4"/>
  <c r="L282" i="4" s="1"/>
  <c r="K281" i="4"/>
  <c r="L281" i="4" s="1"/>
  <c r="K280" i="4"/>
  <c r="L280" i="4" s="1"/>
  <c r="K279" i="4"/>
  <c r="L279" i="4" s="1"/>
  <c r="K278" i="4"/>
  <c r="L278" i="4" s="1"/>
  <c r="K277" i="4"/>
  <c r="L277" i="4" s="1"/>
  <c r="K276" i="4"/>
  <c r="L276" i="4" s="1"/>
  <c r="K275" i="4"/>
  <c r="L275" i="4" s="1"/>
  <c r="K274" i="4"/>
  <c r="L274" i="4" s="1"/>
  <c r="K273" i="4"/>
  <c r="L273" i="4" s="1"/>
  <c r="K272" i="4"/>
  <c r="L272" i="4" s="1"/>
  <c r="K271" i="4"/>
  <c r="L271" i="4" s="1"/>
  <c r="K270" i="4"/>
  <c r="L270" i="4" s="1"/>
  <c r="K269" i="4"/>
  <c r="L269" i="4" s="1"/>
  <c r="K268" i="4"/>
  <c r="L268" i="4" s="1"/>
  <c r="K267" i="4"/>
  <c r="L267" i="4" s="1"/>
  <c r="K266" i="4"/>
  <c r="L266" i="4" s="1"/>
  <c r="K265" i="4"/>
  <c r="L265" i="4" s="1"/>
  <c r="K264" i="4"/>
  <c r="L264" i="4" s="1"/>
  <c r="K263" i="4"/>
  <c r="L263" i="4" s="1"/>
  <c r="K262" i="4"/>
  <c r="L262" i="4" s="1"/>
  <c r="K261" i="4"/>
  <c r="L261" i="4" s="1"/>
  <c r="K260" i="4" l="1"/>
  <c r="L260" i="4" s="1"/>
  <c r="K259" i="4"/>
  <c r="L259" i="4" s="1"/>
  <c r="K258" i="4"/>
  <c r="L258" i="4" s="1"/>
  <c r="K257" i="4"/>
  <c r="L257" i="4" s="1"/>
  <c r="K256" i="4"/>
  <c r="L256" i="4" s="1"/>
  <c r="K255" i="4"/>
  <c r="L255" i="4" s="1"/>
  <c r="K230" i="4"/>
  <c r="L230" i="4" s="1"/>
  <c r="K231" i="4"/>
  <c r="L231" i="4" s="1"/>
  <c r="K232" i="4"/>
  <c r="L232" i="4" s="1"/>
  <c r="K233" i="4"/>
  <c r="L233" i="4" s="1"/>
  <c r="K234" i="4"/>
  <c r="L234" i="4" s="1"/>
  <c r="K235" i="4"/>
  <c r="L235" i="4" s="1"/>
  <c r="K236" i="4"/>
  <c r="L236" i="4" s="1"/>
  <c r="K237" i="4"/>
  <c r="L237" i="4" s="1"/>
  <c r="K238" i="4"/>
  <c r="L238" i="4" s="1"/>
  <c r="K239" i="4"/>
  <c r="L239" i="4" s="1"/>
  <c r="K240" i="4"/>
  <c r="L240" i="4" s="1"/>
  <c r="K241" i="4"/>
  <c r="L241" i="4" s="1"/>
  <c r="K242" i="4"/>
  <c r="L242" i="4" s="1"/>
  <c r="K243" i="4"/>
  <c r="L243" i="4" s="1"/>
  <c r="K244" i="4"/>
  <c r="L244" i="4" s="1"/>
  <c r="K245" i="4"/>
  <c r="L245" i="4" s="1"/>
  <c r="K246" i="4"/>
  <c r="L246" i="4" s="1"/>
  <c r="K247" i="4"/>
  <c r="L247" i="4" s="1"/>
  <c r="K248" i="4"/>
  <c r="L248" i="4" s="1"/>
  <c r="K249" i="4"/>
  <c r="L249" i="4" s="1"/>
  <c r="K250" i="4"/>
  <c r="L250" i="4" s="1"/>
  <c r="K251" i="4"/>
  <c r="L251" i="4" s="1"/>
  <c r="K252" i="4"/>
  <c r="L252" i="4" s="1"/>
  <c r="K253" i="4"/>
  <c r="L253" i="4" s="1"/>
  <c r="K254" i="4"/>
  <c r="L254" i="4" s="1"/>
  <c r="K229" i="4" l="1"/>
  <c r="L229" i="4" s="1"/>
  <c r="K228" i="4"/>
  <c r="L228" i="4" s="1"/>
  <c r="K227" i="4"/>
  <c r="L227" i="4" s="1"/>
  <c r="K226" i="4"/>
  <c r="L226" i="4" s="1"/>
  <c r="K225" i="4"/>
  <c r="L225" i="4" s="1"/>
  <c r="K224" i="4" l="1"/>
  <c r="L224" i="4" s="1"/>
  <c r="K223" i="4"/>
  <c r="L223" i="4" s="1"/>
  <c r="K222" i="4"/>
  <c r="L222" i="4" s="1"/>
  <c r="K221" i="4"/>
  <c r="L221" i="4" s="1"/>
  <c r="K220" i="4"/>
  <c r="L220" i="4" s="1"/>
  <c r="K219" i="4"/>
  <c r="L219" i="4" s="1"/>
  <c r="K218" i="4"/>
  <c r="L218" i="4" s="1"/>
  <c r="K217" i="4"/>
  <c r="L217" i="4" s="1"/>
  <c r="K216" i="4"/>
  <c r="L216" i="4" s="1"/>
  <c r="K215" i="4"/>
  <c r="L215" i="4" s="1"/>
  <c r="K214" i="4"/>
  <c r="L214" i="4" s="1"/>
  <c r="K213" i="4"/>
  <c r="L213" i="4" s="1"/>
  <c r="K212" i="4"/>
  <c r="L212" i="4" s="1"/>
  <c r="K211" i="4"/>
  <c r="L211" i="4" s="1"/>
  <c r="K210" i="4"/>
  <c r="L210" i="4" s="1"/>
  <c r="K209" i="4"/>
  <c r="L209" i="4" s="1"/>
  <c r="K208" i="4"/>
  <c r="L208" i="4" s="1"/>
  <c r="K207" i="4"/>
  <c r="L207" i="4" s="1"/>
  <c r="K206" i="4"/>
  <c r="L206" i="4" s="1"/>
  <c r="K205" i="4"/>
  <c r="L205" i="4" s="1"/>
  <c r="K204" i="4"/>
  <c r="L204" i="4" s="1"/>
  <c r="K203" i="4"/>
  <c r="L203" i="4" s="1"/>
  <c r="K202" i="4"/>
  <c r="L202" i="4" s="1"/>
  <c r="K201" i="4"/>
  <c r="L201" i="4" s="1"/>
  <c r="K200" i="4"/>
  <c r="L200" i="4" s="1"/>
  <c r="K199" i="4"/>
  <c r="L199" i="4" s="1"/>
  <c r="K198" i="4"/>
  <c r="L198" i="4" s="1"/>
  <c r="K197" i="4"/>
  <c r="L197" i="4" s="1"/>
  <c r="K196" i="4"/>
  <c r="L196" i="4" s="1"/>
  <c r="K195" i="4"/>
  <c r="L195" i="4" s="1"/>
  <c r="K194" i="4"/>
  <c r="L194" i="4" s="1"/>
  <c r="K193" i="4"/>
  <c r="L193" i="4" s="1"/>
  <c r="K192" i="4"/>
  <c r="L192" i="4" s="1"/>
  <c r="K191" i="4"/>
  <c r="L191" i="4" s="1"/>
  <c r="K190" i="4"/>
  <c r="L190" i="4" s="1"/>
  <c r="K189" i="4"/>
  <c r="L189" i="4" s="1"/>
  <c r="K188" i="4"/>
  <c r="L188" i="4" s="1"/>
  <c r="K187" i="4"/>
  <c r="L187" i="4" s="1"/>
  <c r="K186" i="4"/>
  <c r="L186" i="4" s="1"/>
  <c r="K185" i="4"/>
  <c r="L185" i="4" s="1"/>
  <c r="K184" i="4"/>
  <c r="L184" i="4" s="1"/>
  <c r="K180" i="4"/>
  <c r="L180" i="4" s="1"/>
  <c r="K181" i="4"/>
  <c r="L181" i="4" s="1"/>
  <c r="K182" i="4"/>
  <c r="L182" i="4" s="1"/>
  <c r="K183" i="4"/>
  <c r="L183" i="4" s="1"/>
  <c r="K179" i="4"/>
  <c r="L179" i="4" s="1"/>
  <c r="K178" i="4"/>
  <c r="L178" i="4" s="1"/>
  <c r="K177" i="4"/>
  <c r="L177" i="4" s="1"/>
  <c r="K176" i="4"/>
  <c r="L176" i="4" s="1"/>
  <c r="K175" i="4"/>
  <c r="L175" i="4" s="1"/>
  <c r="K174" i="4"/>
  <c r="L174" i="4" s="1"/>
  <c r="K173" i="4"/>
  <c r="L173" i="4" s="1"/>
  <c r="K172" i="4"/>
  <c r="L172" i="4" s="1"/>
  <c r="K171" i="4"/>
  <c r="L171" i="4" s="1"/>
  <c r="K170" i="4"/>
  <c r="L170" i="4" s="1"/>
  <c r="K169" i="4"/>
  <c r="L169" i="4" s="1"/>
  <c r="K168" i="4"/>
  <c r="L168" i="4" s="1"/>
  <c r="K167" i="4"/>
  <c r="L167" i="4" s="1"/>
  <c r="K166" i="4"/>
  <c r="L166" i="4" s="1"/>
  <c r="K165" i="4"/>
  <c r="L165" i="4" s="1"/>
  <c r="K164" i="4"/>
  <c r="L164" i="4" s="1"/>
  <c r="K163" i="4"/>
  <c r="L163" i="4" s="1"/>
  <c r="K162" i="4"/>
  <c r="L162" i="4" s="1"/>
  <c r="K161" i="4"/>
  <c r="L161" i="4" s="1"/>
  <c r="K160" i="4"/>
  <c r="L160" i="4" s="1"/>
  <c r="K159" i="4"/>
  <c r="L159" i="4" s="1"/>
  <c r="K158" i="4"/>
  <c r="L158" i="4" s="1"/>
  <c r="K157" i="4"/>
  <c r="L157" i="4" s="1"/>
  <c r="K156" i="4"/>
  <c r="L156" i="4" s="1"/>
  <c r="K155" i="4"/>
  <c r="L155" i="4" s="1"/>
  <c r="K154" i="4"/>
  <c r="L154" i="4" s="1"/>
  <c r="K153" i="4"/>
  <c r="L153" i="4" s="1"/>
  <c r="K152" i="4"/>
  <c r="L152" i="4" s="1"/>
  <c r="K151" i="4"/>
  <c r="L151" i="4" s="1"/>
  <c r="K150" i="4"/>
  <c r="L150" i="4" s="1"/>
  <c r="K149" i="4"/>
  <c r="L149" i="4" s="1"/>
  <c r="K148" i="4"/>
  <c r="L148" i="4" s="1"/>
  <c r="K147" i="4"/>
  <c r="L147" i="4" s="1"/>
  <c r="K146" i="4"/>
  <c r="L146" i="4" s="1"/>
  <c r="K145" i="4"/>
  <c r="L145" i="4" s="1"/>
  <c r="K144" i="4"/>
  <c r="L144" i="4" s="1"/>
  <c r="K143" i="4"/>
  <c r="L143" i="4" s="1"/>
  <c r="K142" i="4"/>
  <c r="L142" i="4" s="1"/>
  <c r="K141" i="4"/>
  <c r="L141" i="4" s="1"/>
  <c r="K140" i="4" l="1"/>
  <c r="L140" i="4" s="1"/>
  <c r="K139" i="4"/>
  <c r="L139" i="4" s="1"/>
  <c r="K138" i="4"/>
  <c r="L138" i="4" s="1"/>
  <c r="K137" i="4"/>
  <c r="L137" i="4" s="1"/>
  <c r="K136" i="4"/>
  <c r="L136" i="4" s="1"/>
  <c r="K135" i="4"/>
  <c r="L135" i="4" s="1"/>
  <c r="K134" i="4"/>
  <c r="L134" i="4" s="1"/>
  <c r="K133" i="4"/>
  <c r="L133" i="4" s="1"/>
  <c r="K132" i="4"/>
  <c r="L132" i="4" s="1"/>
  <c r="K131" i="4"/>
  <c r="L131" i="4" s="1"/>
  <c r="K130" i="4"/>
  <c r="L130" i="4" s="1"/>
  <c r="J4" i="7"/>
  <c r="K8" i="4"/>
  <c r="L8" i="4" s="1"/>
  <c r="K9" i="4"/>
  <c r="L9" i="4" s="1"/>
  <c r="K10" i="4"/>
  <c r="L10" i="4" s="1"/>
  <c r="K11" i="4"/>
  <c r="L11" i="4" s="1"/>
  <c r="K12" i="4"/>
  <c r="L12" i="4" s="1"/>
  <c r="K13" i="4"/>
  <c r="L13" i="4" s="1"/>
  <c r="K14" i="4"/>
  <c r="L14" i="4" s="1"/>
  <c r="K15" i="4"/>
  <c r="L15" i="4" s="1"/>
  <c r="K16" i="4"/>
  <c r="L16" i="4" s="1"/>
  <c r="K17" i="4"/>
  <c r="L17" i="4" s="1"/>
  <c r="K18" i="4"/>
  <c r="L18" i="4" s="1"/>
  <c r="K19" i="4"/>
  <c r="L19" i="4" s="1"/>
  <c r="K20" i="4"/>
  <c r="L20" i="4" s="1"/>
  <c r="K21" i="4"/>
  <c r="L21" i="4" s="1"/>
  <c r="K22" i="4"/>
  <c r="L22" i="4" s="1"/>
  <c r="K23" i="4"/>
  <c r="L23" i="4" s="1"/>
  <c r="K24" i="4"/>
  <c r="L24" i="4" s="1"/>
  <c r="K25" i="4"/>
  <c r="L25" i="4" s="1"/>
  <c r="K26" i="4"/>
  <c r="L26" i="4" s="1"/>
  <c r="K27" i="4"/>
  <c r="L27" i="4" s="1"/>
  <c r="K28" i="4"/>
  <c r="L28" i="4" s="1"/>
  <c r="K29" i="4"/>
  <c r="L29" i="4" s="1"/>
  <c r="K30" i="4"/>
  <c r="L30" i="4" s="1"/>
  <c r="K31" i="4"/>
  <c r="L31" i="4" s="1"/>
  <c r="K32" i="4"/>
  <c r="L32" i="4" s="1"/>
  <c r="K33" i="4"/>
  <c r="L33" i="4" s="1"/>
  <c r="K34" i="4"/>
  <c r="L34" i="4" s="1"/>
  <c r="K35" i="4"/>
  <c r="L35" i="4" s="1"/>
  <c r="K36" i="4"/>
  <c r="L36" i="4" s="1"/>
  <c r="K37" i="4"/>
  <c r="L37" i="4" s="1"/>
  <c r="K38" i="4"/>
  <c r="L38" i="4" s="1"/>
  <c r="K39" i="4"/>
  <c r="L39" i="4" s="1"/>
  <c r="K40" i="4"/>
  <c r="L40" i="4" s="1"/>
  <c r="K41" i="4"/>
  <c r="L41" i="4" s="1"/>
  <c r="K42" i="4"/>
  <c r="L42" i="4" s="1"/>
  <c r="K43" i="4"/>
  <c r="L43" i="4" s="1"/>
  <c r="K44" i="4"/>
  <c r="L44" i="4" s="1"/>
  <c r="K45" i="4"/>
  <c r="L45" i="4" s="1"/>
  <c r="K46" i="4"/>
  <c r="L46" i="4" s="1"/>
  <c r="K47" i="4"/>
  <c r="L47" i="4" s="1"/>
  <c r="K48" i="4"/>
  <c r="L48" i="4" s="1"/>
  <c r="K49" i="4"/>
  <c r="L49" i="4" s="1"/>
  <c r="K50" i="4"/>
  <c r="L50" i="4" s="1"/>
  <c r="K51" i="4"/>
  <c r="L51" i="4" s="1"/>
  <c r="K52" i="4"/>
  <c r="L52" i="4" s="1"/>
  <c r="K53" i="4"/>
  <c r="L53" i="4" s="1"/>
  <c r="K54" i="4"/>
  <c r="L54" i="4" s="1"/>
  <c r="K55" i="4"/>
  <c r="L55" i="4" s="1"/>
  <c r="K56" i="4"/>
  <c r="L56" i="4" s="1"/>
  <c r="K57" i="4"/>
  <c r="L57" i="4" s="1"/>
  <c r="K58" i="4"/>
  <c r="L58" i="4" s="1"/>
  <c r="K59" i="4"/>
  <c r="L59" i="4" s="1"/>
  <c r="K60" i="4"/>
  <c r="L60" i="4" s="1"/>
  <c r="K61" i="4"/>
  <c r="L61" i="4" s="1"/>
  <c r="K62" i="4"/>
  <c r="L62" i="4" s="1"/>
  <c r="K63" i="4"/>
  <c r="L63" i="4" s="1"/>
  <c r="K64" i="4"/>
  <c r="L64" i="4" s="1"/>
  <c r="K65" i="4"/>
  <c r="L65" i="4" s="1"/>
  <c r="K66" i="4"/>
  <c r="L66" i="4" s="1"/>
  <c r="K67" i="4"/>
  <c r="L67" i="4" s="1"/>
  <c r="K68" i="4"/>
  <c r="L68" i="4" s="1"/>
  <c r="K69" i="4"/>
  <c r="L69" i="4" s="1"/>
  <c r="K70" i="4"/>
  <c r="L70" i="4" s="1"/>
  <c r="K71" i="4"/>
  <c r="L71" i="4" s="1"/>
  <c r="K72" i="4"/>
  <c r="L72" i="4" s="1"/>
  <c r="K73" i="4"/>
  <c r="L73" i="4" s="1"/>
  <c r="K74" i="4"/>
  <c r="L74" i="4" s="1"/>
  <c r="K75" i="4"/>
  <c r="L75" i="4" s="1"/>
  <c r="K76" i="4"/>
  <c r="L76" i="4" s="1"/>
  <c r="K77" i="4"/>
  <c r="L77" i="4" s="1"/>
  <c r="K78" i="4"/>
  <c r="L78" i="4" s="1"/>
  <c r="K79" i="4"/>
  <c r="L79" i="4" s="1"/>
  <c r="K80" i="4"/>
  <c r="L80" i="4" s="1"/>
  <c r="K81" i="4"/>
  <c r="L81" i="4" s="1"/>
  <c r="K82" i="4"/>
  <c r="L82" i="4" s="1"/>
  <c r="K83" i="4"/>
  <c r="L83" i="4" s="1"/>
  <c r="K84" i="4"/>
  <c r="L84" i="4" s="1"/>
  <c r="K85" i="4"/>
  <c r="L85" i="4" s="1"/>
  <c r="K86" i="4"/>
  <c r="L86" i="4" s="1"/>
  <c r="K87" i="4"/>
  <c r="L87" i="4" s="1"/>
  <c r="K88" i="4"/>
  <c r="L88" i="4" s="1"/>
  <c r="K89" i="4"/>
  <c r="L89" i="4" s="1"/>
  <c r="K90" i="4"/>
  <c r="L90" i="4" s="1"/>
  <c r="K91" i="4"/>
  <c r="L91" i="4" s="1"/>
  <c r="K92" i="4"/>
  <c r="L92" i="4" s="1"/>
  <c r="K93" i="4"/>
  <c r="L93" i="4" s="1"/>
  <c r="K94" i="4"/>
  <c r="L94" i="4" s="1"/>
  <c r="K95" i="4"/>
  <c r="L95" i="4" s="1"/>
  <c r="K96" i="4"/>
  <c r="L96" i="4" s="1"/>
  <c r="K97" i="4"/>
  <c r="L97" i="4" s="1"/>
  <c r="K98" i="4"/>
  <c r="L98" i="4" s="1"/>
  <c r="K99" i="4"/>
  <c r="L99" i="4" s="1"/>
  <c r="K100" i="4"/>
  <c r="L100" i="4" s="1"/>
  <c r="K101" i="4"/>
  <c r="L101" i="4" s="1"/>
  <c r="K102" i="4"/>
  <c r="L102" i="4" s="1"/>
  <c r="K103" i="4"/>
  <c r="L103" i="4" s="1"/>
  <c r="K104" i="4"/>
  <c r="L104" i="4" s="1"/>
  <c r="K105" i="4"/>
  <c r="L105" i="4" s="1"/>
  <c r="K106" i="4"/>
  <c r="L106" i="4" s="1"/>
  <c r="K107" i="4"/>
  <c r="L107" i="4" s="1"/>
  <c r="K108" i="4"/>
  <c r="L108" i="4" s="1"/>
  <c r="K109" i="4"/>
  <c r="L109" i="4" s="1"/>
  <c r="K110" i="4"/>
  <c r="L110" i="4" s="1"/>
  <c r="K111" i="4"/>
  <c r="L111" i="4" s="1"/>
  <c r="K112" i="4"/>
  <c r="L112" i="4" s="1"/>
  <c r="K113" i="4"/>
  <c r="L113" i="4" s="1"/>
  <c r="K114" i="4"/>
  <c r="L114" i="4" s="1"/>
  <c r="K115" i="4"/>
  <c r="L115" i="4" s="1"/>
  <c r="K116" i="4"/>
  <c r="L116" i="4" s="1"/>
  <c r="K117" i="4"/>
  <c r="L117" i="4" s="1"/>
  <c r="K118" i="4"/>
  <c r="L118" i="4" s="1"/>
  <c r="K119" i="4"/>
  <c r="L119" i="4" s="1"/>
  <c r="K120" i="4"/>
  <c r="L120" i="4" s="1"/>
  <c r="K121" i="4"/>
  <c r="L121" i="4" s="1"/>
  <c r="K122" i="4"/>
  <c r="L122" i="4" s="1"/>
  <c r="K123" i="4"/>
  <c r="L123" i="4" s="1"/>
  <c r="K124" i="4"/>
  <c r="L124" i="4" s="1"/>
  <c r="K125" i="4"/>
  <c r="L125" i="4" s="1"/>
  <c r="K126" i="4"/>
  <c r="L126" i="4" s="1"/>
  <c r="K127" i="4"/>
  <c r="L127" i="4" s="1"/>
  <c r="K128" i="4"/>
  <c r="L128" i="4" s="1"/>
  <c r="K129" i="4"/>
  <c r="L129" i="4" s="1"/>
  <c r="J7" i="7"/>
  <c r="H7" i="7"/>
  <c r="B10" i="6" a="1"/>
  <c r="B10" i="6" s="1"/>
  <c r="B4" i="6"/>
  <c r="D5" i="3"/>
  <c r="K4" i="7" l="1"/>
  <c r="A10" i="7" l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1">
    <bk>
      <extLst>
        <ext uri="{3e2802c4-a4d2-4d8b-9148-e3be6c30e623}">
          <xlrd:rvb i="0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">
    <bk>
      <rc t="1" v="0"/>
    </bk>
  </valueMetadata>
</metadata>
</file>

<file path=xl/sharedStrings.xml><?xml version="1.0" encoding="utf-8"?>
<sst xmlns="http://schemas.openxmlformats.org/spreadsheetml/2006/main" count="2110" uniqueCount="545">
  <si>
    <t>ITEM N°</t>
  </si>
  <si>
    <t>DESCRIPCIÓN</t>
  </si>
  <si>
    <t>UNIDAD MEDIDA</t>
  </si>
  <si>
    <t>CANTIDAD</t>
  </si>
  <si>
    <t>DETALLES OBSERVACION</t>
  </si>
  <si>
    <t>ÁREA</t>
  </si>
  <si>
    <t>NOMBRE SOLICITA</t>
  </si>
  <si>
    <t>FENOLICO</t>
  </si>
  <si>
    <t>UNID</t>
  </si>
  <si>
    <t>CARPINTERIA</t>
  </si>
  <si>
    <t>MAYTAHUARI ACOSTA, SAMMER AXEL</t>
  </si>
  <si>
    <t>BASTIDORES 2X3X10</t>
  </si>
  <si>
    <t>MADERA 4X4X12</t>
  </si>
  <si>
    <t>TABLAS 12 PLG X1.5 PLGX12PIES</t>
  </si>
  <si>
    <t>ROLLO DE MANGUERA PARA RIEGO DE 100 METROS</t>
  </si>
  <si>
    <t>CONSTRUCCION</t>
  </si>
  <si>
    <t>ADUVIRE ARGUATA, MARIO ARTURO</t>
  </si>
  <si>
    <t>TROZADORA DE 14"</t>
  </si>
  <si>
    <t>AMOLADORA DE 9"</t>
  </si>
  <si>
    <t>PALOS DE EUCALIPTO DE 3" X 3M</t>
  </si>
  <si>
    <t>MALLA ARPILLERA</t>
  </si>
  <si>
    <t>PALA</t>
  </si>
  <si>
    <t>PICO</t>
  </si>
  <si>
    <t>BARRETA</t>
  </si>
  <si>
    <t>CILINDRO METALICO</t>
  </si>
  <si>
    <t>CILINDRO PLASTICO</t>
  </si>
  <si>
    <t>CARRETILLA</t>
  </si>
  <si>
    <t>REGLAS DE ALUMINIO 6MTS</t>
  </si>
  <si>
    <t>GIGANTOGRAFÍA CARTEL DE OBRA 3.60 M X 2.40 M</t>
  </si>
  <si>
    <t>RESIDENCIA</t>
  </si>
  <si>
    <t>SALAZAR BAZAN, ROCÍO DALILA</t>
  </si>
  <si>
    <t>MANGUERA DE NIVEL TRANSPARENTE</t>
  </si>
  <si>
    <t>NIVEL TOPOGRÁFICO</t>
  </si>
  <si>
    <t>ROLLO DE MANGUERA 3/4"</t>
  </si>
  <si>
    <t>YESO X 20 KG</t>
  </si>
  <si>
    <t>TIZA EN POLVO (SACO)</t>
  </si>
  <si>
    <t xml:space="preserve">CORDEL </t>
  </si>
  <si>
    <t>COMPACTADORA TIPO CANGURO</t>
  </si>
  <si>
    <t>COMPACTADORA TIPO PLANCHA</t>
  </si>
  <si>
    <t>DISCOS DE 14" P/FIERRO</t>
  </si>
  <si>
    <t>DISCOS DE 9" P/FIERRO</t>
  </si>
  <si>
    <t xml:space="preserve">DISCO DE CORTE PARA MADERA 12 IN </t>
  </si>
  <si>
    <t>CABLE BLINDADO EXTENSIÓN #12</t>
  </si>
  <si>
    <t>HOJA DE SIERRA</t>
  </si>
  <si>
    <t>CISTERNA DE 2500L</t>
  </si>
  <si>
    <t>TABLAS DE 1 1/2X8X12</t>
  </si>
  <si>
    <t>MASILLA PLÁSTICA (BOTES)</t>
  </si>
  <si>
    <t>CINTA ADHESIVA TRANSPARENTE 46MM X 72 YD APROX</t>
  </si>
  <si>
    <t>ASIST ING</t>
  </si>
  <si>
    <t>SILVA BORDA, ARLETTE NINOSKA</t>
  </si>
  <si>
    <t>NOTA AUTOADHESIVA 3 IN X 3 IN (7.6CM X 7.6CM) APROX X 500 HOJAS</t>
  </si>
  <si>
    <t>BANDERITA SEÑALIZADORA 1.2 CM X 4.5CM X 200 HOJAS X 8</t>
  </si>
  <si>
    <t>ARCHIVADOR DE CARTON CON PALANCA LOMO ANCHO TAMAÑO OFICIO</t>
  </si>
  <si>
    <t>FOLDER MANILA TAMAÑO A4 CON FASTENER DE METAL</t>
  </si>
  <si>
    <t>PQT</t>
  </si>
  <si>
    <t>BORRADOR BLANCO PARA LAPIZ TAMAÑO MEDIANO</t>
  </si>
  <si>
    <t>CORRECTOR LIQUIDO TIPO LAPICERO</t>
  </si>
  <si>
    <t>DOC</t>
  </si>
  <si>
    <t>ENGRAPADOR DE OFICINA (25 HOJAS)</t>
  </si>
  <si>
    <t>PERFORADOR DE 2 ESPIGAS PARA 50 HOJAS APROX.</t>
  </si>
  <si>
    <t>REGLA DE METAL 30CM</t>
  </si>
  <si>
    <t>TABLERO ACRILICO TAMAÑO A4 CON SUJETADOR DE METAL TIPO GANCHO</t>
  </si>
  <si>
    <t>BOLIGRAFO (LAPICERO) DE TINTA SECA PUNTA FINA COLOR AZUL</t>
  </si>
  <si>
    <t>LAPIZ NEGRO GRADO 2B CON BORRADOR</t>
  </si>
  <si>
    <t>TAMPON PARA HUELLA DACTILAR COLOR NEGRO</t>
  </si>
  <si>
    <t>TINTA PARA TAMPON X 30ML APROX COLOR NEGRO</t>
  </si>
  <si>
    <t>CUADERNO ESPIRAL CUADRICULADO TAMAÑO A4 X 100 HOJAS</t>
  </si>
  <si>
    <t>CUADERNO DOBLE ESPIRAL CUADRICULADO TAMAÑO A5 X 100 HOJAS</t>
  </si>
  <si>
    <t>CLIP DE METAL 33MM X 100MM</t>
  </si>
  <si>
    <t>CLIP MARIPOSA DE METAL 45MM X 50</t>
  </si>
  <si>
    <t>BINDER CLIP (CLIP BILLETERO) DE 1 5/8 IN (41MM)</t>
  </si>
  <si>
    <t>PROTECTOR SOLAR FPS 50 UVA - UVB LOC 40ML</t>
  </si>
  <si>
    <t>MASCARILLA DESCARTABLE QUIRURGICA 3 PLIEGUES</t>
  </si>
  <si>
    <t>SEGURIDAD</t>
  </si>
  <si>
    <t>CONO REFLECTIVO DE SEGURIDA DE 28IN COLOR NARANJA</t>
  </si>
  <si>
    <t>VENTILADOR</t>
  </si>
  <si>
    <t>OTROS</t>
  </si>
  <si>
    <t>USO COMUN</t>
  </si>
  <si>
    <t>EXTINTOR DE ASETATO DE POTASIO 9KG</t>
  </si>
  <si>
    <t>EXTINTOR DE POLVO QUIMICO DE 9KG</t>
  </si>
  <si>
    <t>BOTIQUIN DE PRIMEROS AUXILIOS 20 X 30CM</t>
  </si>
  <si>
    <t>TACHOS DE BASURA (BAÑOS)</t>
  </si>
  <si>
    <t>CARTEL INFORMATIVO DE SEGURIDAD INCL/SOPORTES</t>
  </si>
  <si>
    <t>TABLA DE REQUERIMIENTOS ALMACEN TICAPAMPA</t>
  </si>
  <si>
    <t>CONSORCIO FORTALEZA      -     FSA CONSTRUCTORA E.I.R.L.</t>
  </si>
  <si>
    <t>N° REQUERIMIENTO</t>
  </si>
  <si>
    <t>FECHA REQUERIMIENTO</t>
  </si>
  <si>
    <t>DESCRIPCION PRODUCTO</t>
  </si>
  <si>
    <t xml:space="preserve">UNIDAD </t>
  </si>
  <si>
    <t xml:space="preserve">CANTIDAD </t>
  </si>
  <si>
    <t xml:space="preserve">NOMBRE SOLICITA </t>
  </si>
  <si>
    <t>DETALLE / OBSERVACIONES</t>
  </si>
  <si>
    <t>LLEGO REALMENTE</t>
  </si>
  <si>
    <t>DIFERENCIA</t>
  </si>
  <si>
    <t>Columna1</t>
  </si>
  <si>
    <t>R-001</t>
  </si>
  <si>
    <t>UNI</t>
  </si>
  <si>
    <t>SAMMER MAYTAHUARI</t>
  </si>
  <si>
    <t>BASTIDORES 2X3X10"</t>
  </si>
  <si>
    <t>MADERA 4X4X12"</t>
  </si>
  <si>
    <t>TABLAS 12"X1.5X12PIES</t>
  </si>
  <si>
    <t>MANGUERA PARA RIEGO 100 MT</t>
  </si>
  <si>
    <t>ROLLO</t>
  </si>
  <si>
    <t>ARTURO ADUVIRE</t>
  </si>
  <si>
    <t>TROZADORA 14"</t>
  </si>
  <si>
    <t>AMOLADORA 9"</t>
  </si>
  <si>
    <t>PALOS DE EUCALIPTO DE 3X3M</t>
  </si>
  <si>
    <t>GIGANTOGRAFIA CARTEL OBRA 3.60 X 2.4 M</t>
  </si>
  <si>
    <t>ROCIO SALAZAR</t>
  </si>
  <si>
    <t>NIVEL TOPOGRAFICO</t>
  </si>
  <si>
    <t>MANGUERA 3/4"</t>
  </si>
  <si>
    <t>YESO X 20KG</t>
  </si>
  <si>
    <t>SACO</t>
  </si>
  <si>
    <t>CORDEL</t>
  </si>
  <si>
    <t>DISCO CORTE 14" P/FIERRO</t>
  </si>
  <si>
    <t>DISCO CORTE 9" P/FIERRO</t>
  </si>
  <si>
    <t>DISCO CORTE MADERA 12</t>
  </si>
  <si>
    <t>CISTERNA DE AGUA 2500L</t>
  </si>
  <si>
    <t>TABLAS 1 1/2"X8X12PIES</t>
  </si>
  <si>
    <t>MASILLA PLASTICA (BOTES)</t>
  </si>
  <si>
    <t>CINTA ADHESIVA TRANSPARENTE 46MMX72YD</t>
  </si>
  <si>
    <t>ASIST. ING</t>
  </si>
  <si>
    <t>ARLETTE SILVA</t>
  </si>
  <si>
    <t>NOTA ADHESIVA3X3</t>
  </si>
  <si>
    <t>BANDERITA SEÑALIZADORA 1.2CMX4.5CMX200</t>
  </si>
  <si>
    <t>CABLE BLINDADO EXTENSION #12</t>
  </si>
  <si>
    <t>ARCHIVADOR CARTON CON PALANCA LOMO ANCHO</t>
  </si>
  <si>
    <t>FOLDER MANILA A4 FASTENER</t>
  </si>
  <si>
    <t>PQTE</t>
  </si>
  <si>
    <t>BORRADOR BLANCO PARA LAPIZ</t>
  </si>
  <si>
    <t>CORRECTOR LIQUIDO</t>
  </si>
  <si>
    <t>ENGRAPADOR DE OFICINA</t>
  </si>
  <si>
    <t>PERFORADOR DE 2 ESPIGAS 50HOJAS</t>
  </si>
  <si>
    <t>REGLA METAL 30CM</t>
  </si>
  <si>
    <t xml:space="preserve">TABLERO ACRILICO A4 </t>
  </si>
  <si>
    <t>BOLIGRAFO AZUL</t>
  </si>
  <si>
    <t>LAPIZ NEGRO 2B C/BORRADOR</t>
  </si>
  <si>
    <t xml:space="preserve">TAMPON PARA HUELLA DACTILAR </t>
  </si>
  <si>
    <t>TINTA PARA TAMPON 30ML NEGRO</t>
  </si>
  <si>
    <t>CUADERNO ESPIRAL A4 100 HOJAS</t>
  </si>
  <si>
    <t>CUADERNO DOBLE ESPIRAL A5 100 HOJAS</t>
  </si>
  <si>
    <t>CLIP METAL 3MM X100</t>
  </si>
  <si>
    <t>CLIP MARIPOSA METAL 45MM X 50</t>
  </si>
  <si>
    <t>BINDER CLIP</t>
  </si>
  <si>
    <t xml:space="preserve">PROTECTOR SOLAR FPS 50 </t>
  </si>
  <si>
    <t>MACARILLA DESCARTABLE 3 PLIEGUES</t>
  </si>
  <si>
    <t>CONO REFLECTIVO DE 28" NARANJA</t>
  </si>
  <si>
    <t>EXTINTOR DE POLVO QUIMICO 9KG</t>
  </si>
  <si>
    <t>BOTIQUIN PRIMEROS AUXILIOS</t>
  </si>
  <si>
    <t>TACHO DE BASURA (BAÑOS)</t>
  </si>
  <si>
    <t>CARTEL INFORMATIVO SEGURIDAD</t>
  </si>
  <si>
    <t>FRANELA PARA LIMPIEZA</t>
  </si>
  <si>
    <t>TRAPO INDUSTRIAL</t>
  </si>
  <si>
    <t>RECOGEDORES PARA LIMPIEZA</t>
  </si>
  <si>
    <t>JABON LIQUIDO</t>
  </si>
  <si>
    <t>R-002</t>
  </si>
  <si>
    <t>BROCHAS 4"</t>
  </si>
  <si>
    <t>ESPATULAS 4"</t>
  </si>
  <si>
    <t>ESCOBAS PLASTICAS</t>
  </si>
  <si>
    <t>CUCHILLA PARA CEPILLOMANUAL  MADERA</t>
  </si>
  <si>
    <t>EXTENSION 30MT</t>
  </si>
  <si>
    <t>BOTAS DE JEBE</t>
  </si>
  <si>
    <t>PAR</t>
  </si>
  <si>
    <t>ARNES CON LINEA DE VIDA</t>
  </si>
  <si>
    <t>AGUA PARA EL PERSONAL</t>
  </si>
  <si>
    <t>BOT</t>
  </si>
  <si>
    <t>LIJA #100</t>
  </si>
  <si>
    <t>PAQUETE</t>
  </si>
  <si>
    <t>ELECTRICIDAD</t>
  </si>
  <si>
    <t>SILLA PARA ESCRITORIO</t>
  </si>
  <si>
    <t>DVD</t>
  </si>
  <si>
    <t>LECTORA DE CD</t>
  </si>
  <si>
    <t>CUCHILLA CON MANGO DE PLASTICO 18MM</t>
  </si>
  <si>
    <t>CINTA MASKINTAPE</t>
  </si>
  <si>
    <t>PLUMON DE TINTA INDELEBLE PTA DELGADA NEGRO</t>
  </si>
  <si>
    <t>LAPIZ JUMBO GRUESO DE COLOR ROJO</t>
  </si>
  <si>
    <t>VINIFAN</t>
  </si>
  <si>
    <t>PLASTICO TRANSPARENTE PARA TAPAR LOS ESTANTES</t>
  </si>
  <si>
    <t>PAÑOS DE MICROFIBRA</t>
  </si>
  <si>
    <t>GRAPA 26/6 X 5000</t>
  </si>
  <si>
    <t>PLANCHA DE TECNOPOR 1"</t>
  </si>
  <si>
    <t>ESPARRAGOS DE 1/2" X 1.2 C/MARIPOSA</t>
  </si>
  <si>
    <t>BROCA DE 5/8" PARA MADERA</t>
  </si>
  <si>
    <t>BROCA DE 5/8" PARA CONCRETO - ROTOMARTILLO</t>
  </si>
  <si>
    <t>OCHAVOS DE CORTE 22X22MM</t>
  </si>
  <si>
    <t>TUBO PVC SAL P/LUZ 3/4"</t>
  </si>
  <si>
    <t>PAPEL A4 AMARILLO 75G X100HOJ</t>
  </si>
  <si>
    <t>TABLA DE 22MM X 8" X 12PIES</t>
  </si>
  <si>
    <t>CHINCHES DORADOS 10MM X 50UNI</t>
  </si>
  <si>
    <t>CHEMAYOLIC EXTRAFUERTE BLANCO</t>
  </si>
  <si>
    <t>CINTA ADHESIVA TRANSPARENTE 3/4" X 36YD</t>
  </si>
  <si>
    <t>ACEITE P/MOTOR GASOLINERO(TROMPO)</t>
  </si>
  <si>
    <t>BALDE</t>
  </si>
  <si>
    <t>NORBERTO JEREMIAS</t>
  </si>
  <si>
    <t>CEPILLO DE METAL PARA LIMPIAR TROMPO</t>
  </si>
  <si>
    <t>JUEGO DE DADOS</t>
  </si>
  <si>
    <t>AMOLADORA PEQUEÑA</t>
  </si>
  <si>
    <t>MANGUERA PARA COMPRESORA</t>
  </si>
  <si>
    <t>COLA PARA CARPINTERO</t>
  </si>
  <si>
    <t>ADITIVO CHEMA</t>
  </si>
  <si>
    <t>GRASA PARA TROMPO</t>
  </si>
  <si>
    <t>SILICONA P/MOTOR</t>
  </si>
  <si>
    <t>R-003</t>
  </si>
  <si>
    <t>VALVULA DE PIE 1"</t>
  </si>
  <si>
    <t>ARTURO ARGUATA</t>
  </si>
  <si>
    <t>FUNCIONAMIENTO BOMBA DE AGUA</t>
  </si>
  <si>
    <t>CODOS DE 1" X 90°</t>
  </si>
  <si>
    <t>TEE 1"</t>
  </si>
  <si>
    <t>LLAVE DE PASO 1"</t>
  </si>
  <si>
    <t>TAPON MACHO 1"</t>
  </si>
  <si>
    <t>NIPLES DE 1"</t>
  </si>
  <si>
    <t>VALVULA DE PIE 11/2"</t>
  </si>
  <si>
    <t>4 CODOS DE 11/2" X 90°</t>
  </si>
  <si>
    <t>TEE 11/2"</t>
  </si>
  <si>
    <t>LLAVE DE PASO 11/2"</t>
  </si>
  <si>
    <t>TAPON MACHO 11/2"</t>
  </si>
  <si>
    <t>PERNOS DE 3/8 X 3" CON HILO VOLANDAS Y TURCAS</t>
  </si>
  <si>
    <t>NIPLES DE 1 1/2"</t>
  </si>
  <si>
    <t>REQUERIMIENTO DE MATERIALES, INSUMOS,HERRAMIENTOS Y OTROS</t>
  </si>
  <si>
    <t>CONSORCIO FORTALEZA - FSA CONSTRUCTORA E.I.R.L.  -  RUC 20612747271</t>
  </si>
  <si>
    <t>HORA REQUERIMIENTPO</t>
  </si>
  <si>
    <t>08:00 AM</t>
  </si>
  <si>
    <t>RESPONSABLE</t>
  </si>
  <si>
    <t>ERNESTO ACUACHI</t>
  </si>
  <si>
    <t>N°</t>
  </si>
  <si>
    <t>DESCRIPCIÓN PRODUCTO</t>
  </si>
  <si>
    <t>UNIDIDAD MEDIDA</t>
  </si>
  <si>
    <t>DETALES / OBSERVACIONES</t>
  </si>
  <si>
    <t>REQUERIMIENTO DE MATERIALES, INSUMOS, HERRAMIENTAS Y OTROS</t>
  </si>
  <si>
    <t>CONSORCIO FORTALEZA       -       FSA CONSTRUCTORA E.I.R.L.    -     RUC 20612747271</t>
  </si>
  <si>
    <t>FECHA:</t>
  </si>
  <si>
    <t>N° REQUERIMIENTO:</t>
  </si>
  <si>
    <t>HORA:</t>
  </si>
  <si>
    <t>RESPONSABLE:</t>
  </si>
  <si>
    <t>DETALLES / OBSEVACIONES</t>
  </si>
  <si>
    <t>REGISTRO DE COMPRAS</t>
  </si>
  <si>
    <t>CONSORCIO FORTALEZA    -     FSA CONSTRUCTORA E.I.R.L.</t>
  </si>
  <si>
    <t>TOTAL</t>
  </si>
  <si>
    <t>SUBTOTALES</t>
  </si>
  <si>
    <t>0</t>
  </si>
  <si>
    <t>FECHA</t>
  </si>
  <si>
    <t>NOMBRE PRODUCTO</t>
  </si>
  <si>
    <t>CANTIDAD COMPRA</t>
  </si>
  <si>
    <t>UNIDAD</t>
  </si>
  <si>
    <t>PROVEEDOR</t>
  </si>
  <si>
    <t>CONDICION PAGO</t>
  </si>
  <si>
    <t>MONTO</t>
  </si>
  <si>
    <t>NRO DOCUMENTO</t>
  </si>
  <si>
    <t>EVIDENCIA PAGO</t>
  </si>
  <si>
    <t>QUIEN COMPRO</t>
  </si>
  <si>
    <t xml:space="preserve">GASOLINA REGULAR </t>
  </si>
  <si>
    <t>GLN</t>
  </si>
  <si>
    <t>INVERSIONES MABAL</t>
  </si>
  <si>
    <t>EFECTIVO</t>
  </si>
  <si>
    <t>F001-00010848</t>
  </si>
  <si>
    <t>GRAPAS PARA PARED 8MM</t>
  </si>
  <si>
    <t>BOLSA</t>
  </si>
  <si>
    <t>NOTA PEDIDO</t>
  </si>
  <si>
    <t>TUBO DE AGUA 1/2"</t>
  </si>
  <si>
    <t>TUBO DE AGUA 4X4"</t>
  </si>
  <si>
    <t>CODO DE 4"X45°</t>
  </si>
  <si>
    <t xml:space="preserve">PEGAMENTO </t>
  </si>
  <si>
    <t>TUERCAS</t>
  </si>
  <si>
    <t>TARRAJA 1/2"</t>
  </si>
  <si>
    <t>PEGAMENTO NICOLL 1/16</t>
  </si>
  <si>
    <t>JOSEP</t>
  </si>
  <si>
    <t>BOLSAS</t>
  </si>
  <si>
    <t>BOL</t>
  </si>
  <si>
    <t>NAVARRO LOZANO, ANGEL JAROL</t>
  </si>
  <si>
    <t>KILOGRAMOS</t>
  </si>
  <si>
    <t>KG</t>
  </si>
  <si>
    <t>JEREMIAS PALOMINO, NORBERTO LEONCIO</t>
  </si>
  <si>
    <t>GALONES</t>
  </si>
  <si>
    <t>LOZANO MALDONADO, HERNAN</t>
  </si>
  <si>
    <t>METROS CUBICOS</t>
  </si>
  <si>
    <t>M3</t>
  </si>
  <si>
    <t>CALIDAD</t>
  </si>
  <si>
    <t>PIÑA CHUJANDAMA, KEVIN</t>
  </si>
  <si>
    <t>TANCADAS</t>
  </si>
  <si>
    <t>TANC</t>
  </si>
  <si>
    <t>BIDONES</t>
  </si>
  <si>
    <t>BID</t>
  </si>
  <si>
    <t>CORDOVA ANGULO, JUAN</t>
  </si>
  <si>
    <t>UNIDADES</t>
  </si>
  <si>
    <t>ROJAS SANDOVAL, JAVIER ELOY</t>
  </si>
  <si>
    <t>CAJAS</t>
  </si>
  <si>
    <t>CAJ</t>
  </si>
  <si>
    <t>CHINO PILCO SIMON</t>
  </si>
  <si>
    <t>ROLLOS</t>
  </si>
  <si>
    <t>ROLL</t>
  </si>
  <si>
    <t>ACUACHI LANCHIPA, ERNESTO ALONSO</t>
  </si>
  <si>
    <t>ALEJO CHARCA, DENNYS MIRIAM</t>
  </si>
  <si>
    <t>DOCENA</t>
  </si>
  <si>
    <t>INGRESO CAJA</t>
  </si>
  <si>
    <t>CAJA CHICA INICIAL</t>
  </si>
  <si>
    <t>SUMA CAJA</t>
  </si>
  <si>
    <t>FERRETERIA MENDOZA</t>
  </si>
  <si>
    <t>B001-001029</t>
  </si>
  <si>
    <t>REDUCCION DE 2" A 1"</t>
  </si>
  <si>
    <t>TARRAJA 1"</t>
  </si>
  <si>
    <t>OCRE</t>
  </si>
  <si>
    <t>CABLE LUZ MELLIZO</t>
  </si>
  <si>
    <t>MT</t>
  </si>
  <si>
    <t>DISCO CORTE MADERA 6"</t>
  </si>
  <si>
    <t>FERRETERIA LEO</t>
  </si>
  <si>
    <t xml:space="preserve">COLA </t>
  </si>
  <si>
    <t>LT</t>
  </si>
  <si>
    <t xml:space="preserve">FAJAS </t>
  </si>
  <si>
    <t>PERNOS 1/2"</t>
  </si>
  <si>
    <t>BROCAS</t>
  </si>
  <si>
    <t>RAFIA</t>
  </si>
  <si>
    <t>R-004</t>
  </si>
  <si>
    <t>ARREGLO DE ROPTURA DE TUBERIA</t>
  </si>
  <si>
    <t>FIERRO</t>
  </si>
  <si>
    <t>MARCAR EL FIERRO</t>
  </si>
  <si>
    <t>CABLE MELLIZO</t>
  </si>
  <si>
    <t>INSTALACION ELECTRICA</t>
  </si>
  <si>
    <t>ARREGLO DE LUZ CUARTO LOGISTICO</t>
  </si>
  <si>
    <t>DISCO DE CORTE DE MADERA 6"</t>
  </si>
  <si>
    <t>R-005</t>
  </si>
  <si>
    <t>FAJAS</t>
  </si>
  <si>
    <t>BANCO DE CORTE</t>
  </si>
  <si>
    <t>PERNOS COMPLETOS DE 1/2"</t>
  </si>
  <si>
    <t>BROCA</t>
  </si>
  <si>
    <t>ANGEL NAVARRO</t>
  </si>
  <si>
    <t>R-006</t>
  </si>
  <si>
    <t>CUCHILLAS TERMOMAGNETICAS MONOFASICAS MAX32</t>
  </si>
  <si>
    <t>BOLSA DE BASURA</t>
  </si>
  <si>
    <t>CUCHILLA TERMO MAGNETICAS</t>
  </si>
  <si>
    <t>ALMACEN</t>
  </si>
  <si>
    <t>AGUA VITAL 20L</t>
  </si>
  <si>
    <t>BOTELLAS</t>
  </si>
  <si>
    <t>R-007</t>
  </si>
  <si>
    <t>TIRA LINEA</t>
  </si>
  <si>
    <t>TOPOGRAFO</t>
  </si>
  <si>
    <t>REGLAS DE ALUMINIO 6MTS (REITERAMOS)</t>
  </si>
  <si>
    <t>CINTA AISLANTE</t>
  </si>
  <si>
    <t>KENY LOZA YAPUCHURA</t>
  </si>
  <si>
    <t>CORDEL NYLON (PESCA) 100MT</t>
  </si>
  <si>
    <t>FLEXOMETRO 10MT (HUINCHA)</t>
  </si>
  <si>
    <t>NIVEL DE MANO (1MT)</t>
  </si>
  <si>
    <t>PLOMADA</t>
  </si>
  <si>
    <t>CAJA</t>
  </si>
  <si>
    <t>LIBRETA DE CAMPO</t>
  </si>
  <si>
    <t>CUADERNO ANILLADO A5</t>
  </si>
  <si>
    <t>CUTER</t>
  </si>
  <si>
    <t>LECTOR DE DVD</t>
  </si>
  <si>
    <t>LAPIZ GRUESO ROJO</t>
  </si>
  <si>
    <t>DISCO DE CORTE FIERRO 14"</t>
  </si>
  <si>
    <t>FIERRERIA</t>
  </si>
  <si>
    <t>YEYSON CACERES</t>
  </si>
  <si>
    <t>DISCO DE CORTE FIERRO 9" M/BOSCH</t>
  </si>
  <si>
    <t>DISCO DE CORTE FIERRO 7" M/BOSCH</t>
  </si>
  <si>
    <t>TABLA DE 12 X1/2 X 37CM</t>
  </si>
  <si>
    <t>CAPUCHON DE 1/2, 5/8</t>
  </si>
  <si>
    <t>CIENTO</t>
  </si>
  <si>
    <t>OREJERAS PARA EL CASCO</t>
  </si>
  <si>
    <t>DISCO DE CORTE FIERRO 4"</t>
  </si>
  <si>
    <t>HOMBRERAS</t>
  </si>
  <si>
    <t>TOMACORRIENTES DE 4 ENTRADAS</t>
  </si>
  <si>
    <t>CIZALLA 36"</t>
  </si>
  <si>
    <t>ENCHUFES</t>
  </si>
  <si>
    <t>PULPOS</t>
  </si>
  <si>
    <t>MADERA PARA OCHAVO</t>
  </si>
  <si>
    <t>BOLILLO</t>
  </si>
  <si>
    <t>ACCESORIO PARA BOMBA HIDRAULICA DE 2"</t>
  </si>
  <si>
    <t>INGRESO A CAJA CHICA</t>
  </si>
  <si>
    <t>R-008</t>
  </si>
  <si>
    <t>PAQUETE DE DVD</t>
  </si>
  <si>
    <t>SOBRE DUAL DE COLORES PARA CD/DVD/BD – CIENTO</t>
  </si>
  <si>
    <t>CUCHILLA CON MANGO DE PLASTICO 18mm</t>
  </si>
  <si>
    <t>LÁPIZ JUMBO GRUESO DE COLOR ROJO</t>
  </si>
  <si>
    <t>PLÁSTICO TRANSPARENTE</t>
  </si>
  <si>
    <t>CHINCHES DORADOS 10mm X 50 UND</t>
  </si>
  <si>
    <t>MICAS PORTAPAPELES A4 CLÁSICAS PAQUETE 10UN</t>
  </si>
  <si>
    <t>CINTA AISLANTE NEGRO, AZUL, ROJO, BLANCO, AMARILLO Y VERDE</t>
  </si>
  <si>
    <t>OSMAR</t>
  </si>
  <si>
    <t>UNA CINTA DE CADA UNA</t>
  </si>
  <si>
    <t>TUBO DE PVC 3/4 AGUA PARA ESCANTILLON</t>
  </si>
  <si>
    <t>MAESTRO OBRA</t>
  </si>
  <si>
    <t xml:space="preserve">MANCILLA PLASTICA </t>
  </si>
  <si>
    <t>TABLAS 3"X3"X12PIES</t>
  </si>
  <si>
    <t>PROBETAS CILINDRICAS DE ACERO 6"X12" + BASE SEGÚN NTP339.033, NTP339.034 ASTM C39/C 39M</t>
  </si>
  <si>
    <t>DENNYS ALEJO</t>
  </si>
  <si>
    <t>ENVIE A WASAP</t>
  </si>
  <si>
    <t>CONO DE ABRAMS + BASE RECTANGULAR + VARILLA DE ACERO LISA PUNTA REDONDA DE D-5/8" L=600mm NORMALIZADA</t>
  </si>
  <si>
    <t>JUEGO</t>
  </si>
  <si>
    <t>MARTILLO DE CABEZA DE GOMA (CAUCHO) 0.60KG</t>
  </si>
  <si>
    <t>CUCHARON DE ACERO INOXIDABLE X 1KG</t>
  </si>
  <si>
    <t>PLANCHA BADILEJO CON MANGO DE PLASTICO O DE MADERA 6"</t>
  </si>
  <si>
    <t>TERMOMETRO DIGITAL CON SONDA DE PENETRACION UNIVERSAL (L=20 A 30CM) PRECISION AL DECIMO</t>
  </si>
  <si>
    <t>CEPILLO DE MANO CON CUERPO DE MADERA PARA ACERO</t>
  </si>
  <si>
    <t>LIJA PARA METAL #220</t>
  </si>
  <si>
    <t>WINCHA METALICA 8M MARCA STANLEY</t>
  </si>
  <si>
    <t>SEPARADOR DE HOJAS A4 (MATERIAL PLASTICO)</t>
  </si>
  <si>
    <t>R-1</t>
  </si>
  <si>
    <t>TANQUE DE AGUA MAYOR CAPACIDAD POSIBLE</t>
  </si>
  <si>
    <t>YAPE</t>
  </si>
  <si>
    <t>TAPER</t>
  </si>
  <si>
    <t>NRO</t>
  </si>
  <si>
    <t>NOMBRE</t>
  </si>
  <si>
    <t>RUC</t>
  </si>
  <si>
    <t>ANTOPLAST</t>
  </si>
  <si>
    <t>MEGA PLAST</t>
  </si>
  <si>
    <t>JR ACEROS</t>
  </si>
  <si>
    <t>F004-0004218</t>
  </si>
  <si>
    <t>LLAVES JUEGO</t>
  </si>
  <si>
    <t>ELECTRODOS PTO AZUL</t>
  </si>
  <si>
    <t>FT01-00003839</t>
  </si>
  <si>
    <t xml:space="preserve">TAPER </t>
  </si>
  <si>
    <t>F001-0000214</t>
  </si>
  <si>
    <t>AGUAC&amp;FVITAL</t>
  </si>
  <si>
    <t>E001-553</t>
  </si>
  <si>
    <t>AGUA 500ML</t>
  </si>
  <si>
    <t>R-009</t>
  </si>
  <si>
    <t>SILLA PARA ESCRITORIO PLASTICA</t>
  </si>
  <si>
    <t>CHINCHES DORADOS 10mm x 50 uni</t>
  </si>
  <si>
    <t>CINTA MASKINTAPE PEGAFAN 1"</t>
  </si>
  <si>
    <t>BOLIGRAFO TRILUX 0.35-M FABER CASTELL</t>
  </si>
  <si>
    <t>LAVATORIO + ACCESORIOS</t>
  </si>
  <si>
    <t>ESPONJA SCOTCH BRITE MULTIUSOS PAQUETE 6 UNI</t>
  </si>
  <si>
    <t>ROLLO DE PLASTICO PARA TAPAR CEMENTO</t>
  </si>
  <si>
    <t>PLATO PEGA MOSCA</t>
  </si>
  <si>
    <t>MANGUERA 1"</t>
  </si>
  <si>
    <t>BOLILLOS</t>
  </si>
  <si>
    <t>FILTRO DE AIRE MOTOR TROMPO</t>
  </si>
  <si>
    <t>ALBAÑILERIA</t>
  </si>
  <si>
    <t>NIPLE 1 1/2"</t>
  </si>
  <si>
    <t>UNION SIMPLE 1 1/2"</t>
  </si>
  <si>
    <t>LLAVE CHECK 1 1/2"</t>
  </si>
  <si>
    <t>EMBUDO PARA ABASTECER COMBUSTIBLE</t>
  </si>
  <si>
    <t>CABLE VULCANIZADO</t>
  </si>
  <si>
    <t xml:space="preserve">REGLAS ALUMINIO 6MT </t>
  </si>
  <si>
    <t>MANGUERA 1 1/2"</t>
  </si>
  <si>
    <t>ENVIE FOTO WASAP</t>
  </si>
  <si>
    <t>LIJA #80 METAL</t>
  </si>
  <si>
    <t>DISCO CORTE MADERA 7"</t>
  </si>
  <si>
    <t xml:space="preserve">LAPIZ BICOLOR </t>
  </si>
  <si>
    <t>F001-00011215</t>
  </si>
  <si>
    <t>PLUMON PERMANENTE</t>
  </si>
  <si>
    <t>LINTERNA</t>
  </si>
  <si>
    <t>R-010</t>
  </si>
  <si>
    <t>SOPLADOR DE AIRE</t>
  </si>
  <si>
    <t>CLIPS METÁLICOS ARTESCO N° 1</t>
  </si>
  <si>
    <t>TUBO DE AGUA PVC SAP LIVIANO DE 3/4"</t>
  </si>
  <si>
    <t>PEGAMENTO BLANCO EXTRAFUERTE P/PORCELANATO</t>
  </si>
  <si>
    <t>BOLILLO DE 5/8"</t>
  </si>
  <si>
    <t>TORNILLO P/BOLILLO</t>
  </si>
  <si>
    <t>CUERPO DE ANDAMIO COMPLETO</t>
  </si>
  <si>
    <t>LIJA N°80 P/FIERRO</t>
  </si>
  <si>
    <t>ESCALERA TIPO TIJERA DE 7 PASOS</t>
  </si>
  <si>
    <t>PLANCHA DE ESPONJA DE 1" DE GROSOR</t>
  </si>
  <si>
    <t>GRIFA DE 5/8" A 1/2"</t>
  </si>
  <si>
    <t>ALAMBRE N°16</t>
  </si>
  <si>
    <t xml:space="preserve">ARENA </t>
  </si>
  <si>
    <t>PIEDRA</t>
  </si>
  <si>
    <t>CEMENTO YURA HS (42.5kg)</t>
  </si>
  <si>
    <t>BARRA DE ACERO DE 8 mm</t>
  </si>
  <si>
    <t>MATERIAL LIGANTE PARA AFIRMADO (ARCILLA)</t>
  </si>
  <si>
    <t>VIBRADORA DE CONCRETO CON MOTOR GASOLINERO 5.5 HP</t>
  </si>
  <si>
    <t>CHEMAPLAST</t>
  </si>
  <si>
    <t>CHEMITA EN POLVO</t>
  </si>
  <si>
    <t>VARILLA DE ACERO LISA PUNTA REDONDEADA DE D=5/8" L=600MM NORMALIZADA SEGÚN ASTM C143, NTP 339.035</t>
  </si>
  <si>
    <t>CUCHARÓN DE ACERO INOXIDABLE X 1KG</t>
  </si>
  <si>
    <t>TERMÓMETRO DIGITAL CON SONDA DE PENETRACIÓN UNIVERSAL (L=20 A 30CM), PRECISIÓN AL DÉCIMO</t>
  </si>
  <si>
    <t>SEPARADOR DE HOJAS A4 (MATERIAL DE PLÁSTICO)</t>
  </si>
  <si>
    <t>MADERA DE 3" X 3" X 12'</t>
  </si>
  <si>
    <t>PLANCHA</t>
  </si>
  <si>
    <t>LITRO</t>
  </si>
  <si>
    <t>JOSE CHACON</t>
  </si>
  <si>
    <t>ENCHUFES NORMALES</t>
  </si>
  <si>
    <t xml:space="preserve">CINTA AISLANTE </t>
  </si>
  <si>
    <t>TIZA PARA METAL</t>
  </si>
  <si>
    <t xml:space="preserve">TABLERO LUZ ORGANIZADOR </t>
  </si>
  <si>
    <t>ANTHONY GUTARATE</t>
  </si>
  <si>
    <t>SE ENVIA FOTO</t>
  </si>
  <si>
    <t>CHALECOS T/L</t>
  </si>
  <si>
    <t>CHALECOS T/XL</t>
  </si>
  <si>
    <t>CHALECOS T/XXL</t>
  </si>
  <si>
    <t>PANTALON JEAN T/32</t>
  </si>
  <si>
    <t>PANTALON JEAN T/34</t>
  </si>
  <si>
    <t>PANTALON JEAN T/36</t>
  </si>
  <si>
    <t xml:space="preserve">CORTAVIENTO </t>
  </si>
  <si>
    <t xml:space="preserve">ALMACEN </t>
  </si>
  <si>
    <t xml:space="preserve">TAYBET </t>
  </si>
  <si>
    <t>CAMAROTES</t>
  </si>
  <si>
    <t>COLCHONES</t>
  </si>
  <si>
    <t>SLINGAS</t>
  </si>
  <si>
    <t>ESCOBAS PAJAS</t>
  </si>
  <si>
    <t>CINTA REFLECTIVA DOS COLORES</t>
  </si>
  <si>
    <t>REFLECTORES</t>
  </si>
  <si>
    <t>SURTIDOR DE COMBUSTIBLE ELECTRONICO</t>
  </si>
  <si>
    <t>TUBO DE AGUA PVC SAP LIVIANO DE 1"</t>
  </si>
  <si>
    <t>JARRA MEDIDORA 3 LITRO</t>
  </si>
  <si>
    <t>CUADERNO ANILLADO UNIVERSITARIO 200 HOJAS</t>
  </si>
  <si>
    <t>CLAVOS DE 4"</t>
  </si>
  <si>
    <t>CLAVOS DE 3"</t>
  </si>
  <si>
    <t>PLUMON PARA PIZARRA, ROJO, NEGRO, AZUL</t>
  </si>
  <si>
    <t>DISCO DE CORTE DE FIERRO 9"</t>
  </si>
  <si>
    <t>DISCO DE CORTE DE FIERRO 7"</t>
  </si>
  <si>
    <t>DISCO DE CORTE DE FIERRO 4"</t>
  </si>
  <si>
    <t>DISCO DE CORTE DE MADERA 7 1/4"</t>
  </si>
  <si>
    <t>DISCO DE CORTE DE MADERA 14"</t>
  </si>
  <si>
    <t xml:space="preserve">R-010 </t>
  </si>
  <si>
    <t>BALANZA PARA LOS CLAVOS</t>
  </si>
  <si>
    <t>PLANCHAS DE TRIPLAY</t>
  </si>
  <si>
    <t>LISTONES 2 X 2 X 12</t>
  </si>
  <si>
    <t>LISTONES 1/2 X 2 X 10</t>
  </si>
  <si>
    <t>LISTONES 2 X 3 X10</t>
  </si>
  <si>
    <t>BISAGRAS 4"</t>
  </si>
  <si>
    <t>pares</t>
  </si>
  <si>
    <t>picaportes</t>
  </si>
  <si>
    <t>CANDADO</t>
  </si>
  <si>
    <t>TRAJE TAYBET</t>
  </si>
  <si>
    <t>LLAVE DE PASO 1/2"</t>
  </si>
  <si>
    <t>ENTREGO JOSEP</t>
  </si>
  <si>
    <t>ENTREGO JOEL</t>
  </si>
  <si>
    <t>FF01-00000010</t>
  </si>
  <si>
    <t>R-011</t>
  </si>
  <si>
    <t>DISCO DE CORTE 71/4" PARA MADERA</t>
  </si>
  <si>
    <t>BOLILLOS 5/8"</t>
  </si>
  <si>
    <t>CABLE EXTENSION</t>
  </si>
  <si>
    <t>MTS</t>
  </si>
  <si>
    <t>RETRO</t>
  </si>
  <si>
    <t>WILSON ROSAS</t>
  </si>
  <si>
    <t>BOQUILLA DE ENGRASE (GERMANI)</t>
  </si>
  <si>
    <t>JGO DE ACOPLE PARA MANGUERA DE COMPRESORA</t>
  </si>
  <si>
    <t>JGO</t>
  </si>
  <si>
    <t>MENEQUE HEMBRA</t>
  </si>
  <si>
    <t xml:space="preserve">NAVARRO </t>
  </si>
  <si>
    <t>CABLE PARA MAQUINA DE SOLDAR</t>
  </si>
  <si>
    <t>NESTOR TACANAHUI</t>
  </si>
  <si>
    <t>HOJAS BOND 75GR</t>
  </si>
  <si>
    <t xml:space="preserve">YUTE </t>
  </si>
  <si>
    <t>LAPICERO BORRABLES</t>
  </si>
  <si>
    <t>PAPEL STICKER A4</t>
  </si>
  <si>
    <t>COPA ESCOBILLA PARA MADERA</t>
  </si>
  <si>
    <t>BROCA PALETA PARA MADERA 5/8"</t>
  </si>
  <si>
    <t>BROCA PALETA PARA MADERA 3/4"</t>
  </si>
  <si>
    <t>CHALECO</t>
  </si>
  <si>
    <t>BROCA PARA CONCRETO DE 1/2" (30CM LARGO)</t>
  </si>
  <si>
    <t>PANTALON JEAN T/30</t>
  </si>
  <si>
    <t>VOL</t>
  </si>
  <si>
    <t>ESCOBAS NORMALES</t>
  </si>
  <si>
    <t>FF01-00000073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</si>
</sst>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S/&quot;\ #,##0.00;[Red]\-&quot;S/&quot;\ #,##0.00"/>
    <numFmt numFmtId="44" formatCode="_-&quot;S/&quot;\ * #,##0.00_-;\-&quot;S/&quot;\ * #,##0.00_-;_-&quot;S/&quot;\ * &quot;-&quot;??_-;_-@_-"/>
  </numFmts>
  <fonts count="2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0"/>
      <color rgb="FF000000"/>
      <name val="Aptos Narrow"/>
      <family val="2"/>
    </font>
    <font>
      <sz val="11"/>
      <color theme="1"/>
      <name val="Aptos Narrow"/>
      <family val="2"/>
    </font>
    <font>
      <sz val="10"/>
      <color theme="1"/>
      <name val="Aptos Narrow"/>
      <family val="2"/>
      <scheme val="minor"/>
    </font>
    <font>
      <sz val="10"/>
      <color theme="1"/>
      <name val="Aptos Narrow"/>
      <family val="2"/>
    </font>
    <font>
      <sz val="9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9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theme="0" tint="-0.24994659260841701"/>
      </left>
      <right style="thin">
        <color theme="0" tint="-0.1499679555650502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1499679555650502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34998626667073579"/>
      </left>
      <right style="thin">
        <color theme="0" tint="-0.24994659260841701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24994659260841701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34998626667073579"/>
      </right>
      <top style="medium">
        <color theme="0" tint="-0.34998626667073579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34998626667073579"/>
      </bottom>
      <diagonal/>
    </border>
    <border>
      <left style="thin">
        <color theme="0" tint="-0.24994659260841701"/>
      </left>
      <right style="medium">
        <color theme="0" tint="-0.34998626667073579"/>
      </right>
      <top style="thin">
        <color theme="0" tint="-0.24994659260841701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medium">
        <color theme="0" tint="-0.34998626667073579"/>
      </right>
      <top style="thin">
        <color theme="0" tint="-0.24994659260841701"/>
      </top>
      <bottom/>
      <diagonal/>
    </border>
  </borders>
  <cellStyleXfs count="2">
    <xf numFmtId="0" fontId="0" fillId="0" borderId="0"/>
    <xf numFmtId="0" fontId="12" fillId="5" borderId="0" applyNumberFormat="0" applyBorder="0" applyAlignment="0" applyProtection="0"/>
  </cellStyleXfs>
  <cellXfs count="161">
    <xf numFmtId="0" fontId="0" fillId="0" borderId="0" xfId="0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/>
    <xf numFmtId="0" fontId="2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4" fillId="0" borderId="9" xfId="0" applyFont="1" applyBorder="1"/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2" borderId="11" xfId="0" applyFont="1" applyFill="1" applyBorder="1" applyAlignment="1">
      <alignment vertical="center" wrapText="1"/>
    </xf>
    <xf numFmtId="0" fontId="5" fillId="3" borderId="11" xfId="0" applyFont="1" applyFill="1" applyBorder="1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5" fillId="3" borderId="0" xfId="0" applyFont="1" applyFill="1" applyAlignment="1">
      <alignment vertical="center" wrapText="1"/>
    </xf>
    <xf numFmtId="0" fontId="0" fillId="4" borderId="0" xfId="0" applyFill="1"/>
    <xf numFmtId="14" fontId="0" fillId="4" borderId="2" xfId="0" applyNumberFormat="1" applyFill="1" applyBorder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4" borderId="16" xfId="0" applyFill="1" applyBorder="1" applyAlignment="1">
      <alignment vertical="center"/>
    </xf>
    <xf numFmtId="0" fontId="0" fillId="4" borderId="17" xfId="0" applyFill="1" applyBorder="1" applyAlignment="1">
      <alignment vertical="center"/>
    </xf>
    <xf numFmtId="0" fontId="7" fillId="0" borderId="4" xfId="0" applyFont="1" applyBorder="1" applyAlignment="1">
      <alignment vertical="center"/>
    </xf>
    <xf numFmtId="0" fontId="10" fillId="4" borderId="26" xfId="0" applyFont="1" applyFill="1" applyBorder="1" applyAlignment="1">
      <alignment horizontal="centerContinuous" vertical="center" wrapText="1"/>
    </xf>
    <xf numFmtId="0" fontId="10" fillId="4" borderId="27" xfId="0" applyFont="1" applyFill="1" applyBorder="1" applyAlignment="1">
      <alignment horizontal="centerContinuous" vertical="center" wrapText="1"/>
    </xf>
    <xf numFmtId="0" fontId="10" fillId="4" borderId="28" xfId="0" applyFont="1" applyFill="1" applyBorder="1" applyAlignment="1">
      <alignment horizontal="centerContinuous" vertical="center" wrapText="1"/>
    </xf>
    <xf numFmtId="0" fontId="1" fillId="0" borderId="0" xfId="0" applyFont="1" applyAlignment="1">
      <alignment horizontal="center" vertical="center" wrapText="1"/>
    </xf>
    <xf numFmtId="0" fontId="2" fillId="6" borderId="3" xfId="0" applyFont="1" applyFill="1" applyBorder="1" applyAlignment="1">
      <alignment horizontal="left" vertical="center"/>
    </xf>
    <xf numFmtId="0" fontId="2" fillId="6" borderId="6" xfId="0" applyFont="1" applyFill="1" applyBorder="1" applyAlignment="1">
      <alignment horizontal="left" vertical="center"/>
    </xf>
    <xf numFmtId="0" fontId="2" fillId="6" borderId="8" xfId="0" applyFont="1" applyFill="1" applyBorder="1" applyAlignment="1">
      <alignment horizontal="left" vertical="center"/>
    </xf>
    <xf numFmtId="0" fontId="11" fillId="7" borderId="0" xfId="0" applyFont="1" applyFill="1"/>
    <xf numFmtId="0" fontId="1" fillId="8" borderId="0" xfId="0" applyFont="1" applyFill="1"/>
    <xf numFmtId="0" fontId="5" fillId="6" borderId="4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14" fillId="5" borderId="0" xfId="1" applyFont="1" applyAlignment="1">
      <alignment horizontal="center" vertical="center" wrapText="1"/>
    </xf>
    <xf numFmtId="0" fontId="15" fillId="7" borderId="0" xfId="0" applyFont="1" applyFill="1" applyAlignment="1">
      <alignment vertical="center"/>
    </xf>
    <xf numFmtId="0" fontId="5" fillId="6" borderId="4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16" fillId="5" borderId="0" xfId="1" applyFont="1" applyAlignment="1">
      <alignment horizontal="center" vertical="center" wrapText="1"/>
    </xf>
    <xf numFmtId="0" fontId="17" fillId="8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Continuous"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Continuous"/>
    </xf>
    <xf numFmtId="0" fontId="1" fillId="0" borderId="0" xfId="0" applyFont="1" applyAlignment="1">
      <alignment horizontal="center" vertical="center"/>
    </xf>
    <xf numFmtId="0" fontId="5" fillId="6" borderId="4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5" fillId="6" borderId="9" xfId="0" applyFont="1" applyFill="1" applyBorder="1" applyAlignment="1">
      <alignment vertical="center" wrapText="1"/>
    </xf>
    <xf numFmtId="0" fontId="18" fillId="7" borderId="0" xfId="0" applyFont="1" applyFill="1" applyAlignment="1">
      <alignment vertical="center"/>
    </xf>
    <xf numFmtId="0" fontId="0" fillId="9" borderId="0" xfId="0" applyFill="1"/>
    <xf numFmtId="0" fontId="1" fillId="9" borderId="0" xfId="0" applyFont="1" applyFill="1" applyAlignment="1">
      <alignment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4" fontId="0" fillId="0" borderId="33" xfId="0" applyNumberFormat="1" applyBorder="1" applyAlignment="1">
      <alignment horizontal="right" vertical="center"/>
    </xf>
    <xf numFmtId="44" fontId="0" fillId="0" borderId="30" xfId="0" applyNumberFormat="1" applyBorder="1" applyAlignment="1">
      <alignment horizontal="right" vertical="center"/>
    </xf>
    <xf numFmtId="44" fontId="0" fillId="0" borderId="31" xfId="0" applyNumberFormat="1" applyBorder="1" applyAlignment="1">
      <alignment horizontal="right" vertical="center"/>
    </xf>
    <xf numFmtId="0" fontId="19" fillId="7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0" fillId="7" borderId="0" xfId="0" applyFill="1"/>
    <xf numFmtId="0" fontId="2" fillId="6" borderId="35" xfId="0" applyFont="1" applyFill="1" applyBorder="1" applyAlignment="1">
      <alignment horizontal="left"/>
    </xf>
    <xf numFmtId="14" fontId="0" fillId="6" borderId="36" xfId="0" applyNumberFormat="1" applyFill="1" applyBorder="1" applyAlignment="1">
      <alignment horizontal="center" vertical="center"/>
    </xf>
    <xf numFmtId="0" fontId="0" fillId="6" borderId="36" xfId="0" applyFill="1" applyBorder="1"/>
    <xf numFmtId="0" fontId="0" fillId="0" borderId="37" xfId="0" applyBorder="1" applyAlignment="1">
      <alignment horizontal="center" vertical="center"/>
    </xf>
    <xf numFmtId="44" fontId="0" fillId="0" borderId="37" xfId="0" applyNumberFormat="1" applyBorder="1"/>
    <xf numFmtId="0" fontId="0" fillId="0" borderId="37" xfId="0" applyBorder="1"/>
    <xf numFmtId="0" fontId="2" fillId="6" borderId="39" xfId="0" applyFont="1" applyFill="1" applyBorder="1" applyAlignment="1">
      <alignment horizontal="left"/>
    </xf>
    <xf numFmtId="14" fontId="0" fillId="6" borderId="40" xfId="0" applyNumberFormat="1" applyFill="1" applyBorder="1" applyAlignment="1">
      <alignment horizontal="center" vertical="center"/>
    </xf>
    <xf numFmtId="0" fontId="0" fillId="6" borderId="40" xfId="0" applyFill="1" applyBorder="1"/>
    <xf numFmtId="0" fontId="0" fillId="0" borderId="40" xfId="0" applyBorder="1" applyAlignment="1">
      <alignment horizontal="center" vertical="center"/>
    </xf>
    <xf numFmtId="44" fontId="0" fillId="0" borderId="40" xfId="0" applyNumberFormat="1" applyBorder="1"/>
    <xf numFmtId="0" fontId="0" fillId="0" borderId="40" xfId="0" applyBorder="1"/>
    <xf numFmtId="0" fontId="2" fillId="6" borderId="42" xfId="0" applyFont="1" applyFill="1" applyBorder="1" applyAlignment="1">
      <alignment horizontal="left"/>
    </xf>
    <xf numFmtId="14" fontId="0" fillId="6" borderId="43" xfId="0" applyNumberFormat="1" applyFill="1" applyBorder="1" applyAlignment="1">
      <alignment horizontal="center" vertical="center"/>
    </xf>
    <xf numFmtId="0" fontId="0" fillId="6" borderId="43" xfId="0" applyFill="1" applyBorder="1"/>
    <xf numFmtId="0" fontId="0" fillId="0" borderId="44" xfId="0" applyBorder="1" applyAlignment="1">
      <alignment horizontal="center" vertical="center"/>
    </xf>
    <xf numFmtId="44" fontId="0" fillId="0" borderId="44" xfId="0" applyNumberFormat="1" applyBorder="1"/>
    <xf numFmtId="0" fontId="0" fillId="0" borderId="44" xfId="0" applyBorder="1"/>
    <xf numFmtId="44" fontId="0" fillId="0" borderId="38" xfId="0" applyNumberFormat="1" applyBorder="1"/>
    <xf numFmtId="44" fontId="0" fillId="0" borderId="41" xfId="0" applyNumberFormat="1" applyBorder="1"/>
    <xf numFmtId="44" fontId="0" fillId="0" borderId="45" xfId="0" applyNumberFormat="1" applyBorder="1"/>
    <xf numFmtId="44" fontId="0" fillId="0" borderId="0" xfId="0" applyNumberFormat="1"/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8" borderId="0" xfId="0" applyFill="1"/>
    <xf numFmtId="0" fontId="2" fillId="6" borderId="48" xfId="0" applyFont="1" applyFill="1" applyBorder="1" applyAlignment="1">
      <alignment horizontal="left"/>
    </xf>
    <xf numFmtId="14" fontId="0" fillId="6" borderId="49" xfId="0" applyNumberFormat="1" applyFill="1" applyBorder="1" applyAlignment="1">
      <alignment horizontal="center" vertical="center"/>
    </xf>
    <xf numFmtId="0" fontId="0" fillId="6" borderId="49" xfId="0" applyFill="1" applyBorder="1"/>
    <xf numFmtId="0" fontId="0" fillId="0" borderId="49" xfId="0" applyBorder="1" applyAlignment="1">
      <alignment horizontal="center" vertical="center"/>
    </xf>
    <xf numFmtId="44" fontId="0" fillId="0" borderId="49" xfId="0" applyNumberFormat="1" applyBorder="1"/>
    <xf numFmtId="0" fontId="0" fillId="0" borderId="49" xfId="0" applyBorder="1"/>
    <xf numFmtId="44" fontId="0" fillId="0" borderId="50" xfId="0" applyNumberFormat="1" applyBorder="1"/>
    <xf numFmtId="0" fontId="5" fillId="6" borderId="5" xfId="0" applyFont="1" applyFill="1" applyBorder="1" applyAlignment="1">
      <alignment horizontal="left" vertical="center"/>
    </xf>
    <xf numFmtId="0" fontId="5" fillId="6" borderId="7" xfId="0" applyFont="1" applyFill="1" applyBorder="1" applyAlignment="1">
      <alignment horizontal="left" vertical="center"/>
    </xf>
    <xf numFmtId="0" fontId="5" fillId="6" borderId="10" xfId="0" applyFont="1" applyFill="1" applyBorder="1" applyAlignment="1">
      <alignment horizontal="left" vertical="center"/>
    </xf>
    <xf numFmtId="8" fontId="0" fillId="0" borderId="34" xfId="0" applyNumberFormat="1" applyBorder="1" applyAlignment="1">
      <alignment horizontal="right"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8" fillId="4" borderId="21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0" fillId="4" borderId="26" xfId="0" applyFont="1" applyFill="1" applyBorder="1" applyAlignment="1">
      <alignment horizontal="center" vertical="center" wrapText="1"/>
    </xf>
    <xf numFmtId="0" fontId="10" fillId="4" borderId="27" xfId="0" applyFont="1" applyFill="1" applyBorder="1" applyAlignment="1">
      <alignment horizontal="center" vertical="center" wrapText="1"/>
    </xf>
    <xf numFmtId="0" fontId="10" fillId="4" borderId="28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left" vertical="center"/>
    </xf>
    <xf numFmtId="0" fontId="1" fillId="4" borderId="17" xfId="0" applyFont="1" applyFill="1" applyBorder="1" applyAlignment="1">
      <alignment horizontal="left" vertic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 wrapText="1"/>
    </xf>
    <xf numFmtId="0" fontId="0" fillId="0" borderId="49" xfId="0" applyFill="1" applyBorder="1" applyAlignment="1">
      <alignment horizontal="center" vertical="center"/>
    </xf>
    <xf numFmtId="44" fontId="0" fillId="0" borderId="49" xfId="0" applyNumberFormat="1" applyFill="1" applyBorder="1"/>
    <xf numFmtId="0" fontId="0" fillId="0" borderId="49" xfId="0" applyFill="1" applyBorder="1"/>
    <xf numFmtId="44" fontId="0" fillId="0" borderId="50" xfId="0" applyNumberFormat="1" applyFill="1" applyBorder="1"/>
  </cellXfs>
  <cellStyles count="2">
    <cellStyle name="Énfasis1" xfId="1" builtinId="29"/>
    <cellStyle name="Normal" xfId="0" builtinId="0"/>
  </cellStyles>
  <dxfs count="28">
    <dxf>
      <alignment horizontal="center" vertical="center" textRotation="0" wrapText="0" indent="0" justifyLastLine="0" shrinkToFit="0" readingOrder="0"/>
    </dxf>
    <dxf>
      <numFmt numFmtId="3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24994659260841701"/>
        </left>
        <right style="medium">
          <color theme="0" tint="-0.34998626667073579"/>
        </right>
        <top style="thin">
          <color theme="0" tint="-0.24994659260841701"/>
        </top>
        <bottom style="thin">
          <color theme="0" tint="-0.2499465926084170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numFmt numFmtId="3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numFmt numFmtId="19" formatCode="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/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ill>
        <patternFill patternType="solid">
          <fgColor indexed="64"/>
          <bgColor theme="0" tint="-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microsoft.com/office/2007/relationships/slicerCache" Target="slicerCaches/slicerCache4.xml"/><Relationship Id="rId1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2.xml"/><Relationship Id="rId19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tyles" Target="styles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1546859</xdr:colOff>
      <xdr:row>0</xdr:row>
      <xdr:rowOff>57150</xdr:rowOff>
    </xdr:from>
    <xdr:to>
      <xdr:col>10</xdr:col>
      <xdr:colOff>876300</xdr:colOff>
      <xdr:row>3</xdr:row>
      <xdr:rowOff>38100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N° REQUERIMIENTO">
              <a:extLst>
                <a:ext uri="{FF2B5EF4-FFF2-40B4-BE49-F238E27FC236}">
                  <a16:creationId xmlns:a16="http://schemas.microsoft.com/office/drawing/2014/main" id="{1AF36BBE-716D-CE8D-EFCB-9A09C1F248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° REQUERIMIEN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41504" y="45720"/>
              <a:ext cx="3137536" cy="647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209550</xdr:colOff>
      <xdr:row>3</xdr:row>
      <xdr:rowOff>207646</xdr:rowOff>
    </xdr:from>
    <xdr:to>
      <xdr:col>2</xdr:col>
      <xdr:colOff>817245</xdr:colOff>
      <xdr:row>7</xdr:row>
      <xdr:rowOff>15240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QUIEN COMPRO">
              <a:extLst>
                <a:ext uri="{FF2B5EF4-FFF2-40B4-BE49-F238E27FC236}">
                  <a16:creationId xmlns:a16="http://schemas.microsoft.com/office/drawing/2014/main" id="{FAEB7980-60B0-DBB7-826B-FAFA64B358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QUIEN COMPR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5740" y="960121"/>
              <a:ext cx="1828800" cy="6781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855345</xdr:colOff>
      <xdr:row>3</xdr:row>
      <xdr:rowOff>207646</xdr:rowOff>
    </xdr:from>
    <xdr:to>
      <xdr:col>3</xdr:col>
      <xdr:colOff>205740</xdr:colOff>
      <xdr:row>7</xdr:row>
      <xdr:rowOff>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FECHA">
              <a:extLst>
                <a:ext uri="{FF2B5EF4-FFF2-40B4-BE49-F238E27FC236}">
                  <a16:creationId xmlns:a16="http://schemas.microsoft.com/office/drawing/2014/main" id="{AB81218D-87C4-932E-F5CB-F64B9197BCCF}"/>
                </a:ext>
                <a:ext uri="{147F2762-F138-4A5C-976F-8EAC2B608ADB}">
                  <a16:predDERef xmlns:a16="http://schemas.microsoft.com/office/drawing/2014/main" pred="{FAEB7980-60B0-DBB7-826B-FAFA64B358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80260" y="960121"/>
              <a:ext cx="1821180" cy="6705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285750</xdr:colOff>
      <xdr:row>3</xdr:row>
      <xdr:rowOff>209551</xdr:rowOff>
    </xdr:from>
    <xdr:to>
      <xdr:col>5</xdr:col>
      <xdr:colOff>474345</xdr:colOff>
      <xdr:row>7</xdr:row>
      <xdr:rowOff>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PROVEEDOR">
              <a:extLst>
                <a:ext uri="{FF2B5EF4-FFF2-40B4-BE49-F238E27FC236}">
                  <a16:creationId xmlns:a16="http://schemas.microsoft.com/office/drawing/2014/main" id="{DAAC2092-3432-95BD-4D25-F7D2DCCD34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VE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85260" y="952501"/>
              <a:ext cx="1828800" cy="6705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QUIEN_COMPRO" xr10:uid="{FCA6B149-61F0-417C-B0DE-6E0F9C18740C}" sourceName="QUIEN COMPRO">
  <extLst>
    <x:ext xmlns:x15="http://schemas.microsoft.com/office/spreadsheetml/2010/11/main" uri="{2F2917AC-EB37-4324-AD4E-5DD8C200BD13}">
      <x15:tableSlicerCache tableId="3" column="1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" xr10:uid="{8922D4F6-DAB1-4677-A4FF-592E7F5C0612}" sourceName="FECHA">
  <extLst>
    <x:ext xmlns:x15="http://schemas.microsoft.com/office/spreadsheetml/2010/11/main" uri="{2F2917AC-EB37-4324-AD4E-5DD8C200BD13}">
      <x15:tableSlicerCache tableId="3" column="2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°_REQUERIMIENTO" xr10:uid="{AEA3BCCC-13DF-47C4-80D5-AF2391BBBD96}" sourceName="N° REQUERIMIENTO">
  <extLst>
    <x:ext xmlns:x15="http://schemas.microsoft.com/office/spreadsheetml/2010/11/main" uri="{2F2917AC-EB37-4324-AD4E-5DD8C200BD13}">
      <x15:tableSlicerCache tableId="1" column="1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VEEDOR" xr10:uid="{5A71CDA3-8F93-4898-BDCF-0D3002BB38C9}" sourceName="PROVEEDOR">
  <extLst>
    <x:ext xmlns:x15="http://schemas.microsoft.com/office/spreadsheetml/2010/11/main" uri="{2F2917AC-EB37-4324-AD4E-5DD8C200BD13}">
      <x15:tableSlicerCache tableId="3" column="6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° REQUERIMIENTO" xr10:uid="{CCC9E1F3-799D-4E7A-9DF8-A0B4AE83B7F8}" cache="SegmentaciónDeDatos_N°_REQUERIMIENTO" caption="N° REQUERIMIENTO" columnCount="3" style="SlicerStyleDark1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QUIEN COMPRO" xr10:uid="{A971BC30-4C5F-4B19-9A27-43AF3EF17E88}" cache="SegmentaciónDeDatos_QUIEN_COMPRO" caption="QUIEN COMPRO" rowHeight="247650"/>
  <slicer name="FECHA" xr10:uid="{AF77B3B0-6082-4A3D-A8AB-025B7CF551C9}" cache="SegmentaciónDeDatos_FECHA" caption="FECHA" startItem="7" rowHeight="247650"/>
  <slicer name="PROVEEDOR" xr10:uid="{FE410F21-FBF4-417D-BBE0-02BFED5266F3}" cache="SegmentaciónDeDatos_PROVEEDOR" caption="PROVEEDOR" startItem="3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B4222F-8E2D-4590-B3BA-A3D5F449EBCD}" name="Tabla1" displayName="Tabla1" ref="B7:L326" totalsRowShown="0" headerRowDxfId="27" dataDxfId="26">
  <autoFilter ref="B7:L326" xr:uid="{60B4222F-8E2D-4590-B3BA-A3D5F449EBCD}"/>
  <tableColumns count="11">
    <tableColumn id="1" xr3:uid="{3C7D26FC-80CC-438E-8E12-847DFD7729DE}" name="N° REQUERIMIENTO" dataDxfId="25"/>
    <tableColumn id="2" xr3:uid="{EC71E701-8277-46E3-A197-B22E9E7DC45A}" name="FECHA REQUERIMIENTO" dataDxfId="24"/>
    <tableColumn id="3" xr3:uid="{66A319F2-3744-4953-881F-2B736C20965B}" name="DESCRIPCION PRODUCTO" dataDxfId="23"/>
    <tableColumn id="4" xr3:uid="{A7DC9748-541E-4487-B5C4-DFB69A5733A4}" name="UNIDAD " dataDxfId="22"/>
    <tableColumn id="5" xr3:uid="{3159CE13-E6FE-4104-8BF6-78CCDD4B79CF}" name="CANTIDAD " dataDxfId="21"/>
    <tableColumn id="6" xr3:uid="{EFEB9F7F-A2A0-4D4C-A535-40E9A0830F56}" name="ÁREA" dataDxfId="20"/>
    <tableColumn id="7" xr3:uid="{51776E03-F88A-4CEE-8C48-A3FB3799629A}" name="NOMBRE SOLICITA " dataDxfId="19"/>
    <tableColumn id="8" xr3:uid="{27112072-95DA-431D-A60D-0DDBED63214E}" name="DETALLE / OBSERVACIONES" dataDxfId="18"/>
    <tableColumn id="9" xr3:uid="{C1C321D1-49C6-4778-887A-B326EEED3DE9}" name="LLEGO REALMENTE" dataDxfId="17"/>
    <tableColumn id="10" xr3:uid="{120AE83C-CC04-4F71-8195-EE9BC81719D2}" name="DIFERENCIA" dataDxfId="16">
      <calculatedColumnFormula>IF(Tabla1[[#This Row],[CANTIDAD ]]="","",Tabla1[[#This Row],[LLEGO REALMENTE]]-Tabla1[[#This Row],[CANTIDAD ]])</calculatedColumnFormula>
    </tableColumn>
    <tableColumn id="11" xr3:uid="{4246C506-2E18-4FDC-9499-1E90BB7076A3}" name="Columna1" dataDxfId="15">
      <calculatedColumnFormula>IF(Tabla1[[#This Row],[DIFERENCIA]]=0,"CORECTO",IF(Tabla1[[#This Row],[DIFERENCIA]]&lt;0,"FALTA",IF(Tabla1[[#This Row],[DIFERENCIA]]&gt;0,"DEMAS")))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606B17-4EC6-4CEE-BFE0-F077133C26ED}" name="Tabla3" displayName="Tabla3" ref="A9:L56" totalsRowShown="0" headerRowDxfId="14" dataDxfId="13">
  <autoFilter ref="A9:L56" xr:uid="{5B606B17-4EC6-4CEE-BFE0-F077133C26ED}"/>
  <sortState xmlns:xlrd2="http://schemas.microsoft.com/office/spreadsheetml/2017/richdata2" ref="A10:L48">
    <sortCondition ref="B9:B48"/>
  </sortState>
  <tableColumns count="12">
    <tableColumn id="1" xr3:uid="{6290AFBC-6A7D-44B2-9962-61AD8FB1B434}" name="0" dataDxfId="12">
      <calculatedColumnFormula>A9+1</calculatedColumnFormula>
    </tableColumn>
    <tableColumn id="2" xr3:uid="{FAE0A9DF-1956-448D-A6C1-CE10EC878AB8}" name="FECHA" dataDxfId="11"/>
    <tableColumn id="3" xr3:uid="{5DBCFEBE-69CD-452A-8C4F-93C9CD147B3B}" name="NOMBRE PRODUCTO" dataDxfId="10"/>
    <tableColumn id="4" xr3:uid="{D692CD3E-46DF-4989-8CD7-57F2F9237F58}" name="CANTIDAD COMPRA" dataDxfId="9"/>
    <tableColumn id="5" xr3:uid="{2603C765-A73C-456E-B646-2AC080218D4E}" name="UNIDAD" dataDxfId="8"/>
    <tableColumn id="6" xr3:uid="{182DFA4B-596D-49F2-B987-9FF855594A87}" name="PROVEEDOR" dataDxfId="7"/>
    <tableColumn id="7" xr3:uid="{1649183A-14EC-400B-A937-FBE4B5C8D1CD}" name="CONDICION PAGO" dataDxfId="6"/>
    <tableColumn id="8" xr3:uid="{1F67F265-48F2-4975-8DCD-2900C24BFFDB}" name="MONTO" dataDxfId="5"/>
    <tableColumn id="9" xr3:uid="{7470A259-EDF5-4750-8C76-B817968014AB}" name="NRO DOCUMENTO" dataDxfId="4"/>
    <tableColumn id="10" xr3:uid="{E4328A01-0C7E-4998-B19A-68AFE5FAF6A9}" name="EVIDENCIA PAGO" dataDxfId="3"/>
    <tableColumn id="11" xr3:uid="{5708D590-5DC7-4CC1-8B5C-D49C3B4A3519}" name="QUIEN COMPRO" dataDxfId="2"/>
    <tableColumn id="12" xr3:uid="{8F65EBF4-F790-48BE-81AD-FA65980847C1}" name="INGRESO CAJA" dataDxfId="1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7493B5-F6BB-4741-93E4-EC62BA90B442}" name="PROVEEDORES" displayName="PROVEEDORES" ref="A3:C12" totalsRowShown="0" headerRowDxfId="0">
  <autoFilter ref="A3:C12" xr:uid="{997493B5-F6BB-4741-93E4-EC62BA90B442}"/>
  <tableColumns count="3">
    <tableColumn id="1" xr3:uid="{40EC430C-C54D-43F2-A874-B9A9C6645BFF}" name="NRO"/>
    <tableColumn id="2" xr3:uid="{38D7F700-513F-4B29-9FC5-87B5BBA6D5C2}" name="NOMBRE"/>
    <tableColumn id="3" xr3:uid="{6237D52E-3068-4C07-83C0-006E4EFFA3B4}" name="RU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microsoft.com/office/2007/relationships/slicer" Target="../slicers/slicer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D1F61-A435-4ABA-94E9-B7A98E1667BE}">
  <sheetPr codeName="Hoja1"/>
  <dimension ref="A1:G75"/>
  <sheetViews>
    <sheetView topLeftCell="A61" workbookViewId="0">
      <selection activeCell="B50" sqref="B50"/>
    </sheetView>
  </sheetViews>
  <sheetFormatPr baseColWidth="10" defaultColWidth="10.77734375" defaultRowHeight="14.4" x14ac:dyDescent="0.3"/>
  <cols>
    <col min="1" max="1" width="6" customWidth="1"/>
    <col min="2" max="2" width="60.21875" customWidth="1"/>
    <col min="3" max="3" width="12.88671875" customWidth="1"/>
    <col min="4" max="4" width="12.33203125" customWidth="1"/>
    <col min="5" max="5" width="35.77734375" customWidth="1"/>
    <col min="6" max="6" width="15" customWidth="1"/>
    <col min="7" max="7" width="20.77734375" customWidth="1"/>
  </cols>
  <sheetData>
    <row r="1" spans="1:7" ht="22.2" customHeight="1" x14ac:dyDescent="0.3"/>
    <row r="2" spans="1:7" ht="22.2" customHeight="1" x14ac:dyDescent="0.3"/>
    <row r="3" spans="1:7" ht="22.2" customHeight="1" x14ac:dyDescent="0.3"/>
    <row r="4" spans="1:7" ht="22.2" customHeight="1" thickBot="1" x14ac:dyDescent="0.35"/>
    <row r="5" spans="1:7" ht="30" customHeight="1" thickBot="1" x14ac:dyDescent="0.35">
      <c r="A5" s="23" t="s">
        <v>0</v>
      </c>
      <c r="B5" s="23" t="s">
        <v>1</v>
      </c>
      <c r="C5" s="23" t="s">
        <v>2</v>
      </c>
      <c r="D5" s="23" t="s">
        <v>3</v>
      </c>
      <c r="E5" s="23" t="s">
        <v>4</v>
      </c>
      <c r="F5" s="23" t="s">
        <v>5</v>
      </c>
      <c r="G5" s="23" t="s">
        <v>6</v>
      </c>
    </row>
    <row r="6" spans="1:7" ht="24" customHeight="1" x14ac:dyDescent="0.3">
      <c r="A6" s="6">
        <v>1</v>
      </c>
      <c r="B6" s="7" t="s">
        <v>7</v>
      </c>
      <c r="C6" s="8" t="s">
        <v>8</v>
      </c>
      <c r="D6" s="24">
        <v>120</v>
      </c>
      <c r="E6" s="9"/>
      <c r="F6" s="20" t="s">
        <v>9</v>
      </c>
      <c r="G6" s="25" t="s">
        <v>10</v>
      </c>
    </row>
    <row r="7" spans="1:7" ht="24" customHeight="1" x14ac:dyDescent="0.3">
      <c r="A7" s="10">
        <v>2</v>
      </c>
      <c r="B7" s="1" t="s">
        <v>11</v>
      </c>
      <c r="C7" s="3" t="s">
        <v>8</v>
      </c>
      <c r="D7" s="15">
        <v>600</v>
      </c>
      <c r="E7" s="4"/>
      <c r="F7" s="21" t="s">
        <v>9</v>
      </c>
      <c r="G7" s="26" t="s">
        <v>10</v>
      </c>
    </row>
    <row r="8" spans="1:7" ht="24" customHeight="1" x14ac:dyDescent="0.3">
      <c r="A8" s="10">
        <v>3</v>
      </c>
      <c r="B8" s="1" t="s">
        <v>12</v>
      </c>
      <c r="C8" s="3" t="s">
        <v>8</v>
      </c>
      <c r="D8" s="15">
        <v>150</v>
      </c>
      <c r="E8" s="4"/>
      <c r="F8" s="21" t="s">
        <v>9</v>
      </c>
      <c r="G8" s="26" t="s">
        <v>10</v>
      </c>
    </row>
    <row r="9" spans="1:7" ht="24" customHeight="1" x14ac:dyDescent="0.3">
      <c r="A9" s="10">
        <v>4</v>
      </c>
      <c r="B9" s="1" t="s">
        <v>13</v>
      </c>
      <c r="C9" s="3" t="s">
        <v>8</v>
      </c>
      <c r="D9" s="15">
        <v>10</v>
      </c>
      <c r="E9" s="4"/>
      <c r="F9" s="21" t="s">
        <v>9</v>
      </c>
      <c r="G9" s="26" t="s">
        <v>10</v>
      </c>
    </row>
    <row r="10" spans="1:7" ht="24" customHeight="1" x14ac:dyDescent="0.3">
      <c r="A10" s="10">
        <v>5</v>
      </c>
      <c r="B10" s="1" t="s">
        <v>14</v>
      </c>
      <c r="C10" s="3" t="s">
        <v>8</v>
      </c>
      <c r="D10" s="15">
        <v>1</v>
      </c>
      <c r="E10" s="4"/>
      <c r="F10" s="21" t="s">
        <v>15</v>
      </c>
      <c r="G10" s="26" t="s">
        <v>16</v>
      </c>
    </row>
    <row r="11" spans="1:7" ht="24" customHeight="1" x14ac:dyDescent="0.3">
      <c r="A11" s="10">
        <v>6</v>
      </c>
      <c r="B11" s="1" t="s">
        <v>17</v>
      </c>
      <c r="C11" s="3" t="s">
        <v>8</v>
      </c>
      <c r="D11" s="15">
        <v>1</v>
      </c>
      <c r="E11" s="4"/>
      <c r="F11" s="21"/>
      <c r="G11" s="26"/>
    </row>
    <row r="12" spans="1:7" ht="24" customHeight="1" x14ac:dyDescent="0.3">
      <c r="A12" s="10">
        <v>7</v>
      </c>
      <c r="B12" s="1" t="s">
        <v>18</v>
      </c>
      <c r="C12" s="3" t="s">
        <v>8</v>
      </c>
      <c r="D12" s="15">
        <v>2</v>
      </c>
      <c r="E12" s="4"/>
      <c r="F12" s="21"/>
      <c r="G12" s="26"/>
    </row>
    <row r="13" spans="1:7" ht="24" customHeight="1" x14ac:dyDescent="0.3">
      <c r="A13" s="10">
        <v>8</v>
      </c>
      <c r="B13" s="1" t="s">
        <v>19</v>
      </c>
      <c r="C13" s="3" t="s">
        <v>8</v>
      </c>
      <c r="D13" s="15">
        <v>100</v>
      </c>
      <c r="E13" s="4"/>
      <c r="F13" s="21" t="s">
        <v>9</v>
      </c>
      <c r="G13" s="26" t="s">
        <v>10</v>
      </c>
    </row>
    <row r="14" spans="1:7" ht="24" customHeight="1" x14ac:dyDescent="0.3">
      <c r="A14" s="10">
        <v>9</v>
      </c>
      <c r="B14" s="1" t="s">
        <v>20</v>
      </c>
      <c r="C14" s="3" t="s">
        <v>8</v>
      </c>
      <c r="D14" s="15">
        <v>200</v>
      </c>
      <c r="E14" s="4"/>
      <c r="F14" s="21"/>
      <c r="G14" s="26"/>
    </row>
    <row r="15" spans="1:7" ht="24" customHeight="1" x14ac:dyDescent="0.3">
      <c r="A15" s="10">
        <v>10</v>
      </c>
      <c r="B15" s="1" t="s">
        <v>21</v>
      </c>
      <c r="C15" s="3" t="s">
        <v>8</v>
      </c>
      <c r="D15" s="15">
        <v>25</v>
      </c>
      <c r="E15" s="4"/>
      <c r="F15" s="21" t="s">
        <v>15</v>
      </c>
      <c r="G15" s="26" t="s">
        <v>16</v>
      </c>
    </row>
    <row r="16" spans="1:7" ht="24" customHeight="1" x14ac:dyDescent="0.3">
      <c r="A16" s="10">
        <v>11</v>
      </c>
      <c r="B16" s="1" t="s">
        <v>22</v>
      </c>
      <c r="C16" s="3" t="s">
        <v>8</v>
      </c>
      <c r="D16" s="15">
        <v>25</v>
      </c>
      <c r="E16" s="4"/>
      <c r="F16" s="21" t="s">
        <v>15</v>
      </c>
      <c r="G16" s="26" t="s">
        <v>16</v>
      </c>
    </row>
    <row r="17" spans="1:7" ht="24" customHeight="1" x14ac:dyDescent="0.3">
      <c r="A17" s="10">
        <v>12</v>
      </c>
      <c r="B17" s="1" t="s">
        <v>23</v>
      </c>
      <c r="C17" s="3" t="s">
        <v>8</v>
      </c>
      <c r="D17" s="15">
        <v>8</v>
      </c>
      <c r="E17" s="4"/>
      <c r="F17" s="21" t="s">
        <v>15</v>
      </c>
      <c r="G17" s="26" t="s">
        <v>16</v>
      </c>
    </row>
    <row r="18" spans="1:7" ht="24" customHeight="1" x14ac:dyDescent="0.3">
      <c r="A18" s="10">
        <v>13</v>
      </c>
      <c r="B18" s="1" t="s">
        <v>24</v>
      </c>
      <c r="C18" s="3" t="s">
        <v>8</v>
      </c>
      <c r="D18" s="15">
        <v>8</v>
      </c>
      <c r="E18" s="4"/>
      <c r="F18" s="21" t="s">
        <v>15</v>
      </c>
      <c r="G18" s="26" t="s">
        <v>16</v>
      </c>
    </row>
    <row r="19" spans="1:7" ht="24" customHeight="1" x14ac:dyDescent="0.3">
      <c r="A19" s="10">
        <v>14</v>
      </c>
      <c r="B19" s="1" t="s">
        <v>25</v>
      </c>
      <c r="C19" s="3" t="s">
        <v>8</v>
      </c>
      <c r="D19" s="15">
        <v>8</v>
      </c>
      <c r="E19" s="4"/>
      <c r="F19" s="21" t="s">
        <v>15</v>
      </c>
      <c r="G19" s="26" t="s">
        <v>16</v>
      </c>
    </row>
    <row r="20" spans="1:7" ht="24" customHeight="1" x14ac:dyDescent="0.3">
      <c r="A20" s="10">
        <v>15</v>
      </c>
      <c r="B20" s="1" t="s">
        <v>26</v>
      </c>
      <c r="C20" s="3" t="s">
        <v>8</v>
      </c>
      <c r="D20" s="15">
        <v>20</v>
      </c>
      <c r="E20" s="4"/>
      <c r="F20" s="21" t="s">
        <v>15</v>
      </c>
      <c r="G20" s="26" t="s">
        <v>16</v>
      </c>
    </row>
    <row r="21" spans="1:7" ht="24" customHeight="1" x14ac:dyDescent="0.3">
      <c r="A21" s="10">
        <v>16</v>
      </c>
      <c r="B21" s="1" t="s">
        <v>27</v>
      </c>
      <c r="C21" s="3" t="s">
        <v>8</v>
      </c>
      <c r="D21" s="15">
        <v>10</v>
      </c>
      <c r="E21" s="4"/>
      <c r="F21" s="21" t="s">
        <v>15</v>
      </c>
      <c r="G21" s="26" t="s">
        <v>16</v>
      </c>
    </row>
    <row r="22" spans="1:7" ht="24" customHeight="1" x14ac:dyDescent="0.3">
      <c r="A22" s="10">
        <v>17</v>
      </c>
      <c r="B22" s="1" t="s">
        <v>28</v>
      </c>
      <c r="C22" s="3" t="s">
        <v>8</v>
      </c>
      <c r="D22" s="15">
        <v>1</v>
      </c>
      <c r="E22" s="4"/>
      <c r="F22" s="21" t="s">
        <v>29</v>
      </c>
      <c r="G22" s="26" t="s">
        <v>30</v>
      </c>
    </row>
    <row r="23" spans="1:7" ht="24" customHeight="1" x14ac:dyDescent="0.3">
      <c r="A23" s="10">
        <v>18</v>
      </c>
      <c r="B23" s="1" t="s">
        <v>31</v>
      </c>
      <c r="C23" s="3" t="s">
        <v>8</v>
      </c>
      <c r="D23" s="15">
        <v>20</v>
      </c>
      <c r="E23" s="4"/>
      <c r="F23" s="21"/>
      <c r="G23" s="26"/>
    </row>
    <row r="24" spans="1:7" ht="24" customHeight="1" x14ac:dyDescent="0.3">
      <c r="A24" s="10">
        <v>19</v>
      </c>
      <c r="B24" s="1" t="s">
        <v>32</v>
      </c>
      <c r="C24" s="3" t="s">
        <v>8</v>
      </c>
      <c r="D24" s="15">
        <v>1</v>
      </c>
      <c r="E24" s="4"/>
      <c r="F24" s="21" t="s">
        <v>29</v>
      </c>
      <c r="G24" s="26" t="s">
        <v>30</v>
      </c>
    </row>
    <row r="25" spans="1:7" ht="24" customHeight="1" x14ac:dyDescent="0.3">
      <c r="A25" s="10">
        <v>20</v>
      </c>
      <c r="B25" s="1" t="s">
        <v>33</v>
      </c>
      <c r="C25" s="3" t="s">
        <v>8</v>
      </c>
      <c r="D25" s="15">
        <v>1</v>
      </c>
      <c r="E25" s="4"/>
      <c r="F25" s="21" t="s">
        <v>15</v>
      </c>
      <c r="G25" s="26" t="s">
        <v>16</v>
      </c>
    </row>
    <row r="26" spans="1:7" ht="24" customHeight="1" x14ac:dyDescent="0.3">
      <c r="A26" s="10">
        <v>21</v>
      </c>
      <c r="B26" s="1" t="s">
        <v>34</v>
      </c>
      <c r="C26" s="3" t="s">
        <v>8</v>
      </c>
      <c r="D26" s="15">
        <v>2</v>
      </c>
      <c r="E26" s="4"/>
      <c r="F26" s="21" t="s">
        <v>15</v>
      </c>
      <c r="G26" s="26" t="s">
        <v>16</v>
      </c>
    </row>
    <row r="27" spans="1:7" ht="24" customHeight="1" x14ac:dyDescent="0.3">
      <c r="A27" s="10">
        <v>22</v>
      </c>
      <c r="B27" s="1" t="s">
        <v>35</v>
      </c>
      <c r="C27" s="3" t="s">
        <v>8</v>
      </c>
      <c r="D27" s="15">
        <v>5</v>
      </c>
      <c r="E27" s="4"/>
      <c r="F27" s="21" t="s">
        <v>15</v>
      </c>
      <c r="G27" s="26" t="s">
        <v>16</v>
      </c>
    </row>
    <row r="28" spans="1:7" ht="24" customHeight="1" x14ac:dyDescent="0.3">
      <c r="A28" s="10">
        <v>23</v>
      </c>
      <c r="B28" s="1" t="s">
        <v>36</v>
      </c>
      <c r="C28" s="3" t="s">
        <v>8</v>
      </c>
      <c r="D28" s="15">
        <v>10</v>
      </c>
      <c r="E28" s="4"/>
      <c r="F28" s="21" t="s">
        <v>15</v>
      </c>
      <c r="G28" s="26" t="s">
        <v>16</v>
      </c>
    </row>
    <row r="29" spans="1:7" ht="24" customHeight="1" x14ac:dyDescent="0.3">
      <c r="A29" s="10">
        <v>24</v>
      </c>
      <c r="B29" s="1" t="s">
        <v>37</v>
      </c>
      <c r="C29" s="3" t="s">
        <v>8</v>
      </c>
      <c r="D29" s="15">
        <v>2</v>
      </c>
      <c r="E29" s="4"/>
      <c r="F29" s="21" t="s">
        <v>15</v>
      </c>
      <c r="G29" s="26" t="s">
        <v>16</v>
      </c>
    </row>
    <row r="30" spans="1:7" ht="24" customHeight="1" x14ac:dyDescent="0.3">
      <c r="A30" s="10">
        <v>25</v>
      </c>
      <c r="B30" s="1" t="s">
        <v>38</v>
      </c>
      <c r="C30" s="3" t="s">
        <v>8</v>
      </c>
      <c r="D30" s="15">
        <v>2</v>
      </c>
      <c r="E30" s="4"/>
      <c r="F30" s="21" t="s">
        <v>15</v>
      </c>
      <c r="G30" s="26" t="s">
        <v>16</v>
      </c>
    </row>
    <row r="31" spans="1:7" ht="24" customHeight="1" x14ac:dyDescent="0.3">
      <c r="A31" s="10">
        <v>26</v>
      </c>
      <c r="B31" s="1" t="s">
        <v>39</v>
      </c>
      <c r="C31" s="3" t="s">
        <v>8</v>
      </c>
      <c r="D31" s="15">
        <v>12</v>
      </c>
      <c r="E31" s="4"/>
      <c r="F31" s="21"/>
      <c r="G31" s="26"/>
    </row>
    <row r="32" spans="1:7" ht="24" customHeight="1" x14ac:dyDescent="0.3">
      <c r="A32" s="10">
        <v>27</v>
      </c>
      <c r="B32" s="1" t="s">
        <v>40</v>
      </c>
      <c r="C32" s="3" t="s">
        <v>8</v>
      </c>
      <c r="D32" s="15">
        <v>12</v>
      </c>
      <c r="E32" s="4"/>
      <c r="F32" s="21"/>
      <c r="G32" s="26"/>
    </row>
    <row r="33" spans="1:7" ht="24" customHeight="1" x14ac:dyDescent="0.3">
      <c r="A33" s="10">
        <v>28</v>
      </c>
      <c r="B33" s="1" t="s">
        <v>41</v>
      </c>
      <c r="C33" s="3" t="s">
        <v>8</v>
      </c>
      <c r="D33" s="15">
        <v>5</v>
      </c>
      <c r="E33" s="4"/>
      <c r="F33" s="21"/>
      <c r="G33" s="26"/>
    </row>
    <row r="34" spans="1:7" ht="24" customHeight="1" x14ac:dyDescent="0.3">
      <c r="A34" s="10">
        <v>29</v>
      </c>
      <c r="B34" s="1" t="s">
        <v>42</v>
      </c>
      <c r="C34" s="3" t="s">
        <v>8</v>
      </c>
      <c r="D34" s="15">
        <v>200</v>
      </c>
      <c r="E34" s="4"/>
      <c r="F34" s="21"/>
      <c r="G34" s="26"/>
    </row>
    <row r="35" spans="1:7" ht="24" customHeight="1" x14ac:dyDescent="0.3">
      <c r="A35" s="10">
        <v>30</v>
      </c>
      <c r="B35" s="1" t="s">
        <v>43</v>
      </c>
      <c r="C35" s="3" t="s">
        <v>8</v>
      </c>
      <c r="D35" s="15">
        <v>12</v>
      </c>
      <c r="E35" s="4"/>
      <c r="F35" s="21"/>
      <c r="G35" s="26"/>
    </row>
    <row r="36" spans="1:7" ht="24" customHeight="1" x14ac:dyDescent="0.3">
      <c r="A36" s="10">
        <v>31</v>
      </c>
      <c r="B36" s="1" t="s">
        <v>44</v>
      </c>
      <c r="C36" s="3" t="s">
        <v>8</v>
      </c>
      <c r="D36" s="15">
        <v>1</v>
      </c>
      <c r="E36" s="4"/>
      <c r="F36" s="21"/>
      <c r="G36" s="26"/>
    </row>
    <row r="37" spans="1:7" ht="24" customHeight="1" x14ac:dyDescent="0.3">
      <c r="A37" s="10">
        <v>32</v>
      </c>
      <c r="B37" s="1" t="s">
        <v>45</v>
      </c>
      <c r="C37" s="3" t="s">
        <v>8</v>
      </c>
      <c r="D37" s="15">
        <v>40</v>
      </c>
      <c r="E37" s="4"/>
      <c r="F37" s="21" t="s">
        <v>9</v>
      </c>
      <c r="G37" s="26" t="s">
        <v>10</v>
      </c>
    </row>
    <row r="38" spans="1:7" ht="24" customHeight="1" x14ac:dyDescent="0.3">
      <c r="A38" s="10">
        <v>33</v>
      </c>
      <c r="B38" s="1" t="s">
        <v>46</v>
      </c>
      <c r="C38" s="3" t="s">
        <v>8</v>
      </c>
      <c r="D38" s="15">
        <v>40</v>
      </c>
      <c r="E38" s="4"/>
      <c r="F38" s="21"/>
      <c r="G38" s="26"/>
    </row>
    <row r="39" spans="1:7" ht="24" customHeight="1" x14ac:dyDescent="0.3">
      <c r="A39" s="10">
        <v>34</v>
      </c>
      <c r="B39" s="1" t="s">
        <v>47</v>
      </c>
      <c r="C39" s="3" t="s">
        <v>8</v>
      </c>
      <c r="D39" s="15">
        <v>2</v>
      </c>
      <c r="E39" s="4"/>
      <c r="F39" s="21" t="s">
        <v>48</v>
      </c>
      <c r="G39" s="26" t="s">
        <v>49</v>
      </c>
    </row>
    <row r="40" spans="1:7" ht="24" customHeight="1" x14ac:dyDescent="0.3">
      <c r="A40" s="10">
        <v>35</v>
      </c>
      <c r="B40" s="1" t="s">
        <v>50</v>
      </c>
      <c r="C40" s="3" t="s">
        <v>8</v>
      </c>
      <c r="D40" s="15">
        <v>1</v>
      </c>
      <c r="E40" s="4"/>
      <c r="F40" s="21" t="s">
        <v>48</v>
      </c>
      <c r="G40" s="26" t="s">
        <v>49</v>
      </c>
    </row>
    <row r="41" spans="1:7" ht="24" customHeight="1" x14ac:dyDescent="0.3">
      <c r="A41" s="10">
        <v>36</v>
      </c>
      <c r="B41" s="1" t="s">
        <v>51</v>
      </c>
      <c r="C41" s="3" t="s">
        <v>8</v>
      </c>
      <c r="D41" s="15">
        <v>1</v>
      </c>
      <c r="E41" s="4"/>
      <c r="F41" s="21" t="s">
        <v>48</v>
      </c>
      <c r="G41" s="26" t="s">
        <v>49</v>
      </c>
    </row>
    <row r="42" spans="1:7" ht="24" customHeight="1" x14ac:dyDescent="0.3">
      <c r="A42" s="10">
        <v>37</v>
      </c>
      <c r="B42" s="1" t="s">
        <v>52</v>
      </c>
      <c r="C42" s="3" t="s">
        <v>8</v>
      </c>
      <c r="D42" s="17">
        <v>5</v>
      </c>
      <c r="E42" s="4"/>
      <c r="F42" s="21" t="s">
        <v>48</v>
      </c>
      <c r="G42" s="26" t="s">
        <v>49</v>
      </c>
    </row>
    <row r="43" spans="1:7" ht="24" customHeight="1" x14ac:dyDescent="0.3">
      <c r="A43" s="10">
        <v>38</v>
      </c>
      <c r="B43" s="1" t="s">
        <v>53</v>
      </c>
      <c r="C43" s="3" t="s">
        <v>54</v>
      </c>
      <c r="D43" s="17">
        <v>2</v>
      </c>
      <c r="E43" s="4"/>
      <c r="F43" s="21" t="s">
        <v>48</v>
      </c>
      <c r="G43" s="26" t="s">
        <v>49</v>
      </c>
    </row>
    <row r="44" spans="1:7" ht="24" customHeight="1" x14ac:dyDescent="0.3">
      <c r="A44" s="10">
        <v>39</v>
      </c>
      <c r="B44" s="1" t="s">
        <v>55</v>
      </c>
      <c r="C44" s="3" t="s">
        <v>8</v>
      </c>
      <c r="D44" s="17">
        <v>5</v>
      </c>
      <c r="E44" s="4"/>
      <c r="F44" s="21" t="s">
        <v>48</v>
      </c>
      <c r="G44" s="26" t="s">
        <v>49</v>
      </c>
    </row>
    <row r="45" spans="1:7" ht="24" customHeight="1" x14ac:dyDescent="0.3">
      <c r="A45" s="10">
        <v>40</v>
      </c>
      <c r="B45" s="1" t="s">
        <v>56</v>
      </c>
      <c r="C45" s="3" t="s">
        <v>57</v>
      </c>
      <c r="D45" s="17">
        <v>1</v>
      </c>
      <c r="E45" s="4"/>
      <c r="F45" s="21" t="s">
        <v>48</v>
      </c>
      <c r="G45" s="26" t="s">
        <v>49</v>
      </c>
    </row>
    <row r="46" spans="1:7" ht="24" customHeight="1" x14ac:dyDescent="0.3">
      <c r="A46" s="10">
        <v>41</v>
      </c>
      <c r="B46" s="1" t="s">
        <v>58</v>
      </c>
      <c r="C46" s="3" t="s">
        <v>8</v>
      </c>
      <c r="D46" s="17">
        <v>3</v>
      </c>
      <c r="E46" s="4"/>
      <c r="F46" s="21" t="s">
        <v>48</v>
      </c>
      <c r="G46" s="26" t="s">
        <v>49</v>
      </c>
    </row>
    <row r="47" spans="1:7" ht="24" customHeight="1" x14ac:dyDescent="0.3">
      <c r="A47" s="10">
        <v>42</v>
      </c>
      <c r="B47" s="1" t="s">
        <v>59</v>
      </c>
      <c r="C47" s="3" t="s">
        <v>8</v>
      </c>
      <c r="D47" s="17">
        <v>2</v>
      </c>
      <c r="E47" s="4"/>
      <c r="F47" s="21" t="s">
        <v>48</v>
      </c>
      <c r="G47" s="26" t="s">
        <v>49</v>
      </c>
    </row>
    <row r="48" spans="1:7" ht="24" customHeight="1" x14ac:dyDescent="0.3">
      <c r="A48" s="10">
        <v>43</v>
      </c>
      <c r="B48" s="1" t="s">
        <v>60</v>
      </c>
      <c r="C48" s="3" t="s">
        <v>8</v>
      </c>
      <c r="D48" s="17">
        <v>1</v>
      </c>
      <c r="E48" s="4"/>
      <c r="F48" s="21" t="s">
        <v>48</v>
      </c>
      <c r="G48" s="26" t="s">
        <v>49</v>
      </c>
    </row>
    <row r="49" spans="1:7" ht="24" customHeight="1" x14ac:dyDescent="0.3">
      <c r="A49" s="10">
        <v>44</v>
      </c>
      <c r="B49" s="1" t="s">
        <v>61</v>
      </c>
      <c r="C49" s="3" t="s">
        <v>8</v>
      </c>
      <c r="D49" s="17">
        <v>3</v>
      </c>
      <c r="E49" s="4"/>
      <c r="F49" s="21" t="s">
        <v>48</v>
      </c>
      <c r="G49" s="26" t="s">
        <v>49</v>
      </c>
    </row>
    <row r="50" spans="1:7" ht="24" customHeight="1" x14ac:dyDescent="0.3">
      <c r="A50" s="10">
        <v>45</v>
      </c>
      <c r="B50" s="1" t="s">
        <v>62</v>
      </c>
      <c r="C50" s="3" t="s">
        <v>54</v>
      </c>
      <c r="D50" s="17">
        <v>1</v>
      </c>
      <c r="E50" s="4"/>
      <c r="F50" s="21" t="s">
        <v>48</v>
      </c>
      <c r="G50" s="26" t="s">
        <v>49</v>
      </c>
    </row>
    <row r="51" spans="1:7" ht="24" customHeight="1" x14ac:dyDescent="0.3">
      <c r="A51" s="10">
        <v>46</v>
      </c>
      <c r="B51" s="1" t="s">
        <v>63</v>
      </c>
      <c r="C51" s="3" t="s">
        <v>57</v>
      </c>
      <c r="D51" s="17">
        <v>1</v>
      </c>
      <c r="E51" s="4"/>
      <c r="F51" s="21" t="s">
        <v>48</v>
      </c>
      <c r="G51" s="26" t="s">
        <v>49</v>
      </c>
    </row>
    <row r="52" spans="1:7" ht="24" customHeight="1" x14ac:dyDescent="0.3">
      <c r="A52" s="10">
        <v>47</v>
      </c>
      <c r="B52" s="1" t="s">
        <v>64</v>
      </c>
      <c r="C52" s="3" t="s">
        <v>8</v>
      </c>
      <c r="D52" s="17">
        <v>3</v>
      </c>
      <c r="E52" s="4"/>
      <c r="F52" s="21" t="s">
        <v>48</v>
      </c>
      <c r="G52" s="26" t="s">
        <v>49</v>
      </c>
    </row>
    <row r="53" spans="1:7" ht="24" customHeight="1" x14ac:dyDescent="0.3">
      <c r="A53" s="10">
        <v>48</v>
      </c>
      <c r="B53" s="1" t="s">
        <v>65</v>
      </c>
      <c r="C53" s="3" t="s">
        <v>8</v>
      </c>
      <c r="D53" s="17">
        <v>3</v>
      </c>
      <c r="E53" s="4"/>
      <c r="F53" s="21" t="s">
        <v>48</v>
      </c>
      <c r="G53" s="26" t="s">
        <v>49</v>
      </c>
    </row>
    <row r="54" spans="1:7" ht="24" customHeight="1" x14ac:dyDescent="0.3">
      <c r="A54" s="10">
        <v>49</v>
      </c>
      <c r="B54" s="1" t="s">
        <v>66</v>
      </c>
      <c r="C54" s="3" t="s">
        <v>8</v>
      </c>
      <c r="D54" s="17">
        <v>3</v>
      </c>
      <c r="E54" s="4"/>
      <c r="F54" s="21" t="s">
        <v>48</v>
      </c>
      <c r="G54" s="26" t="s">
        <v>49</v>
      </c>
    </row>
    <row r="55" spans="1:7" ht="24" customHeight="1" x14ac:dyDescent="0.3">
      <c r="A55" s="10">
        <v>50</v>
      </c>
      <c r="B55" s="1" t="s">
        <v>67</v>
      </c>
      <c r="C55" s="3" t="s">
        <v>8</v>
      </c>
      <c r="D55" s="17">
        <v>3</v>
      </c>
      <c r="E55" s="4"/>
      <c r="F55" s="21" t="s">
        <v>48</v>
      </c>
      <c r="G55" s="26" t="s">
        <v>49</v>
      </c>
    </row>
    <row r="56" spans="1:7" ht="24" customHeight="1" x14ac:dyDescent="0.3">
      <c r="A56" s="10">
        <v>51</v>
      </c>
      <c r="B56" s="1" t="s">
        <v>68</v>
      </c>
      <c r="C56" s="3" t="s">
        <v>8</v>
      </c>
      <c r="D56" s="17">
        <v>2</v>
      </c>
      <c r="E56" s="4"/>
      <c r="F56" s="21" t="s">
        <v>48</v>
      </c>
      <c r="G56" s="26" t="s">
        <v>49</v>
      </c>
    </row>
    <row r="57" spans="1:7" ht="24" customHeight="1" x14ac:dyDescent="0.3">
      <c r="A57" s="10">
        <v>52</v>
      </c>
      <c r="B57" s="1" t="s">
        <v>69</v>
      </c>
      <c r="C57" s="3" t="s">
        <v>8</v>
      </c>
      <c r="D57" s="17">
        <v>3</v>
      </c>
      <c r="E57" s="4"/>
      <c r="F57" s="21" t="s">
        <v>48</v>
      </c>
      <c r="G57" s="26" t="s">
        <v>49</v>
      </c>
    </row>
    <row r="58" spans="1:7" ht="24" customHeight="1" x14ac:dyDescent="0.3">
      <c r="A58" s="10">
        <v>53</v>
      </c>
      <c r="B58" s="1" t="s">
        <v>70</v>
      </c>
      <c r="C58" s="3" t="s">
        <v>57</v>
      </c>
      <c r="D58" s="17">
        <v>2</v>
      </c>
      <c r="E58" s="4"/>
      <c r="F58" s="21" t="s">
        <v>48</v>
      </c>
      <c r="G58" s="26" t="s">
        <v>49</v>
      </c>
    </row>
    <row r="59" spans="1:7" ht="24" customHeight="1" x14ac:dyDescent="0.3">
      <c r="A59" s="10">
        <v>54</v>
      </c>
      <c r="B59" s="2" t="s">
        <v>71</v>
      </c>
      <c r="C59" s="3" t="s">
        <v>8</v>
      </c>
      <c r="D59" s="17">
        <v>12</v>
      </c>
      <c r="E59" s="4"/>
      <c r="F59" s="21" t="s">
        <v>48</v>
      </c>
      <c r="G59" s="26" t="s">
        <v>49</v>
      </c>
    </row>
    <row r="60" spans="1:7" ht="24" customHeight="1" x14ac:dyDescent="0.3">
      <c r="A60" s="10">
        <v>55</v>
      </c>
      <c r="B60" s="1" t="s">
        <v>72</v>
      </c>
      <c r="C60" s="3" t="s">
        <v>8</v>
      </c>
      <c r="D60" s="17">
        <v>25</v>
      </c>
      <c r="E60" s="4"/>
      <c r="F60" s="21" t="s">
        <v>73</v>
      </c>
      <c r="G60" s="26"/>
    </row>
    <row r="61" spans="1:7" ht="24" customHeight="1" x14ac:dyDescent="0.3">
      <c r="A61" s="10">
        <v>56</v>
      </c>
      <c r="B61" s="1" t="s">
        <v>74</v>
      </c>
      <c r="C61" s="3" t="s">
        <v>8</v>
      </c>
      <c r="D61" s="17">
        <v>10</v>
      </c>
      <c r="E61" s="4"/>
      <c r="F61" s="21" t="s">
        <v>73</v>
      </c>
      <c r="G61" s="26"/>
    </row>
    <row r="62" spans="1:7" ht="24" customHeight="1" x14ac:dyDescent="0.3">
      <c r="A62" s="10">
        <v>57</v>
      </c>
      <c r="B62" s="1" t="s">
        <v>75</v>
      </c>
      <c r="C62" s="3" t="s">
        <v>8</v>
      </c>
      <c r="D62" s="17">
        <v>1</v>
      </c>
      <c r="E62" s="4"/>
      <c r="F62" s="21" t="s">
        <v>76</v>
      </c>
      <c r="G62" s="26" t="s">
        <v>77</v>
      </c>
    </row>
    <row r="63" spans="1:7" ht="24" customHeight="1" x14ac:dyDescent="0.3">
      <c r="A63" s="10">
        <v>58</v>
      </c>
      <c r="B63" s="1" t="s">
        <v>78</v>
      </c>
      <c r="C63" s="3" t="s">
        <v>8</v>
      </c>
      <c r="D63" s="17">
        <v>2</v>
      </c>
      <c r="E63" s="4"/>
      <c r="F63" s="21" t="s">
        <v>73</v>
      </c>
      <c r="G63" s="26"/>
    </row>
    <row r="64" spans="1:7" ht="24" customHeight="1" x14ac:dyDescent="0.3">
      <c r="A64" s="10">
        <v>59</v>
      </c>
      <c r="B64" s="1" t="s">
        <v>79</v>
      </c>
      <c r="C64" s="3" t="s">
        <v>8</v>
      </c>
      <c r="D64" s="17">
        <v>2</v>
      </c>
      <c r="E64" s="4"/>
      <c r="F64" s="21" t="s">
        <v>73</v>
      </c>
      <c r="G64" s="26"/>
    </row>
    <row r="65" spans="1:7" ht="24" customHeight="1" x14ac:dyDescent="0.3">
      <c r="A65" s="10">
        <v>60</v>
      </c>
      <c r="B65" s="1" t="s">
        <v>80</v>
      </c>
      <c r="C65" s="3" t="s">
        <v>8</v>
      </c>
      <c r="D65" s="17">
        <v>2</v>
      </c>
      <c r="E65" s="4"/>
      <c r="F65" s="21" t="s">
        <v>73</v>
      </c>
      <c r="G65" s="26"/>
    </row>
    <row r="66" spans="1:7" ht="24" customHeight="1" x14ac:dyDescent="0.3">
      <c r="A66" s="10">
        <v>61</v>
      </c>
      <c r="B66" s="1" t="s">
        <v>81</v>
      </c>
      <c r="C66" s="3" t="s">
        <v>8</v>
      </c>
      <c r="D66" s="17">
        <v>6</v>
      </c>
      <c r="E66" s="4"/>
      <c r="F66" s="21" t="s">
        <v>76</v>
      </c>
      <c r="G66" s="26" t="s">
        <v>77</v>
      </c>
    </row>
    <row r="67" spans="1:7" ht="24" customHeight="1" x14ac:dyDescent="0.3">
      <c r="A67" s="10">
        <v>62</v>
      </c>
      <c r="B67" s="1" t="s">
        <v>82</v>
      </c>
      <c r="C67" s="3" t="s">
        <v>8</v>
      </c>
      <c r="D67" s="17">
        <v>30</v>
      </c>
      <c r="E67" s="4"/>
      <c r="F67" s="21" t="s">
        <v>73</v>
      </c>
      <c r="G67" s="26"/>
    </row>
    <row r="68" spans="1:7" ht="24" customHeight="1" x14ac:dyDescent="0.3">
      <c r="A68" s="10">
        <v>63</v>
      </c>
      <c r="B68" s="5"/>
      <c r="C68" s="3"/>
      <c r="D68" s="15"/>
      <c r="E68" s="4"/>
      <c r="F68" s="21"/>
      <c r="G68" s="26"/>
    </row>
    <row r="69" spans="1:7" ht="24" customHeight="1" x14ac:dyDescent="0.3">
      <c r="A69" s="10">
        <v>64</v>
      </c>
      <c r="B69" s="5"/>
      <c r="C69" s="3"/>
      <c r="D69" s="15"/>
      <c r="E69" s="4"/>
      <c r="F69" s="21"/>
      <c r="G69" s="26"/>
    </row>
    <row r="70" spans="1:7" ht="24" customHeight="1" x14ac:dyDescent="0.3">
      <c r="A70" s="10">
        <v>65</v>
      </c>
      <c r="B70" s="5"/>
      <c r="C70" s="3"/>
      <c r="D70" s="15"/>
      <c r="E70" s="4"/>
      <c r="F70" s="21"/>
      <c r="G70" s="26"/>
    </row>
    <row r="71" spans="1:7" ht="24" customHeight="1" x14ac:dyDescent="0.3">
      <c r="A71" s="10">
        <v>66</v>
      </c>
      <c r="B71" s="5"/>
      <c r="C71" s="3"/>
      <c r="D71" s="15"/>
      <c r="E71" s="4"/>
      <c r="F71" s="21"/>
      <c r="G71" s="26"/>
    </row>
    <row r="72" spans="1:7" ht="24" customHeight="1" x14ac:dyDescent="0.3">
      <c r="A72" s="10">
        <v>67</v>
      </c>
      <c r="B72" s="5"/>
      <c r="C72" s="3"/>
      <c r="D72" s="15"/>
      <c r="E72" s="4"/>
      <c r="F72" s="21"/>
      <c r="G72" s="26"/>
    </row>
    <row r="73" spans="1:7" ht="24" customHeight="1" x14ac:dyDescent="0.3">
      <c r="A73" s="10">
        <v>68</v>
      </c>
      <c r="B73" s="5"/>
      <c r="C73" s="3"/>
      <c r="D73" s="15"/>
      <c r="E73" s="4"/>
      <c r="F73" s="21"/>
      <c r="G73" s="26"/>
    </row>
    <row r="74" spans="1:7" ht="24" customHeight="1" x14ac:dyDescent="0.3">
      <c r="A74" s="10">
        <v>69</v>
      </c>
      <c r="B74" s="5"/>
      <c r="C74" s="3"/>
      <c r="D74" s="15"/>
      <c r="E74" s="4"/>
      <c r="F74" s="21"/>
      <c r="G74" s="26"/>
    </row>
    <row r="75" spans="1:7" ht="24" customHeight="1" thickBot="1" x14ac:dyDescent="0.35">
      <c r="A75" s="11">
        <v>70</v>
      </c>
      <c r="B75" s="12"/>
      <c r="C75" s="13"/>
      <c r="D75" s="16"/>
      <c r="E75" s="14"/>
      <c r="F75" s="22"/>
      <c r="G75" s="27"/>
    </row>
  </sheetData>
  <pageMargins left="0.7" right="0.7" top="0.75" bottom="0.75" header="0.3" footer="0.3"/>
  <pageSetup orientation="portrait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CB0A98B-E3C7-4BE9-81DD-4083F2A6209C}">
          <x14:formula1>
            <xm:f>TABLAS!$B$2:$B$25</xm:f>
          </x14:formula1>
          <xm:sqref>C6:C75</xm:sqref>
        </x14:dataValidation>
        <x14:dataValidation type="list" allowBlank="1" showInputMessage="1" showErrorMessage="1" xr:uid="{4DB7F762-7800-4C89-94B1-98463A475997}">
          <x14:formula1>
            <xm:f>TABLAS!$D$2:$D$21</xm:f>
          </x14:formula1>
          <xm:sqref>F6:F75</xm:sqref>
        </x14:dataValidation>
        <x14:dataValidation type="list" allowBlank="1" showInputMessage="1" showErrorMessage="1" xr:uid="{A74B54D4-9F75-4524-A5DA-A65E81FEFD1D}">
          <x14:formula1>
            <xm:f>TABLAS!$E$2:$E$311</xm:f>
          </x14:formula1>
          <xm:sqref>G6:G75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13E1D-8E39-4F74-9FA6-9C6010228DD7}">
  <sheetPr codeName="Hoja2"/>
  <dimension ref="B1:L326"/>
  <sheetViews>
    <sheetView showGridLines="0" topLeftCell="A294" workbookViewId="0">
      <selection activeCell="B326" sqref="B326"/>
    </sheetView>
  </sheetViews>
  <sheetFormatPr baseColWidth="10" defaultColWidth="10.77734375" defaultRowHeight="14.4" x14ac:dyDescent="0.3"/>
  <cols>
    <col min="1" max="1" width="1.6640625" customWidth="1"/>
    <col min="2" max="2" width="16.21875" customWidth="1"/>
    <col min="3" max="3" width="16.33203125" customWidth="1"/>
    <col min="4" max="4" width="45.88671875" customWidth="1"/>
    <col min="5" max="5" width="10.88671875" customWidth="1"/>
    <col min="6" max="6" width="12.6640625" customWidth="1"/>
    <col min="7" max="7" width="22" customWidth="1"/>
    <col min="8" max="8" width="27.33203125" customWidth="1"/>
    <col min="9" max="9" width="42.21875" customWidth="1"/>
    <col min="10" max="10" width="13.33203125" customWidth="1"/>
    <col min="11" max="11" width="14.21875" customWidth="1"/>
  </cols>
  <sheetData>
    <row r="1" spans="2:12" ht="30.6" customHeight="1" x14ac:dyDescent="0.3">
      <c r="B1" s="56"/>
      <c r="C1" s="77" t="s">
        <v>83</v>
      </c>
      <c r="D1" s="56"/>
      <c r="E1" s="56"/>
      <c r="F1" s="56"/>
      <c r="G1" s="56"/>
      <c r="H1" s="56"/>
      <c r="I1" s="56"/>
      <c r="J1" s="89"/>
      <c r="K1" s="89"/>
    </row>
    <row r="2" spans="2:12" ht="17.399999999999999" customHeight="1" x14ac:dyDescent="0.3">
      <c r="B2" s="78"/>
      <c r="C2" s="79" t="s">
        <v>84</v>
      </c>
      <c r="D2" s="78"/>
      <c r="E2" s="78"/>
      <c r="F2" s="78"/>
      <c r="G2" s="78"/>
      <c r="H2" s="78"/>
      <c r="I2" s="78"/>
      <c r="J2" s="78"/>
      <c r="K2" s="78"/>
    </row>
    <row r="3" spans="2:12" ht="3.6" customHeight="1" x14ac:dyDescent="0.3"/>
    <row r="4" spans="2:12" ht="3.6" customHeight="1" x14ac:dyDescent="0.3"/>
    <row r="5" spans="2:12" ht="3.6" customHeight="1" x14ac:dyDescent="0.3"/>
    <row r="6" spans="2:12" ht="6" customHeight="1" x14ac:dyDescent="0.3"/>
    <row r="7" spans="2:12" ht="30" customHeight="1" x14ac:dyDescent="0.3">
      <c r="B7" s="43" t="s">
        <v>85</v>
      </c>
      <c r="C7" s="43" t="s">
        <v>86</v>
      </c>
      <c r="D7" s="43" t="s">
        <v>87</v>
      </c>
      <c r="E7" s="43" t="s">
        <v>88</v>
      </c>
      <c r="F7" s="43" t="s">
        <v>89</v>
      </c>
      <c r="G7" s="43" t="s">
        <v>5</v>
      </c>
      <c r="H7" s="43" t="s">
        <v>90</v>
      </c>
      <c r="I7" s="43" t="s">
        <v>91</v>
      </c>
      <c r="J7" s="43" t="s">
        <v>92</v>
      </c>
      <c r="K7" s="43" t="s">
        <v>93</v>
      </c>
      <c r="L7" s="43" t="s">
        <v>94</v>
      </c>
    </row>
    <row r="8" spans="2:12" ht="24" customHeight="1" x14ac:dyDescent="0.3">
      <c r="B8" s="44" t="s">
        <v>95</v>
      </c>
      <c r="C8" s="44">
        <v>45912</v>
      </c>
      <c r="D8" s="45" t="s">
        <v>7</v>
      </c>
      <c r="E8" s="43" t="s">
        <v>96</v>
      </c>
      <c r="F8" s="43">
        <v>120</v>
      </c>
      <c r="G8" s="43" t="s">
        <v>9</v>
      </c>
      <c r="H8" s="43" t="s">
        <v>97</v>
      </c>
      <c r="I8" s="43"/>
      <c r="J8" s="43">
        <v>100</v>
      </c>
      <c r="K8" s="43">
        <f>IF(Tabla1[[#This Row],[CANTIDAD ]]="","",Tabla1[[#This Row],[LLEGO REALMENTE]]-Tabla1[[#This Row],[CANTIDAD ]])</f>
        <v>-20</v>
      </c>
      <c r="L8" s="43" t="str">
        <f>IF(Tabla1[[#This Row],[DIFERENCIA]]=0,"CORECTO",IF(Tabla1[[#This Row],[DIFERENCIA]]&lt;0,"FALTA",IF(Tabla1[[#This Row],[DIFERENCIA]]&gt;0,"DEMAS")))</f>
        <v>FALTA</v>
      </c>
    </row>
    <row r="9" spans="2:12" ht="21" customHeight="1" x14ac:dyDescent="0.3">
      <c r="B9" s="43" t="s">
        <v>95</v>
      </c>
      <c r="C9" s="44">
        <v>45912</v>
      </c>
      <c r="D9" s="45" t="s">
        <v>98</v>
      </c>
      <c r="E9" s="43" t="s">
        <v>96</v>
      </c>
      <c r="F9" s="43">
        <v>600</v>
      </c>
      <c r="G9" s="43" t="s">
        <v>9</v>
      </c>
      <c r="H9" s="43" t="s">
        <v>97</v>
      </c>
      <c r="I9" s="43"/>
      <c r="J9" s="43"/>
      <c r="K9" s="43">
        <f>IF(Tabla1[[#This Row],[CANTIDAD ]]="","",Tabla1[[#This Row],[LLEGO REALMENTE]]-Tabla1[[#This Row],[CANTIDAD ]])</f>
        <v>-600</v>
      </c>
      <c r="L9" s="43" t="str">
        <f>IF(Tabla1[[#This Row],[DIFERENCIA]]=0,"CORECTO",IF(Tabla1[[#This Row],[DIFERENCIA]]&lt;0,"FALTA",IF(Tabla1[[#This Row],[DIFERENCIA]]&gt;0,"DEMAS")))</f>
        <v>FALTA</v>
      </c>
    </row>
    <row r="10" spans="2:12" x14ac:dyDescent="0.3">
      <c r="B10" s="43" t="s">
        <v>95</v>
      </c>
      <c r="C10" s="44">
        <v>45912</v>
      </c>
      <c r="D10" s="45" t="s">
        <v>99</v>
      </c>
      <c r="E10" s="43" t="s">
        <v>96</v>
      </c>
      <c r="F10" s="43">
        <v>150</v>
      </c>
      <c r="G10" s="43" t="s">
        <v>9</v>
      </c>
      <c r="H10" s="43" t="s">
        <v>97</v>
      </c>
      <c r="I10" s="43"/>
      <c r="J10" s="43"/>
      <c r="K10" s="43">
        <f>IF(Tabla1[[#This Row],[CANTIDAD ]]="","",Tabla1[[#This Row],[LLEGO REALMENTE]]-Tabla1[[#This Row],[CANTIDAD ]])</f>
        <v>-150</v>
      </c>
      <c r="L10" s="43" t="str">
        <f>IF(Tabla1[[#This Row],[DIFERENCIA]]=0,"CORECTO",IF(Tabla1[[#This Row],[DIFERENCIA]]&lt;0,"FALTA",IF(Tabla1[[#This Row],[DIFERENCIA]]&gt;0,"DEMAS")))</f>
        <v>FALTA</v>
      </c>
    </row>
    <row r="11" spans="2:12" x14ac:dyDescent="0.3">
      <c r="B11" s="43" t="s">
        <v>95</v>
      </c>
      <c r="C11" s="44">
        <v>45912</v>
      </c>
      <c r="D11" s="45" t="s">
        <v>100</v>
      </c>
      <c r="E11" s="43" t="s">
        <v>96</v>
      </c>
      <c r="F11" s="43">
        <v>10</v>
      </c>
      <c r="G11" s="43" t="s">
        <v>9</v>
      </c>
      <c r="H11" s="43" t="s">
        <v>97</v>
      </c>
      <c r="I11" s="43"/>
      <c r="J11" s="43"/>
      <c r="K11" s="43">
        <f>IF(Tabla1[[#This Row],[CANTIDAD ]]="","",Tabla1[[#This Row],[LLEGO REALMENTE]]-Tabla1[[#This Row],[CANTIDAD ]])</f>
        <v>-10</v>
      </c>
      <c r="L11" s="43" t="str">
        <f>IF(Tabla1[[#This Row],[DIFERENCIA]]=0,"CORECTO",IF(Tabla1[[#This Row],[DIFERENCIA]]&lt;0,"FALTA",IF(Tabla1[[#This Row],[DIFERENCIA]]&gt;0,"DEMAS")))</f>
        <v>FALTA</v>
      </c>
    </row>
    <row r="12" spans="2:12" x14ac:dyDescent="0.3">
      <c r="B12" s="43" t="s">
        <v>95</v>
      </c>
      <c r="C12" s="44">
        <v>45912</v>
      </c>
      <c r="D12" s="45" t="s">
        <v>101</v>
      </c>
      <c r="E12" s="43" t="s">
        <v>102</v>
      </c>
      <c r="F12" s="43">
        <v>1</v>
      </c>
      <c r="G12" s="43" t="s">
        <v>15</v>
      </c>
      <c r="H12" s="43" t="s">
        <v>103</v>
      </c>
      <c r="I12" s="43"/>
      <c r="J12" s="43"/>
      <c r="K12" s="43">
        <f>IF(Tabla1[[#This Row],[CANTIDAD ]]="","",Tabla1[[#This Row],[LLEGO REALMENTE]]-Tabla1[[#This Row],[CANTIDAD ]])</f>
        <v>-1</v>
      </c>
      <c r="L12" s="43" t="str">
        <f>IF(Tabla1[[#This Row],[DIFERENCIA]]=0,"CORECTO",IF(Tabla1[[#This Row],[DIFERENCIA]]&lt;0,"FALTA",IF(Tabla1[[#This Row],[DIFERENCIA]]&gt;0,"DEMAS")))</f>
        <v>FALTA</v>
      </c>
    </row>
    <row r="13" spans="2:12" x14ac:dyDescent="0.3">
      <c r="B13" s="43" t="s">
        <v>95</v>
      </c>
      <c r="C13" s="44">
        <v>45912</v>
      </c>
      <c r="D13" s="45" t="s">
        <v>104</v>
      </c>
      <c r="E13" s="43" t="s">
        <v>96</v>
      </c>
      <c r="F13" s="43">
        <v>1</v>
      </c>
      <c r="G13" s="43"/>
      <c r="H13" s="43"/>
      <c r="I13" s="43"/>
      <c r="J13" s="43"/>
      <c r="K13" s="43">
        <f>IF(Tabla1[[#This Row],[CANTIDAD ]]="","",Tabla1[[#This Row],[LLEGO REALMENTE]]-Tabla1[[#This Row],[CANTIDAD ]])</f>
        <v>-1</v>
      </c>
      <c r="L13" s="43" t="str">
        <f>IF(Tabla1[[#This Row],[DIFERENCIA]]=0,"CORECTO",IF(Tabla1[[#This Row],[DIFERENCIA]]&lt;0,"FALTA",IF(Tabla1[[#This Row],[DIFERENCIA]]&gt;0,"DEMAS")))</f>
        <v>FALTA</v>
      </c>
    </row>
    <row r="14" spans="2:12" x14ac:dyDescent="0.3">
      <c r="B14" s="43" t="s">
        <v>95</v>
      </c>
      <c r="C14" s="44">
        <v>45912</v>
      </c>
      <c r="D14" s="45" t="s">
        <v>105</v>
      </c>
      <c r="E14" s="43" t="s">
        <v>96</v>
      </c>
      <c r="F14" s="43">
        <v>1</v>
      </c>
      <c r="G14" s="43"/>
      <c r="H14" s="43"/>
      <c r="I14" s="43"/>
      <c r="J14" s="43"/>
      <c r="K14" s="43">
        <f>IF(Tabla1[[#This Row],[CANTIDAD ]]="","",Tabla1[[#This Row],[LLEGO REALMENTE]]-Tabla1[[#This Row],[CANTIDAD ]])</f>
        <v>-1</v>
      </c>
      <c r="L14" s="43" t="str">
        <f>IF(Tabla1[[#This Row],[DIFERENCIA]]=0,"CORECTO",IF(Tabla1[[#This Row],[DIFERENCIA]]&lt;0,"FALTA",IF(Tabla1[[#This Row],[DIFERENCIA]]&gt;0,"DEMAS")))</f>
        <v>FALTA</v>
      </c>
    </row>
    <row r="15" spans="2:12" x14ac:dyDescent="0.3">
      <c r="B15" s="43" t="s">
        <v>95</v>
      </c>
      <c r="C15" s="44">
        <v>45912</v>
      </c>
      <c r="D15" s="45" t="s">
        <v>106</v>
      </c>
      <c r="E15" s="43" t="s">
        <v>96</v>
      </c>
      <c r="F15" s="43">
        <v>100</v>
      </c>
      <c r="G15" s="43" t="s">
        <v>9</v>
      </c>
      <c r="H15" s="43" t="s">
        <v>97</v>
      </c>
      <c r="I15" s="43"/>
      <c r="J15" s="43"/>
      <c r="K15" s="43">
        <f>IF(Tabla1[[#This Row],[CANTIDAD ]]="","",Tabla1[[#This Row],[LLEGO REALMENTE]]-Tabla1[[#This Row],[CANTIDAD ]])</f>
        <v>-100</v>
      </c>
      <c r="L15" s="43" t="str">
        <f>IF(Tabla1[[#This Row],[DIFERENCIA]]=0,"CORECTO",IF(Tabla1[[#This Row],[DIFERENCIA]]&lt;0,"FALTA",IF(Tabla1[[#This Row],[DIFERENCIA]]&gt;0,"DEMAS")))</f>
        <v>FALTA</v>
      </c>
    </row>
    <row r="16" spans="2:12" x14ac:dyDescent="0.3">
      <c r="B16" s="43" t="s">
        <v>95</v>
      </c>
      <c r="C16" s="44">
        <v>45912</v>
      </c>
      <c r="D16" s="45" t="s">
        <v>20</v>
      </c>
      <c r="E16" s="43" t="s">
        <v>96</v>
      </c>
      <c r="F16" s="43">
        <v>20</v>
      </c>
      <c r="G16" s="43"/>
      <c r="H16" s="43"/>
      <c r="I16" s="43"/>
      <c r="J16" s="43"/>
      <c r="K16" s="43">
        <f>IF(Tabla1[[#This Row],[CANTIDAD ]]="","",Tabla1[[#This Row],[LLEGO REALMENTE]]-Tabla1[[#This Row],[CANTIDAD ]])</f>
        <v>-20</v>
      </c>
      <c r="L16" s="43" t="str">
        <f>IF(Tabla1[[#This Row],[DIFERENCIA]]=0,"CORECTO",IF(Tabla1[[#This Row],[DIFERENCIA]]&lt;0,"FALTA",IF(Tabla1[[#This Row],[DIFERENCIA]]&gt;0,"DEMAS")))</f>
        <v>FALTA</v>
      </c>
    </row>
    <row r="17" spans="2:12" x14ac:dyDescent="0.3">
      <c r="B17" s="43" t="s">
        <v>95</v>
      </c>
      <c r="C17" s="44">
        <v>45912</v>
      </c>
      <c r="D17" s="45" t="s">
        <v>106</v>
      </c>
      <c r="E17" s="43" t="s">
        <v>96</v>
      </c>
      <c r="F17" s="43">
        <v>25</v>
      </c>
      <c r="G17" s="43" t="s">
        <v>15</v>
      </c>
      <c r="H17" s="43" t="s">
        <v>103</v>
      </c>
      <c r="I17" s="43"/>
      <c r="J17" s="43"/>
      <c r="K17" s="43">
        <f>IF(Tabla1[[#This Row],[CANTIDAD ]]="","",Tabla1[[#This Row],[LLEGO REALMENTE]]-Tabla1[[#This Row],[CANTIDAD ]])</f>
        <v>-25</v>
      </c>
      <c r="L17" s="43" t="str">
        <f>IF(Tabla1[[#This Row],[DIFERENCIA]]=0,"CORECTO",IF(Tabla1[[#This Row],[DIFERENCIA]]&lt;0,"FALTA",IF(Tabla1[[#This Row],[DIFERENCIA]]&gt;0,"DEMAS")))</f>
        <v>FALTA</v>
      </c>
    </row>
    <row r="18" spans="2:12" x14ac:dyDescent="0.3">
      <c r="B18" s="43" t="s">
        <v>95</v>
      </c>
      <c r="C18" s="44">
        <v>45912</v>
      </c>
      <c r="D18" s="45" t="s">
        <v>22</v>
      </c>
      <c r="E18" s="43" t="s">
        <v>96</v>
      </c>
      <c r="F18" s="43">
        <v>25</v>
      </c>
      <c r="G18" s="43" t="s">
        <v>15</v>
      </c>
      <c r="H18" s="43" t="s">
        <v>103</v>
      </c>
      <c r="I18" s="43"/>
      <c r="J18" s="43"/>
      <c r="K18" s="43">
        <f>IF(Tabla1[[#This Row],[CANTIDAD ]]="","",Tabla1[[#This Row],[LLEGO REALMENTE]]-Tabla1[[#This Row],[CANTIDAD ]])</f>
        <v>-25</v>
      </c>
      <c r="L18" s="43" t="str">
        <f>IF(Tabla1[[#This Row],[DIFERENCIA]]=0,"CORECTO",IF(Tabla1[[#This Row],[DIFERENCIA]]&lt;0,"FALTA",IF(Tabla1[[#This Row],[DIFERENCIA]]&gt;0,"DEMAS")))</f>
        <v>FALTA</v>
      </c>
    </row>
    <row r="19" spans="2:12" x14ac:dyDescent="0.3">
      <c r="B19" s="43" t="s">
        <v>95</v>
      </c>
      <c r="C19" s="44">
        <v>45912</v>
      </c>
      <c r="D19" s="45" t="s">
        <v>23</v>
      </c>
      <c r="E19" s="43" t="s">
        <v>96</v>
      </c>
      <c r="F19" s="43">
        <v>8</v>
      </c>
      <c r="G19" s="43" t="s">
        <v>15</v>
      </c>
      <c r="H19" s="43" t="s">
        <v>103</v>
      </c>
      <c r="I19" s="43"/>
      <c r="J19" s="43"/>
      <c r="K19" s="43">
        <f>IF(Tabla1[[#This Row],[CANTIDAD ]]="","",Tabla1[[#This Row],[LLEGO REALMENTE]]-Tabla1[[#This Row],[CANTIDAD ]])</f>
        <v>-8</v>
      </c>
      <c r="L19" s="43" t="str">
        <f>IF(Tabla1[[#This Row],[DIFERENCIA]]=0,"CORECTO",IF(Tabla1[[#This Row],[DIFERENCIA]]&lt;0,"FALTA",IF(Tabla1[[#This Row],[DIFERENCIA]]&gt;0,"DEMAS")))</f>
        <v>FALTA</v>
      </c>
    </row>
    <row r="20" spans="2:12" x14ac:dyDescent="0.3">
      <c r="B20" s="43" t="s">
        <v>95</v>
      </c>
      <c r="C20" s="44">
        <v>45912</v>
      </c>
      <c r="D20" s="45" t="s">
        <v>24</v>
      </c>
      <c r="E20" s="43" t="s">
        <v>96</v>
      </c>
      <c r="F20" s="43">
        <v>8</v>
      </c>
      <c r="G20" s="43" t="s">
        <v>15</v>
      </c>
      <c r="H20" s="43" t="s">
        <v>103</v>
      </c>
      <c r="I20" s="43"/>
      <c r="J20" s="43"/>
      <c r="K20" s="43">
        <f>IF(Tabla1[[#This Row],[CANTIDAD ]]="","",Tabla1[[#This Row],[LLEGO REALMENTE]]-Tabla1[[#This Row],[CANTIDAD ]])</f>
        <v>-8</v>
      </c>
      <c r="L20" s="43" t="str">
        <f>IF(Tabla1[[#This Row],[DIFERENCIA]]=0,"CORECTO",IF(Tabla1[[#This Row],[DIFERENCIA]]&lt;0,"FALTA",IF(Tabla1[[#This Row],[DIFERENCIA]]&gt;0,"DEMAS")))</f>
        <v>FALTA</v>
      </c>
    </row>
    <row r="21" spans="2:12" x14ac:dyDescent="0.3">
      <c r="B21" s="43" t="s">
        <v>95</v>
      </c>
      <c r="C21" s="44">
        <v>45912</v>
      </c>
      <c r="D21" s="45" t="s">
        <v>25</v>
      </c>
      <c r="E21" s="43" t="s">
        <v>96</v>
      </c>
      <c r="F21" s="43">
        <v>8</v>
      </c>
      <c r="G21" s="43" t="s">
        <v>15</v>
      </c>
      <c r="H21" s="43" t="s">
        <v>103</v>
      </c>
      <c r="I21" s="43"/>
      <c r="J21" s="43"/>
      <c r="K21" s="43">
        <f>IF(Tabla1[[#This Row],[CANTIDAD ]]="","",Tabla1[[#This Row],[LLEGO REALMENTE]]-Tabla1[[#This Row],[CANTIDAD ]])</f>
        <v>-8</v>
      </c>
      <c r="L21" s="43" t="str">
        <f>IF(Tabla1[[#This Row],[DIFERENCIA]]=0,"CORECTO",IF(Tabla1[[#This Row],[DIFERENCIA]]&lt;0,"FALTA",IF(Tabla1[[#This Row],[DIFERENCIA]]&gt;0,"DEMAS")))</f>
        <v>FALTA</v>
      </c>
    </row>
    <row r="22" spans="2:12" x14ac:dyDescent="0.3">
      <c r="B22" s="43" t="s">
        <v>95</v>
      </c>
      <c r="C22" s="44">
        <v>45912</v>
      </c>
      <c r="D22" s="45" t="s">
        <v>26</v>
      </c>
      <c r="E22" s="43" t="s">
        <v>96</v>
      </c>
      <c r="F22" s="43">
        <v>20</v>
      </c>
      <c r="G22" s="43" t="s">
        <v>15</v>
      </c>
      <c r="H22" s="43" t="s">
        <v>103</v>
      </c>
      <c r="I22" s="43"/>
      <c r="J22" s="43"/>
      <c r="K22" s="43">
        <f>IF(Tabla1[[#This Row],[CANTIDAD ]]="","",Tabla1[[#This Row],[LLEGO REALMENTE]]-Tabla1[[#This Row],[CANTIDAD ]])</f>
        <v>-20</v>
      </c>
      <c r="L22" s="43" t="str">
        <f>IF(Tabla1[[#This Row],[DIFERENCIA]]=0,"CORECTO",IF(Tabla1[[#This Row],[DIFERENCIA]]&lt;0,"FALTA",IF(Tabla1[[#This Row],[DIFERENCIA]]&gt;0,"DEMAS")))</f>
        <v>FALTA</v>
      </c>
    </row>
    <row r="23" spans="2:12" x14ac:dyDescent="0.3">
      <c r="B23" s="43" t="s">
        <v>95</v>
      </c>
      <c r="C23" s="44">
        <v>45912</v>
      </c>
      <c r="D23" s="45" t="s">
        <v>27</v>
      </c>
      <c r="E23" s="43" t="s">
        <v>96</v>
      </c>
      <c r="F23" s="43">
        <v>10</v>
      </c>
      <c r="G23" s="43" t="s">
        <v>15</v>
      </c>
      <c r="H23" s="43" t="s">
        <v>103</v>
      </c>
      <c r="I23" s="43"/>
      <c r="J23" s="43"/>
      <c r="K23" s="43">
        <f>IF(Tabla1[[#This Row],[CANTIDAD ]]="","",Tabla1[[#This Row],[LLEGO REALMENTE]]-Tabla1[[#This Row],[CANTIDAD ]])</f>
        <v>-10</v>
      </c>
      <c r="L23" s="43" t="str">
        <f>IF(Tabla1[[#This Row],[DIFERENCIA]]=0,"CORECTO",IF(Tabla1[[#This Row],[DIFERENCIA]]&lt;0,"FALTA",IF(Tabla1[[#This Row],[DIFERENCIA]]&gt;0,"DEMAS")))</f>
        <v>FALTA</v>
      </c>
    </row>
    <row r="24" spans="2:12" x14ac:dyDescent="0.3">
      <c r="B24" s="43" t="s">
        <v>95</v>
      </c>
      <c r="C24" s="44">
        <v>45912</v>
      </c>
      <c r="D24" s="45" t="s">
        <v>107</v>
      </c>
      <c r="E24" s="43" t="s">
        <v>96</v>
      </c>
      <c r="F24" s="43">
        <v>1</v>
      </c>
      <c r="G24" s="43" t="s">
        <v>29</v>
      </c>
      <c r="H24" s="43" t="s">
        <v>108</v>
      </c>
      <c r="I24" s="43"/>
      <c r="J24" s="43"/>
      <c r="K24" s="43">
        <f>IF(Tabla1[[#This Row],[CANTIDAD ]]="","",Tabla1[[#This Row],[LLEGO REALMENTE]]-Tabla1[[#This Row],[CANTIDAD ]])</f>
        <v>-1</v>
      </c>
      <c r="L24" s="43" t="str">
        <f>IF(Tabla1[[#This Row],[DIFERENCIA]]=0,"CORECTO",IF(Tabla1[[#This Row],[DIFERENCIA]]&lt;0,"FALTA",IF(Tabla1[[#This Row],[DIFERENCIA]]&gt;0,"DEMAS")))</f>
        <v>FALTA</v>
      </c>
    </row>
    <row r="25" spans="2:12" x14ac:dyDescent="0.3">
      <c r="B25" s="43" t="s">
        <v>95</v>
      </c>
      <c r="C25" s="44">
        <v>45912</v>
      </c>
      <c r="D25" s="45" t="s">
        <v>31</v>
      </c>
      <c r="E25" s="43" t="s">
        <v>96</v>
      </c>
      <c r="F25" s="43">
        <v>20</v>
      </c>
      <c r="G25" s="43"/>
      <c r="H25" s="43"/>
      <c r="I25" s="43"/>
      <c r="J25" s="43"/>
      <c r="K25" s="43">
        <f>IF(Tabla1[[#This Row],[CANTIDAD ]]="","",Tabla1[[#This Row],[LLEGO REALMENTE]]-Tabla1[[#This Row],[CANTIDAD ]])</f>
        <v>-20</v>
      </c>
      <c r="L25" s="43" t="str">
        <f>IF(Tabla1[[#This Row],[DIFERENCIA]]=0,"CORECTO",IF(Tabla1[[#This Row],[DIFERENCIA]]&lt;0,"FALTA",IF(Tabla1[[#This Row],[DIFERENCIA]]&gt;0,"DEMAS")))</f>
        <v>FALTA</v>
      </c>
    </row>
    <row r="26" spans="2:12" x14ac:dyDescent="0.3">
      <c r="B26" s="43" t="s">
        <v>95</v>
      </c>
      <c r="C26" s="44">
        <v>45912</v>
      </c>
      <c r="D26" s="45" t="s">
        <v>109</v>
      </c>
      <c r="E26" s="43" t="s">
        <v>96</v>
      </c>
      <c r="F26" s="43">
        <v>1</v>
      </c>
      <c r="G26" s="43" t="s">
        <v>29</v>
      </c>
      <c r="H26" s="43" t="s">
        <v>108</v>
      </c>
      <c r="I26" s="43"/>
      <c r="J26" s="43"/>
      <c r="K26" s="43">
        <f>IF(Tabla1[[#This Row],[CANTIDAD ]]="","",Tabla1[[#This Row],[LLEGO REALMENTE]]-Tabla1[[#This Row],[CANTIDAD ]])</f>
        <v>-1</v>
      </c>
      <c r="L26" s="43" t="str">
        <f>IF(Tabla1[[#This Row],[DIFERENCIA]]=0,"CORECTO",IF(Tabla1[[#This Row],[DIFERENCIA]]&lt;0,"FALTA",IF(Tabla1[[#This Row],[DIFERENCIA]]&gt;0,"DEMAS")))</f>
        <v>FALTA</v>
      </c>
    </row>
    <row r="27" spans="2:12" x14ac:dyDescent="0.3">
      <c r="B27" s="43" t="s">
        <v>95</v>
      </c>
      <c r="C27" s="44">
        <v>45912</v>
      </c>
      <c r="D27" s="45" t="s">
        <v>110</v>
      </c>
      <c r="E27" s="43" t="s">
        <v>96</v>
      </c>
      <c r="F27" s="43">
        <v>1</v>
      </c>
      <c r="G27" s="43" t="s">
        <v>15</v>
      </c>
      <c r="H27" s="43" t="s">
        <v>103</v>
      </c>
      <c r="I27" s="43"/>
      <c r="J27" s="43"/>
      <c r="K27" s="43">
        <f>IF(Tabla1[[#This Row],[CANTIDAD ]]="","",Tabla1[[#This Row],[LLEGO REALMENTE]]-Tabla1[[#This Row],[CANTIDAD ]])</f>
        <v>-1</v>
      </c>
      <c r="L27" s="43" t="str">
        <f>IF(Tabla1[[#This Row],[DIFERENCIA]]=0,"CORECTO",IF(Tabla1[[#This Row],[DIFERENCIA]]&lt;0,"FALTA",IF(Tabla1[[#This Row],[DIFERENCIA]]&gt;0,"DEMAS")))</f>
        <v>FALTA</v>
      </c>
    </row>
    <row r="28" spans="2:12" x14ac:dyDescent="0.3">
      <c r="B28" s="43" t="s">
        <v>95</v>
      </c>
      <c r="C28" s="44">
        <v>45912</v>
      </c>
      <c r="D28" s="45" t="s">
        <v>111</v>
      </c>
      <c r="E28" s="43" t="s">
        <v>96</v>
      </c>
      <c r="F28" s="43">
        <v>2</v>
      </c>
      <c r="G28" s="43" t="s">
        <v>15</v>
      </c>
      <c r="H28" s="43" t="s">
        <v>103</v>
      </c>
      <c r="I28" s="43"/>
      <c r="J28" s="43"/>
      <c r="K28" s="43">
        <f>IF(Tabla1[[#This Row],[CANTIDAD ]]="","",Tabla1[[#This Row],[LLEGO REALMENTE]]-Tabla1[[#This Row],[CANTIDAD ]])</f>
        <v>-2</v>
      </c>
      <c r="L28" s="43" t="str">
        <f>IF(Tabla1[[#This Row],[DIFERENCIA]]=0,"CORECTO",IF(Tabla1[[#This Row],[DIFERENCIA]]&lt;0,"FALTA",IF(Tabla1[[#This Row],[DIFERENCIA]]&gt;0,"DEMAS")))</f>
        <v>FALTA</v>
      </c>
    </row>
    <row r="29" spans="2:12" x14ac:dyDescent="0.3">
      <c r="B29" s="43" t="s">
        <v>95</v>
      </c>
      <c r="C29" s="44">
        <v>45912</v>
      </c>
      <c r="D29" s="45" t="s">
        <v>35</v>
      </c>
      <c r="E29" s="43" t="s">
        <v>112</v>
      </c>
      <c r="F29" s="43">
        <v>5</v>
      </c>
      <c r="G29" s="43" t="s">
        <v>15</v>
      </c>
      <c r="H29" s="43" t="s">
        <v>103</v>
      </c>
      <c r="I29" s="43"/>
      <c r="J29" s="43"/>
      <c r="K29" s="43">
        <f>IF(Tabla1[[#This Row],[CANTIDAD ]]="","",Tabla1[[#This Row],[LLEGO REALMENTE]]-Tabla1[[#This Row],[CANTIDAD ]])</f>
        <v>-5</v>
      </c>
      <c r="L29" s="43" t="str">
        <f>IF(Tabla1[[#This Row],[DIFERENCIA]]=0,"CORECTO",IF(Tabla1[[#This Row],[DIFERENCIA]]&lt;0,"FALTA",IF(Tabla1[[#This Row],[DIFERENCIA]]&gt;0,"DEMAS")))</f>
        <v>FALTA</v>
      </c>
    </row>
    <row r="30" spans="2:12" x14ac:dyDescent="0.3">
      <c r="B30" s="43" t="s">
        <v>95</v>
      </c>
      <c r="C30" s="44">
        <v>45912</v>
      </c>
      <c r="D30" s="45" t="s">
        <v>113</v>
      </c>
      <c r="E30" s="43" t="s">
        <v>96</v>
      </c>
      <c r="F30" s="43">
        <v>10</v>
      </c>
      <c r="G30" s="43" t="s">
        <v>15</v>
      </c>
      <c r="H30" s="43" t="s">
        <v>103</v>
      </c>
      <c r="I30" s="43"/>
      <c r="J30" s="43"/>
      <c r="K30" s="43">
        <f>IF(Tabla1[[#This Row],[CANTIDAD ]]="","",Tabla1[[#This Row],[LLEGO REALMENTE]]-Tabla1[[#This Row],[CANTIDAD ]])</f>
        <v>-10</v>
      </c>
      <c r="L30" s="43" t="str">
        <f>IF(Tabla1[[#This Row],[DIFERENCIA]]=0,"CORECTO",IF(Tabla1[[#This Row],[DIFERENCIA]]&lt;0,"FALTA",IF(Tabla1[[#This Row],[DIFERENCIA]]&gt;0,"DEMAS")))</f>
        <v>FALTA</v>
      </c>
    </row>
    <row r="31" spans="2:12" x14ac:dyDescent="0.3">
      <c r="B31" s="43" t="s">
        <v>95</v>
      </c>
      <c r="C31" s="44">
        <v>45912</v>
      </c>
      <c r="D31" s="45" t="s">
        <v>37</v>
      </c>
      <c r="E31" s="43" t="s">
        <v>96</v>
      </c>
      <c r="F31" s="43">
        <v>2</v>
      </c>
      <c r="G31" s="43" t="s">
        <v>15</v>
      </c>
      <c r="H31" s="43" t="s">
        <v>103</v>
      </c>
      <c r="I31" s="43"/>
      <c r="J31" s="43"/>
      <c r="K31" s="43">
        <f>IF(Tabla1[[#This Row],[CANTIDAD ]]="","",Tabla1[[#This Row],[LLEGO REALMENTE]]-Tabla1[[#This Row],[CANTIDAD ]])</f>
        <v>-2</v>
      </c>
      <c r="L31" s="43" t="str">
        <f>IF(Tabla1[[#This Row],[DIFERENCIA]]=0,"CORECTO",IF(Tabla1[[#This Row],[DIFERENCIA]]&lt;0,"FALTA",IF(Tabla1[[#This Row],[DIFERENCIA]]&gt;0,"DEMAS")))</f>
        <v>FALTA</v>
      </c>
    </row>
    <row r="32" spans="2:12" x14ac:dyDescent="0.3">
      <c r="B32" s="43" t="s">
        <v>95</v>
      </c>
      <c r="C32" s="44">
        <v>45912</v>
      </c>
      <c r="D32" s="45" t="s">
        <v>38</v>
      </c>
      <c r="E32" s="43" t="s">
        <v>96</v>
      </c>
      <c r="F32" s="43">
        <v>2</v>
      </c>
      <c r="G32" s="43" t="s">
        <v>15</v>
      </c>
      <c r="H32" s="43" t="s">
        <v>103</v>
      </c>
      <c r="I32" s="43"/>
      <c r="J32" s="43"/>
      <c r="K32" s="43">
        <f>IF(Tabla1[[#This Row],[CANTIDAD ]]="","",Tabla1[[#This Row],[LLEGO REALMENTE]]-Tabla1[[#This Row],[CANTIDAD ]])</f>
        <v>-2</v>
      </c>
      <c r="L32" s="43" t="str">
        <f>IF(Tabla1[[#This Row],[DIFERENCIA]]=0,"CORECTO",IF(Tabla1[[#This Row],[DIFERENCIA]]&lt;0,"FALTA",IF(Tabla1[[#This Row],[DIFERENCIA]]&gt;0,"DEMAS")))</f>
        <v>FALTA</v>
      </c>
    </row>
    <row r="33" spans="2:12" x14ac:dyDescent="0.3">
      <c r="B33" s="43" t="s">
        <v>95</v>
      </c>
      <c r="C33" s="44">
        <v>45912</v>
      </c>
      <c r="D33" s="45" t="s">
        <v>114</v>
      </c>
      <c r="E33" s="43" t="s">
        <v>96</v>
      </c>
      <c r="F33" s="43">
        <v>12</v>
      </c>
      <c r="G33" s="43"/>
      <c r="H33" s="43"/>
      <c r="I33" s="43"/>
      <c r="J33" s="43"/>
      <c r="K33" s="43">
        <f>IF(Tabla1[[#This Row],[CANTIDAD ]]="","",Tabla1[[#This Row],[LLEGO REALMENTE]]-Tabla1[[#This Row],[CANTIDAD ]])</f>
        <v>-12</v>
      </c>
      <c r="L33" s="43" t="str">
        <f>IF(Tabla1[[#This Row],[DIFERENCIA]]=0,"CORECTO",IF(Tabla1[[#This Row],[DIFERENCIA]]&lt;0,"FALTA",IF(Tabla1[[#This Row],[DIFERENCIA]]&gt;0,"DEMAS")))</f>
        <v>FALTA</v>
      </c>
    </row>
    <row r="34" spans="2:12" x14ac:dyDescent="0.3">
      <c r="B34" s="43" t="s">
        <v>95</v>
      </c>
      <c r="C34" s="44">
        <v>45912</v>
      </c>
      <c r="D34" s="45" t="s">
        <v>115</v>
      </c>
      <c r="E34" s="43" t="s">
        <v>96</v>
      </c>
      <c r="F34" s="43">
        <v>12</v>
      </c>
      <c r="G34" s="43"/>
      <c r="H34" s="43"/>
      <c r="I34" s="43"/>
      <c r="J34" s="43"/>
      <c r="K34" s="43">
        <f>IF(Tabla1[[#This Row],[CANTIDAD ]]="","",Tabla1[[#This Row],[LLEGO REALMENTE]]-Tabla1[[#This Row],[CANTIDAD ]])</f>
        <v>-12</v>
      </c>
      <c r="L34" s="43" t="str">
        <f>IF(Tabla1[[#This Row],[DIFERENCIA]]=0,"CORECTO",IF(Tabla1[[#This Row],[DIFERENCIA]]&lt;0,"FALTA",IF(Tabla1[[#This Row],[DIFERENCIA]]&gt;0,"DEMAS")))</f>
        <v>FALTA</v>
      </c>
    </row>
    <row r="35" spans="2:12" x14ac:dyDescent="0.3">
      <c r="B35" s="43" t="s">
        <v>95</v>
      </c>
      <c r="C35" s="44">
        <v>45912</v>
      </c>
      <c r="D35" s="45" t="s">
        <v>116</v>
      </c>
      <c r="E35" s="43" t="s">
        <v>96</v>
      </c>
      <c r="F35" s="43">
        <v>5</v>
      </c>
      <c r="G35" s="43" t="s">
        <v>9</v>
      </c>
      <c r="H35" s="43" t="s">
        <v>97</v>
      </c>
      <c r="I35" s="43"/>
      <c r="J35" s="43"/>
      <c r="K35" s="43">
        <f>IF(Tabla1[[#This Row],[CANTIDAD ]]="","",Tabla1[[#This Row],[LLEGO REALMENTE]]-Tabla1[[#This Row],[CANTIDAD ]])</f>
        <v>-5</v>
      </c>
      <c r="L35" s="43" t="str">
        <f>IF(Tabla1[[#This Row],[DIFERENCIA]]=0,"CORECTO",IF(Tabla1[[#This Row],[DIFERENCIA]]&lt;0,"FALTA",IF(Tabla1[[#This Row],[DIFERENCIA]]&gt;0,"DEMAS")))</f>
        <v>FALTA</v>
      </c>
    </row>
    <row r="36" spans="2:12" x14ac:dyDescent="0.3">
      <c r="B36" s="43" t="s">
        <v>95</v>
      </c>
      <c r="C36" s="44">
        <v>45912</v>
      </c>
      <c r="D36" s="45" t="s">
        <v>43</v>
      </c>
      <c r="E36" s="43" t="s">
        <v>96</v>
      </c>
      <c r="F36" s="43">
        <v>12</v>
      </c>
      <c r="G36" s="43"/>
      <c r="H36" s="43"/>
      <c r="I36" s="43"/>
      <c r="J36" s="43"/>
      <c r="K36" s="43">
        <f>IF(Tabla1[[#This Row],[CANTIDAD ]]="","",Tabla1[[#This Row],[LLEGO REALMENTE]]-Tabla1[[#This Row],[CANTIDAD ]])</f>
        <v>-12</v>
      </c>
      <c r="L36" s="43" t="str">
        <f>IF(Tabla1[[#This Row],[DIFERENCIA]]=0,"CORECTO",IF(Tabla1[[#This Row],[DIFERENCIA]]&lt;0,"FALTA",IF(Tabla1[[#This Row],[DIFERENCIA]]&gt;0,"DEMAS")))</f>
        <v>FALTA</v>
      </c>
    </row>
    <row r="37" spans="2:12" x14ac:dyDescent="0.3">
      <c r="B37" s="43" t="s">
        <v>95</v>
      </c>
      <c r="C37" s="44">
        <v>45912</v>
      </c>
      <c r="D37" s="45" t="s">
        <v>117</v>
      </c>
      <c r="E37" s="43" t="s">
        <v>96</v>
      </c>
      <c r="F37" s="43">
        <v>1</v>
      </c>
      <c r="G37" s="43"/>
      <c r="H37" s="43"/>
      <c r="I37" s="43"/>
      <c r="J37" s="43"/>
      <c r="K37" s="43">
        <f>IF(Tabla1[[#This Row],[CANTIDAD ]]="","",Tabla1[[#This Row],[LLEGO REALMENTE]]-Tabla1[[#This Row],[CANTIDAD ]])</f>
        <v>-1</v>
      </c>
      <c r="L37" s="43" t="str">
        <f>IF(Tabla1[[#This Row],[DIFERENCIA]]=0,"CORECTO",IF(Tabla1[[#This Row],[DIFERENCIA]]&lt;0,"FALTA",IF(Tabla1[[#This Row],[DIFERENCIA]]&gt;0,"DEMAS")))</f>
        <v>FALTA</v>
      </c>
    </row>
    <row r="38" spans="2:12" x14ac:dyDescent="0.3">
      <c r="B38" s="43" t="s">
        <v>95</v>
      </c>
      <c r="C38" s="44">
        <v>45912</v>
      </c>
      <c r="D38" s="45" t="s">
        <v>118</v>
      </c>
      <c r="E38" s="43" t="s">
        <v>96</v>
      </c>
      <c r="F38" s="43">
        <v>40</v>
      </c>
      <c r="G38" s="43" t="s">
        <v>9</v>
      </c>
      <c r="H38" s="43" t="s">
        <v>97</v>
      </c>
      <c r="I38" s="43"/>
      <c r="J38" s="43"/>
      <c r="K38" s="43">
        <f>IF(Tabla1[[#This Row],[CANTIDAD ]]="","",Tabla1[[#This Row],[LLEGO REALMENTE]]-Tabla1[[#This Row],[CANTIDAD ]])</f>
        <v>-40</v>
      </c>
      <c r="L38" s="43" t="str">
        <f>IF(Tabla1[[#This Row],[DIFERENCIA]]=0,"CORECTO",IF(Tabla1[[#This Row],[DIFERENCIA]]&lt;0,"FALTA",IF(Tabla1[[#This Row],[DIFERENCIA]]&gt;0,"DEMAS")))</f>
        <v>FALTA</v>
      </c>
    </row>
    <row r="39" spans="2:12" x14ac:dyDescent="0.3">
      <c r="B39" s="43" t="s">
        <v>95</v>
      </c>
      <c r="C39" s="44">
        <v>45912</v>
      </c>
      <c r="D39" s="45" t="s">
        <v>119</v>
      </c>
      <c r="E39" s="43" t="s">
        <v>96</v>
      </c>
      <c r="F39" s="43">
        <v>40</v>
      </c>
      <c r="G39" s="43"/>
      <c r="H39" s="43"/>
      <c r="I39" s="43"/>
      <c r="J39" s="43"/>
      <c r="K39" s="43">
        <f>IF(Tabla1[[#This Row],[CANTIDAD ]]="","",Tabla1[[#This Row],[LLEGO REALMENTE]]-Tabla1[[#This Row],[CANTIDAD ]])</f>
        <v>-40</v>
      </c>
      <c r="L39" s="43" t="str">
        <f>IF(Tabla1[[#This Row],[DIFERENCIA]]=0,"CORECTO",IF(Tabla1[[#This Row],[DIFERENCIA]]&lt;0,"FALTA",IF(Tabla1[[#This Row],[DIFERENCIA]]&gt;0,"DEMAS")))</f>
        <v>FALTA</v>
      </c>
    </row>
    <row r="40" spans="2:12" x14ac:dyDescent="0.3">
      <c r="B40" s="43" t="s">
        <v>95</v>
      </c>
      <c r="C40" s="44">
        <v>45912</v>
      </c>
      <c r="D40" s="45" t="s">
        <v>120</v>
      </c>
      <c r="E40" s="43" t="s">
        <v>96</v>
      </c>
      <c r="F40" s="43">
        <v>2</v>
      </c>
      <c r="G40" s="43" t="s">
        <v>121</v>
      </c>
      <c r="H40" s="43" t="s">
        <v>122</v>
      </c>
      <c r="I40" s="43"/>
      <c r="J40" s="43"/>
      <c r="K40" s="43">
        <f>IF(Tabla1[[#This Row],[CANTIDAD ]]="","",Tabla1[[#This Row],[LLEGO REALMENTE]]-Tabla1[[#This Row],[CANTIDAD ]])</f>
        <v>-2</v>
      </c>
      <c r="L40" s="43" t="str">
        <f>IF(Tabla1[[#This Row],[DIFERENCIA]]=0,"CORECTO",IF(Tabla1[[#This Row],[DIFERENCIA]]&lt;0,"FALTA",IF(Tabla1[[#This Row],[DIFERENCIA]]&gt;0,"DEMAS")))</f>
        <v>FALTA</v>
      </c>
    </row>
    <row r="41" spans="2:12" x14ac:dyDescent="0.3">
      <c r="B41" s="43" t="s">
        <v>95</v>
      </c>
      <c r="C41" s="44">
        <v>45912</v>
      </c>
      <c r="D41" s="45" t="s">
        <v>123</v>
      </c>
      <c r="E41" s="43" t="s">
        <v>96</v>
      </c>
      <c r="F41" s="43">
        <v>1</v>
      </c>
      <c r="G41" s="43" t="s">
        <v>121</v>
      </c>
      <c r="H41" s="43" t="s">
        <v>122</v>
      </c>
      <c r="I41" s="43"/>
      <c r="J41" s="43"/>
      <c r="K41" s="43">
        <f>IF(Tabla1[[#This Row],[CANTIDAD ]]="","",Tabla1[[#This Row],[LLEGO REALMENTE]]-Tabla1[[#This Row],[CANTIDAD ]])</f>
        <v>-1</v>
      </c>
      <c r="L41" s="43" t="str">
        <f>IF(Tabla1[[#This Row],[DIFERENCIA]]=0,"CORECTO",IF(Tabla1[[#This Row],[DIFERENCIA]]&lt;0,"FALTA",IF(Tabla1[[#This Row],[DIFERENCIA]]&gt;0,"DEMAS")))</f>
        <v>FALTA</v>
      </c>
    </row>
    <row r="42" spans="2:12" x14ac:dyDescent="0.3">
      <c r="B42" s="43" t="s">
        <v>95</v>
      </c>
      <c r="C42" s="44">
        <v>45912</v>
      </c>
      <c r="D42" s="45" t="s">
        <v>124</v>
      </c>
      <c r="E42" s="43" t="s">
        <v>96</v>
      </c>
      <c r="F42" s="43">
        <v>1</v>
      </c>
      <c r="G42" s="43" t="s">
        <v>121</v>
      </c>
      <c r="H42" s="43" t="s">
        <v>122</v>
      </c>
      <c r="I42" s="43"/>
      <c r="J42" s="43"/>
      <c r="K42" s="43">
        <f>IF(Tabla1[[#This Row],[CANTIDAD ]]="","",Tabla1[[#This Row],[LLEGO REALMENTE]]-Tabla1[[#This Row],[CANTIDAD ]])</f>
        <v>-1</v>
      </c>
      <c r="L42" s="43" t="str">
        <f>IF(Tabla1[[#This Row],[DIFERENCIA]]=0,"CORECTO",IF(Tabla1[[#This Row],[DIFERENCIA]]&lt;0,"FALTA",IF(Tabla1[[#This Row],[DIFERENCIA]]&gt;0,"DEMAS")))</f>
        <v>FALTA</v>
      </c>
    </row>
    <row r="43" spans="2:12" x14ac:dyDescent="0.3">
      <c r="B43" s="43" t="s">
        <v>95</v>
      </c>
      <c r="C43" s="44">
        <v>45912</v>
      </c>
      <c r="D43" s="45" t="s">
        <v>125</v>
      </c>
      <c r="E43" s="43" t="s">
        <v>96</v>
      </c>
      <c r="F43" s="43">
        <v>200</v>
      </c>
      <c r="G43" s="43"/>
      <c r="H43" s="43"/>
      <c r="I43" s="43"/>
      <c r="J43" s="43"/>
      <c r="K43" s="43">
        <f>IF(Tabla1[[#This Row],[CANTIDAD ]]="","",Tabla1[[#This Row],[LLEGO REALMENTE]]-Tabla1[[#This Row],[CANTIDAD ]])</f>
        <v>-200</v>
      </c>
      <c r="L43" s="43" t="str">
        <f>IF(Tabla1[[#This Row],[DIFERENCIA]]=0,"CORECTO",IF(Tabla1[[#This Row],[DIFERENCIA]]&lt;0,"FALTA",IF(Tabla1[[#This Row],[DIFERENCIA]]&gt;0,"DEMAS")))</f>
        <v>FALTA</v>
      </c>
    </row>
    <row r="44" spans="2:12" ht="30" customHeight="1" x14ac:dyDescent="0.3">
      <c r="B44" s="43" t="s">
        <v>95</v>
      </c>
      <c r="C44" s="44">
        <v>45912</v>
      </c>
      <c r="D44" s="45" t="s">
        <v>126</v>
      </c>
      <c r="E44" s="43" t="s">
        <v>96</v>
      </c>
      <c r="F44" s="43">
        <v>5</v>
      </c>
      <c r="G44" s="43" t="s">
        <v>121</v>
      </c>
      <c r="H44" s="43" t="s">
        <v>122</v>
      </c>
      <c r="I44" s="43"/>
      <c r="J44" s="43"/>
      <c r="K44" s="43">
        <f>IF(Tabla1[[#This Row],[CANTIDAD ]]="","",Tabla1[[#This Row],[LLEGO REALMENTE]]-Tabla1[[#This Row],[CANTIDAD ]])</f>
        <v>-5</v>
      </c>
      <c r="L44" s="43" t="str">
        <f>IF(Tabla1[[#This Row],[DIFERENCIA]]=0,"CORECTO",IF(Tabla1[[#This Row],[DIFERENCIA]]&lt;0,"FALTA",IF(Tabla1[[#This Row],[DIFERENCIA]]&gt;0,"DEMAS")))</f>
        <v>FALTA</v>
      </c>
    </row>
    <row r="45" spans="2:12" ht="22.5" customHeight="1" x14ac:dyDescent="0.3">
      <c r="B45" s="43" t="s">
        <v>95</v>
      </c>
      <c r="C45" s="44">
        <v>45912</v>
      </c>
      <c r="D45" s="45" t="s">
        <v>127</v>
      </c>
      <c r="E45" s="43" t="s">
        <v>128</v>
      </c>
      <c r="F45" s="43">
        <v>2</v>
      </c>
      <c r="G45" s="43" t="s">
        <v>121</v>
      </c>
      <c r="H45" s="43" t="s">
        <v>122</v>
      </c>
      <c r="I45" s="43"/>
      <c r="J45" s="43">
        <v>8</v>
      </c>
      <c r="K45" s="43">
        <f>IF(Tabla1[[#This Row],[CANTIDAD ]]="","",Tabla1[[#This Row],[LLEGO REALMENTE]]-Tabla1[[#This Row],[CANTIDAD ]])</f>
        <v>6</v>
      </c>
      <c r="L45" s="43" t="str">
        <f>IF(Tabla1[[#This Row],[DIFERENCIA]]=0,"CORECTO",IF(Tabla1[[#This Row],[DIFERENCIA]]&lt;0,"FALTA",IF(Tabla1[[#This Row],[DIFERENCIA]]&gt;0,"DEMAS")))</f>
        <v>DEMAS</v>
      </c>
    </row>
    <row r="46" spans="2:12" x14ac:dyDescent="0.3">
      <c r="B46" s="43" t="s">
        <v>95</v>
      </c>
      <c r="C46" s="44">
        <v>45912</v>
      </c>
      <c r="D46" s="45" t="s">
        <v>129</v>
      </c>
      <c r="E46" s="43" t="s">
        <v>96</v>
      </c>
      <c r="F46" s="43">
        <v>5</v>
      </c>
      <c r="G46" s="43" t="s">
        <v>121</v>
      </c>
      <c r="H46" s="43" t="s">
        <v>122</v>
      </c>
      <c r="I46" s="43"/>
      <c r="J46" s="43"/>
      <c r="K46" s="43">
        <f>IF(Tabla1[[#This Row],[CANTIDAD ]]="","",Tabla1[[#This Row],[LLEGO REALMENTE]]-Tabla1[[#This Row],[CANTIDAD ]])</f>
        <v>-5</v>
      </c>
      <c r="L46" s="43" t="str">
        <f>IF(Tabla1[[#This Row],[DIFERENCIA]]=0,"CORECTO",IF(Tabla1[[#This Row],[DIFERENCIA]]&lt;0,"FALTA",IF(Tabla1[[#This Row],[DIFERENCIA]]&gt;0,"DEMAS")))</f>
        <v>FALTA</v>
      </c>
    </row>
    <row r="47" spans="2:12" x14ac:dyDescent="0.3">
      <c r="B47" s="43" t="s">
        <v>95</v>
      </c>
      <c r="C47" s="44">
        <v>45912</v>
      </c>
      <c r="D47" s="45" t="s">
        <v>130</v>
      </c>
      <c r="E47" s="43" t="s">
        <v>96</v>
      </c>
      <c r="F47" s="43">
        <v>12</v>
      </c>
      <c r="G47" s="43" t="s">
        <v>121</v>
      </c>
      <c r="H47" s="43" t="s">
        <v>122</v>
      </c>
      <c r="I47" s="43"/>
      <c r="J47" s="43"/>
      <c r="K47" s="43">
        <f>IF(Tabla1[[#This Row],[CANTIDAD ]]="","",Tabla1[[#This Row],[LLEGO REALMENTE]]-Tabla1[[#This Row],[CANTIDAD ]])</f>
        <v>-12</v>
      </c>
      <c r="L47" s="43" t="str">
        <f>IF(Tabla1[[#This Row],[DIFERENCIA]]=0,"CORECTO",IF(Tabla1[[#This Row],[DIFERENCIA]]&lt;0,"FALTA",IF(Tabla1[[#This Row],[DIFERENCIA]]&gt;0,"DEMAS")))</f>
        <v>FALTA</v>
      </c>
    </row>
    <row r="48" spans="2:12" x14ac:dyDescent="0.3">
      <c r="B48" s="43" t="s">
        <v>95</v>
      </c>
      <c r="C48" s="44">
        <v>45912</v>
      </c>
      <c r="D48" s="45" t="s">
        <v>131</v>
      </c>
      <c r="E48" s="43" t="s">
        <v>96</v>
      </c>
      <c r="F48" s="43">
        <v>3</v>
      </c>
      <c r="G48" s="43" t="s">
        <v>121</v>
      </c>
      <c r="H48" s="43" t="s">
        <v>122</v>
      </c>
      <c r="I48" s="43"/>
      <c r="J48" s="43"/>
      <c r="K48" s="43">
        <f>IF(Tabla1[[#This Row],[CANTIDAD ]]="","",Tabla1[[#This Row],[LLEGO REALMENTE]]-Tabla1[[#This Row],[CANTIDAD ]])</f>
        <v>-3</v>
      </c>
      <c r="L48" s="43" t="str">
        <f>IF(Tabla1[[#This Row],[DIFERENCIA]]=0,"CORECTO",IF(Tabla1[[#This Row],[DIFERENCIA]]&lt;0,"FALTA",IF(Tabla1[[#This Row],[DIFERENCIA]]&gt;0,"DEMAS")))</f>
        <v>FALTA</v>
      </c>
    </row>
    <row r="49" spans="2:12" x14ac:dyDescent="0.3">
      <c r="B49" s="43" t="s">
        <v>95</v>
      </c>
      <c r="C49" s="44">
        <v>45912</v>
      </c>
      <c r="D49" s="45" t="s">
        <v>132</v>
      </c>
      <c r="E49" s="43" t="s">
        <v>96</v>
      </c>
      <c r="F49" s="43">
        <v>1</v>
      </c>
      <c r="G49" s="43" t="s">
        <v>121</v>
      </c>
      <c r="H49" s="43" t="s">
        <v>122</v>
      </c>
      <c r="I49" s="43"/>
      <c r="J49" s="43"/>
      <c r="K49" s="43">
        <f>IF(Tabla1[[#This Row],[CANTIDAD ]]="","",Tabla1[[#This Row],[LLEGO REALMENTE]]-Tabla1[[#This Row],[CANTIDAD ]])</f>
        <v>-1</v>
      </c>
      <c r="L49" s="43" t="str">
        <f>IF(Tabla1[[#This Row],[DIFERENCIA]]=0,"CORECTO",IF(Tabla1[[#This Row],[DIFERENCIA]]&lt;0,"FALTA",IF(Tabla1[[#This Row],[DIFERENCIA]]&gt;0,"DEMAS")))</f>
        <v>FALTA</v>
      </c>
    </row>
    <row r="50" spans="2:12" x14ac:dyDescent="0.3">
      <c r="B50" s="43" t="s">
        <v>95</v>
      </c>
      <c r="C50" s="44">
        <v>45912</v>
      </c>
      <c r="D50" s="45" t="s">
        <v>133</v>
      </c>
      <c r="E50" s="43" t="s">
        <v>96</v>
      </c>
      <c r="F50" s="43">
        <v>1</v>
      </c>
      <c r="G50" s="43" t="s">
        <v>121</v>
      </c>
      <c r="H50" s="43" t="s">
        <v>122</v>
      </c>
      <c r="I50" s="43"/>
      <c r="J50" s="43"/>
      <c r="K50" s="43">
        <f>IF(Tabla1[[#This Row],[CANTIDAD ]]="","",Tabla1[[#This Row],[LLEGO REALMENTE]]-Tabla1[[#This Row],[CANTIDAD ]])</f>
        <v>-1</v>
      </c>
      <c r="L50" s="43" t="str">
        <f>IF(Tabla1[[#This Row],[DIFERENCIA]]=0,"CORECTO",IF(Tabla1[[#This Row],[DIFERENCIA]]&lt;0,"FALTA",IF(Tabla1[[#This Row],[DIFERENCIA]]&gt;0,"DEMAS")))</f>
        <v>FALTA</v>
      </c>
    </row>
    <row r="51" spans="2:12" x14ac:dyDescent="0.3">
      <c r="B51" s="43" t="s">
        <v>95</v>
      </c>
      <c r="C51" s="44">
        <v>45912</v>
      </c>
      <c r="D51" s="45" t="s">
        <v>134</v>
      </c>
      <c r="E51" s="43" t="s">
        <v>96</v>
      </c>
      <c r="F51" s="43">
        <v>3</v>
      </c>
      <c r="G51" s="43" t="s">
        <v>121</v>
      </c>
      <c r="H51" s="43" t="s">
        <v>122</v>
      </c>
      <c r="I51" s="43"/>
      <c r="J51" s="43"/>
      <c r="K51" s="43">
        <f>IF(Tabla1[[#This Row],[CANTIDAD ]]="","",Tabla1[[#This Row],[LLEGO REALMENTE]]-Tabla1[[#This Row],[CANTIDAD ]])</f>
        <v>-3</v>
      </c>
      <c r="L51" s="43" t="str">
        <f>IF(Tabla1[[#This Row],[DIFERENCIA]]=0,"CORECTO",IF(Tabla1[[#This Row],[DIFERENCIA]]&lt;0,"FALTA",IF(Tabla1[[#This Row],[DIFERENCIA]]&gt;0,"DEMAS")))</f>
        <v>FALTA</v>
      </c>
    </row>
    <row r="52" spans="2:12" x14ac:dyDescent="0.3">
      <c r="B52" s="43" t="s">
        <v>95</v>
      </c>
      <c r="C52" s="44">
        <v>45912</v>
      </c>
      <c r="D52" s="45" t="s">
        <v>135</v>
      </c>
      <c r="E52" s="43" t="s">
        <v>128</v>
      </c>
      <c r="F52" s="43">
        <v>1</v>
      </c>
      <c r="G52" s="43" t="s">
        <v>121</v>
      </c>
      <c r="H52" s="43" t="s">
        <v>122</v>
      </c>
      <c r="I52" s="43"/>
      <c r="J52" s="43"/>
      <c r="K52" s="43">
        <f>IF(Tabla1[[#This Row],[CANTIDAD ]]="","",Tabla1[[#This Row],[LLEGO REALMENTE]]-Tabla1[[#This Row],[CANTIDAD ]])</f>
        <v>-1</v>
      </c>
      <c r="L52" s="43" t="str">
        <f>IF(Tabla1[[#This Row],[DIFERENCIA]]=0,"CORECTO",IF(Tabla1[[#This Row],[DIFERENCIA]]&lt;0,"FALTA",IF(Tabla1[[#This Row],[DIFERENCIA]]&gt;0,"DEMAS")))</f>
        <v>FALTA</v>
      </c>
    </row>
    <row r="53" spans="2:12" x14ac:dyDescent="0.3">
      <c r="B53" s="43" t="s">
        <v>95</v>
      </c>
      <c r="C53" s="44">
        <v>45912</v>
      </c>
      <c r="D53" s="45" t="s">
        <v>136</v>
      </c>
      <c r="E53" s="43" t="s">
        <v>96</v>
      </c>
      <c r="F53" s="43">
        <v>12</v>
      </c>
      <c r="G53" s="43" t="s">
        <v>121</v>
      </c>
      <c r="H53" s="43" t="s">
        <v>122</v>
      </c>
      <c r="I53" s="43"/>
      <c r="J53" s="43"/>
      <c r="K53" s="43">
        <f>IF(Tabla1[[#This Row],[CANTIDAD ]]="","",Tabla1[[#This Row],[LLEGO REALMENTE]]-Tabla1[[#This Row],[CANTIDAD ]])</f>
        <v>-12</v>
      </c>
      <c r="L53" s="43" t="str">
        <f>IF(Tabla1[[#This Row],[DIFERENCIA]]=0,"CORECTO",IF(Tabla1[[#This Row],[DIFERENCIA]]&lt;0,"FALTA",IF(Tabla1[[#This Row],[DIFERENCIA]]&gt;0,"DEMAS")))</f>
        <v>FALTA</v>
      </c>
    </row>
    <row r="54" spans="2:12" x14ac:dyDescent="0.3">
      <c r="B54" s="43" t="s">
        <v>95</v>
      </c>
      <c r="C54" s="44">
        <v>45912</v>
      </c>
      <c r="D54" s="45" t="s">
        <v>137</v>
      </c>
      <c r="E54" s="43" t="s">
        <v>96</v>
      </c>
      <c r="F54" s="43">
        <v>3</v>
      </c>
      <c r="G54" s="43" t="s">
        <v>121</v>
      </c>
      <c r="H54" s="43" t="s">
        <v>122</v>
      </c>
      <c r="I54" s="43"/>
      <c r="J54" s="43"/>
      <c r="K54" s="43">
        <f>IF(Tabla1[[#This Row],[CANTIDAD ]]="","",Tabla1[[#This Row],[LLEGO REALMENTE]]-Tabla1[[#This Row],[CANTIDAD ]])</f>
        <v>-3</v>
      </c>
      <c r="L54" s="43" t="str">
        <f>IF(Tabla1[[#This Row],[DIFERENCIA]]=0,"CORECTO",IF(Tabla1[[#This Row],[DIFERENCIA]]&lt;0,"FALTA",IF(Tabla1[[#This Row],[DIFERENCIA]]&gt;0,"DEMAS")))</f>
        <v>FALTA</v>
      </c>
    </row>
    <row r="55" spans="2:12" x14ac:dyDescent="0.3">
      <c r="B55" s="43" t="s">
        <v>95</v>
      </c>
      <c r="C55" s="44">
        <v>45912</v>
      </c>
      <c r="D55" s="45" t="s">
        <v>138</v>
      </c>
      <c r="E55" s="43" t="s">
        <v>96</v>
      </c>
      <c r="F55" s="43">
        <v>3</v>
      </c>
      <c r="G55" s="43" t="s">
        <v>121</v>
      </c>
      <c r="H55" s="43" t="s">
        <v>122</v>
      </c>
      <c r="I55" s="43"/>
      <c r="J55" s="43"/>
      <c r="K55" s="43">
        <f>IF(Tabla1[[#This Row],[CANTIDAD ]]="","",Tabla1[[#This Row],[LLEGO REALMENTE]]-Tabla1[[#This Row],[CANTIDAD ]])</f>
        <v>-3</v>
      </c>
      <c r="L55" s="43" t="str">
        <f>IF(Tabla1[[#This Row],[DIFERENCIA]]=0,"CORECTO",IF(Tabla1[[#This Row],[DIFERENCIA]]&lt;0,"FALTA",IF(Tabla1[[#This Row],[DIFERENCIA]]&gt;0,"DEMAS")))</f>
        <v>FALTA</v>
      </c>
    </row>
    <row r="56" spans="2:12" x14ac:dyDescent="0.3">
      <c r="B56" s="43" t="s">
        <v>95</v>
      </c>
      <c r="C56" s="44">
        <v>45912</v>
      </c>
      <c r="D56" s="45" t="s">
        <v>139</v>
      </c>
      <c r="E56" s="43" t="s">
        <v>96</v>
      </c>
      <c r="F56" s="43">
        <v>3</v>
      </c>
      <c r="G56" s="43" t="s">
        <v>121</v>
      </c>
      <c r="H56" s="43" t="s">
        <v>122</v>
      </c>
      <c r="I56" s="43"/>
      <c r="J56" s="43"/>
      <c r="K56" s="43">
        <f>IF(Tabla1[[#This Row],[CANTIDAD ]]="","",Tabla1[[#This Row],[LLEGO REALMENTE]]-Tabla1[[#This Row],[CANTIDAD ]])</f>
        <v>-3</v>
      </c>
      <c r="L56" s="43" t="str">
        <f>IF(Tabla1[[#This Row],[DIFERENCIA]]=0,"CORECTO",IF(Tabla1[[#This Row],[DIFERENCIA]]&lt;0,"FALTA",IF(Tabla1[[#This Row],[DIFERENCIA]]&gt;0,"DEMAS")))</f>
        <v>FALTA</v>
      </c>
    </row>
    <row r="57" spans="2:12" x14ac:dyDescent="0.3">
      <c r="B57" s="43" t="s">
        <v>95</v>
      </c>
      <c r="C57" s="44">
        <v>45912</v>
      </c>
      <c r="D57" s="45" t="s">
        <v>140</v>
      </c>
      <c r="E57" s="43" t="s">
        <v>96</v>
      </c>
      <c r="F57" s="43">
        <v>3</v>
      </c>
      <c r="G57" s="43" t="s">
        <v>121</v>
      </c>
      <c r="H57" s="43" t="s">
        <v>122</v>
      </c>
      <c r="I57" s="43"/>
      <c r="J57" s="43"/>
      <c r="K57" s="43">
        <f>IF(Tabla1[[#This Row],[CANTIDAD ]]="","",Tabla1[[#This Row],[LLEGO REALMENTE]]-Tabla1[[#This Row],[CANTIDAD ]])</f>
        <v>-3</v>
      </c>
      <c r="L57" s="43" t="str">
        <f>IF(Tabla1[[#This Row],[DIFERENCIA]]=0,"CORECTO",IF(Tabla1[[#This Row],[DIFERENCIA]]&lt;0,"FALTA",IF(Tabla1[[#This Row],[DIFERENCIA]]&gt;0,"DEMAS")))</f>
        <v>FALTA</v>
      </c>
    </row>
    <row r="58" spans="2:12" x14ac:dyDescent="0.3">
      <c r="B58" s="43" t="s">
        <v>95</v>
      </c>
      <c r="C58" s="44">
        <v>45912</v>
      </c>
      <c r="D58" s="45" t="s">
        <v>141</v>
      </c>
      <c r="E58" s="43" t="s">
        <v>96</v>
      </c>
      <c r="F58" s="43">
        <v>2</v>
      </c>
      <c r="G58" s="43" t="s">
        <v>121</v>
      </c>
      <c r="H58" s="43" t="s">
        <v>122</v>
      </c>
      <c r="I58" s="43"/>
      <c r="J58" s="43"/>
      <c r="K58" s="43">
        <f>IF(Tabla1[[#This Row],[CANTIDAD ]]="","",Tabla1[[#This Row],[LLEGO REALMENTE]]-Tabla1[[#This Row],[CANTIDAD ]])</f>
        <v>-2</v>
      </c>
      <c r="L58" s="43" t="str">
        <f>IF(Tabla1[[#This Row],[DIFERENCIA]]=0,"CORECTO",IF(Tabla1[[#This Row],[DIFERENCIA]]&lt;0,"FALTA",IF(Tabla1[[#This Row],[DIFERENCIA]]&gt;0,"DEMAS")))</f>
        <v>FALTA</v>
      </c>
    </row>
    <row r="59" spans="2:12" x14ac:dyDescent="0.3">
      <c r="B59" s="43" t="s">
        <v>95</v>
      </c>
      <c r="C59" s="44">
        <v>45912</v>
      </c>
      <c r="D59" s="45" t="s">
        <v>142</v>
      </c>
      <c r="E59" s="43" t="s">
        <v>96</v>
      </c>
      <c r="F59" s="43">
        <v>3</v>
      </c>
      <c r="G59" s="43" t="s">
        <v>121</v>
      </c>
      <c r="H59" s="43" t="s">
        <v>122</v>
      </c>
      <c r="I59" s="43"/>
      <c r="J59" s="43"/>
      <c r="K59" s="43">
        <f>IF(Tabla1[[#This Row],[CANTIDAD ]]="","",Tabla1[[#This Row],[LLEGO REALMENTE]]-Tabla1[[#This Row],[CANTIDAD ]])</f>
        <v>-3</v>
      </c>
      <c r="L59" s="43" t="str">
        <f>IF(Tabla1[[#This Row],[DIFERENCIA]]=0,"CORECTO",IF(Tabla1[[#This Row],[DIFERENCIA]]&lt;0,"FALTA",IF(Tabla1[[#This Row],[DIFERENCIA]]&gt;0,"DEMAS")))</f>
        <v>FALTA</v>
      </c>
    </row>
    <row r="60" spans="2:12" x14ac:dyDescent="0.3">
      <c r="B60" s="43" t="s">
        <v>95</v>
      </c>
      <c r="C60" s="44">
        <v>45912</v>
      </c>
      <c r="D60" s="45" t="s">
        <v>143</v>
      </c>
      <c r="E60" s="43" t="s">
        <v>96</v>
      </c>
      <c r="F60" s="43">
        <v>24</v>
      </c>
      <c r="G60" s="43" t="s">
        <v>121</v>
      </c>
      <c r="H60" s="43" t="s">
        <v>122</v>
      </c>
      <c r="I60" s="43"/>
      <c r="J60" s="43"/>
      <c r="K60" s="43">
        <f>IF(Tabla1[[#This Row],[CANTIDAD ]]="","",Tabla1[[#This Row],[LLEGO REALMENTE]]-Tabla1[[#This Row],[CANTIDAD ]])</f>
        <v>-24</v>
      </c>
      <c r="L60" s="43" t="str">
        <f>IF(Tabla1[[#This Row],[DIFERENCIA]]=0,"CORECTO",IF(Tabla1[[#This Row],[DIFERENCIA]]&lt;0,"FALTA",IF(Tabla1[[#This Row],[DIFERENCIA]]&gt;0,"DEMAS")))</f>
        <v>FALTA</v>
      </c>
    </row>
    <row r="61" spans="2:12" x14ac:dyDescent="0.3">
      <c r="B61" s="43" t="s">
        <v>95</v>
      </c>
      <c r="C61" s="44">
        <v>45912</v>
      </c>
      <c r="D61" s="45" t="s">
        <v>144</v>
      </c>
      <c r="E61" s="43" t="s">
        <v>96</v>
      </c>
      <c r="F61" s="43">
        <v>12</v>
      </c>
      <c r="G61" s="43" t="s">
        <v>121</v>
      </c>
      <c r="H61" s="43" t="s">
        <v>122</v>
      </c>
      <c r="I61" s="43"/>
      <c r="J61" s="43"/>
      <c r="K61" s="43">
        <f>IF(Tabla1[[#This Row],[CANTIDAD ]]="","",Tabla1[[#This Row],[LLEGO REALMENTE]]-Tabla1[[#This Row],[CANTIDAD ]])</f>
        <v>-12</v>
      </c>
      <c r="L61" s="43" t="str">
        <f>IF(Tabla1[[#This Row],[DIFERENCIA]]=0,"CORECTO",IF(Tabla1[[#This Row],[DIFERENCIA]]&lt;0,"FALTA",IF(Tabla1[[#This Row],[DIFERENCIA]]&gt;0,"DEMAS")))</f>
        <v>FALTA</v>
      </c>
    </row>
    <row r="62" spans="2:12" x14ac:dyDescent="0.3">
      <c r="B62" s="43" t="s">
        <v>95</v>
      </c>
      <c r="C62" s="44">
        <v>45912</v>
      </c>
      <c r="D62" s="45" t="s">
        <v>145</v>
      </c>
      <c r="E62" s="43" t="s">
        <v>96</v>
      </c>
      <c r="F62" s="43">
        <v>25</v>
      </c>
      <c r="G62" s="43"/>
      <c r="H62" s="43"/>
      <c r="I62" s="43"/>
      <c r="J62" s="43"/>
      <c r="K62" s="43">
        <f>IF(Tabla1[[#This Row],[CANTIDAD ]]="","",Tabla1[[#This Row],[LLEGO REALMENTE]]-Tabla1[[#This Row],[CANTIDAD ]])</f>
        <v>-25</v>
      </c>
      <c r="L62" s="43" t="str">
        <f>IF(Tabla1[[#This Row],[DIFERENCIA]]=0,"CORECTO",IF(Tabla1[[#This Row],[DIFERENCIA]]&lt;0,"FALTA",IF(Tabla1[[#This Row],[DIFERENCIA]]&gt;0,"DEMAS")))</f>
        <v>FALTA</v>
      </c>
    </row>
    <row r="63" spans="2:12" x14ac:dyDescent="0.3">
      <c r="B63" s="43" t="s">
        <v>95</v>
      </c>
      <c r="C63" s="44">
        <v>45912</v>
      </c>
      <c r="D63" s="45" t="s">
        <v>146</v>
      </c>
      <c r="E63" s="43" t="s">
        <v>96</v>
      </c>
      <c r="F63" s="43">
        <v>10</v>
      </c>
      <c r="G63" s="43"/>
      <c r="H63" s="43"/>
      <c r="I63" s="43"/>
      <c r="J63" s="43"/>
      <c r="K63" s="43">
        <f>IF(Tabla1[[#This Row],[CANTIDAD ]]="","",Tabla1[[#This Row],[LLEGO REALMENTE]]-Tabla1[[#This Row],[CANTIDAD ]])</f>
        <v>-10</v>
      </c>
      <c r="L63" s="43" t="str">
        <f>IF(Tabla1[[#This Row],[DIFERENCIA]]=0,"CORECTO",IF(Tabla1[[#This Row],[DIFERENCIA]]&lt;0,"FALTA",IF(Tabla1[[#This Row],[DIFERENCIA]]&gt;0,"DEMAS")))</f>
        <v>FALTA</v>
      </c>
    </row>
    <row r="64" spans="2:12" x14ac:dyDescent="0.3">
      <c r="B64" s="43" t="s">
        <v>95</v>
      </c>
      <c r="C64" s="44">
        <v>45912</v>
      </c>
      <c r="D64" s="45" t="s">
        <v>75</v>
      </c>
      <c r="E64" s="43" t="s">
        <v>96</v>
      </c>
      <c r="F64" s="43">
        <v>1</v>
      </c>
      <c r="G64" s="43"/>
      <c r="H64" s="43"/>
      <c r="I64" s="43"/>
      <c r="J64" s="43"/>
      <c r="K64" s="43">
        <f>IF(Tabla1[[#This Row],[CANTIDAD ]]="","",Tabla1[[#This Row],[LLEGO REALMENTE]]-Tabla1[[#This Row],[CANTIDAD ]])</f>
        <v>-1</v>
      </c>
      <c r="L64" s="43" t="str">
        <f>IF(Tabla1[[#This Row],[DIFERENCIA]]=0,"CORECTO",IF(Tabla1[[#This Row],[DIFERENCIA]]&lt;0,"FALTA",IF(Tabla1[[#This Row],[DIFERENCIA]]&gt;0,"DEMAS")))</f>
        <v>FALTA</v>
      </c>
    </row>
    <row r="65" spans="2:12" x14ac:dyDescent="0.3">
      <c r="B65" s="43" t="s">
        <v>95</v>
      </c>
      <c r="C65" s="44">
        <v>45912</v>
      </c>
      <c r="D65" s="45" t="s">
        <v>78</v>
      </c>
      <c r="E65" s="43" t="s">
        <v>96</v>
      </c>
      <c r="F65" s="43">
        <v>2</v>
      </c>
      <c r="G65" s="43"/>
      <c r="H65" s="43"/>
      <c r="I65" s="43"/>
      <c r="J65" s="43"/>
      <c r="K65" s="43">
        <f>IF(Tabla1[[#This Row],[CANTIDAD ]]="","",Tabla1[[#This Row],[LLEGO REALMENTE]]-Tabla1[[#This Row],[CANTIDAD ]])</f>
        <v>-2</v>
      </c>
      <c r="L65" s="43" t="str">
        <f>IF(Tabla1[[#This Row],[DIFERENCIA]]=0,"CORECTO",IF(Tabla1[[#This Row],[DIFERENCIA]]&lt;0,"FALTA",IF(Tabla1[[#This Row],[DIFERENCIA]]&gt;0,"DEMAS")))</f>
        <v>FALTA</v>
      </c>
    </row>
    <row r="66" spans="2:12" x14ac:dyDescent="0.3">
      <c r="B66" s="43" t="s">
        <v>95</v>
      </c>
      <c r="C66" s="44">
        <v>45912</v>
      </c>
      <c r="D66" s="45" t="s">
        <v>147</v>
      </c>
      <c r="E66" s="43" t="s">
        <v>96</v>
      </c>
      <c r="F66" s="43">
        <v>2</v>
      </c>
      <c r="G66" s="43"/>
      <c r="H66" s="43"/>
      <c r="I66" s="43"/>
      <c r="J66" s="43"/>
      <c r="K66" s="43">
        <f>IF(Tabla1[[#This Row],[CANTIDAD ]]="","",Tabla1[[#This Row],[LLEGO REALMENTE]]-Tabla1[[#This Row],[CANTIDAD ]])</f>
        <v>-2</v>
      </c>
      <c r="L66" s="43" t="str">
        <f>IF(Tabla1[[#This Row],[DIFERENCIA]]=0,"CORECTO",IF(Tabla1[[#This Row],[DIFERENCIA]]&lt;0,"FALTA",IF(Tabla1[[#This Row],[DIFERENCIA]]&gt;0,"DEMAS")))</f>
        <v>FALTA</v>
      </c>
    </row>
    <row r="67" spans="2:12" x14ac:dyDescent="0.3">
      <c r="B67" s="43" t="s">
        <v>95</v>
      </c>
      <c r="C67" s="44">
        <v>45912</v>
      </c>
      <c r="D67" s="45" t="s">
        <v>148</v>
      </c>
      <c r="E67" s="43" t="s">
        <v>96</v>
      </c>
      <c r="F67" s="43">
        <v>2</v>
      </c>
      <c r="G67" s="43"/>
      <c r="H67" s="43"/>
      <c r="I67" s="43"/>
      <c r="J67" s="43"/>
      <c r="K67" s="43">
        <f>IF(Tabla1[[#This Row],[CANTIDAD ]]="","",Tabla1[[#This Row],[LLEGO REALMENTE]]-Tabla1[[#This Row],[CANTIDAD ]])</f>
        <v>-2</v>
      </c>
      <c r="L67" s="43" t="str">
        <f>IF(Tabla1[[#This Row],[DIFERENCIA]]=0,"CORECTO",IF(Tabla1[[#This Row],[DIFERENCIA]]&lt;0,"FALTA",IF(Tabla1[[#This Row],[DIFERENCIA]]&gt;0,"DEMAS")))</f>
        <v>FALTA</v>
      </c>
    </row>
    <row r="68" spans="2:12" x14ac:dyDescent="0.3">
      <c r="B68" s="43" t="s">
        <v>95</v>
      </c>
      <c r="C68" s="44">
        <v>45912</v>
      </c>
      <c r="D68" s="45" t="s">
        <v>149</v>
      </c>
      <c r="E68" s="43" t="s">
        <v>96</v>
      </c>
      <c r="F68" s="43">
        <v>6</v>
      </c>
      <c r="G68" s="43"/>
      <c r="H68" s="43"/>
      <c r="I68" s="43"/>
      <c r="J68" s="43"/>
      <c r="K68" s="43">
        <f>IF(Tabla1[[#This Row],[CANTIDAD ]]="","",Tabla1[[#This Row],[LLEGO REALMENTE]]-Tabla1[[#This Row],[CANTIDAD ]])</f>
        <v>-6</v>
      </c>
      <c r="L68" s="43" t="str">
        <f>IF(Tabla1[[#This Row],[DIFERENCIA]]=0,"CORECTO",IF(Tabla1[[#This Row],[DIFERENCIA]]&lt;0,"FALTA",IF(Tabla1[[#This Row],[DIFERENCIA]]&gt;0,"DEMAS")))</f>
        <v>FALTA</v>
      </c>
    </row>
    <row r="69" spans="2:12" x14ac:dyDescent="0.3">
      <c r="B69" s="43" t="s">
        <v>95</v>
      </c>
      <c r="C69" s="44">
        <v>45912</v>
      </c>
      <c r="D69" s="45" t="s">
        <v>150</v>
      </c>
      <c r="E69" s="43" t="s">
        <v>96</v>
      </c>
      <c r="F69" s="43">
        <v>30</v>
      </c>
      <c r="G69" s="43"/>
      <c r="H69" s="43"/>
      <c r="I69" s="43"/>
      <c r="J69" s="43"/>
      <c r="K69" s="43">
        <f>IF(Tabla1[[#This Row],[CANTIDAD ]]="","",Tabla1[[#This Row],[LLEGO REALMENTE]]-Tabla1[[#This Row],[CANTIDAD ]])</f>
        <v>-30</v>
      </c>
      <c r="L69" s="43" t="str">
        <f>IF(Tabla1[[#This Row],[DIFERENCIA]]=0,"CORECTO",IF(Tabla1[[#This Row],[DIFERENCIA]]&lt;0,"FALTA",IF(Tabla1[[#This Row],[DIFERENCIA]]&gt;0,"DEMAS")))</f>
        <v>FALTA</v>
      </c>
    </row>
    <row r="70" spans="2:12" x14ac:dyDescent="0.3">
      <c r="B70" s="43" t="s">
        <v>95</v>
      </c>
      <c r="C70" s="44">
        <v>45912</v>
      </c>
      <c r="D70" s="45" t="s">
        <v>151</v>
      </c>
      <c r="E70" s="43" t="s">
        <v>96</v>
      </c>
      <c r="F70" s="43">
        <v>6</v>
      </c>
      <c r="G70" s="43"/>
      <c r="H70" s="43"/>
      <c r="I70" s="43"/>
      <c r="J70" s="43"/>
      <c r="K70" s="43">
        <f>IF(Tabla1[[#This Row],[CANTIDAD ]]="","",Tabla1[[#This Row],[LLEGO REALMENTE]]-Tabla1[[#This Row],[CANTIDAD ]])</f>
        <v>-6</v>
      </c>
      <c r="L70" s="43" t="str">
        <f>IF(Tabla1[[#This Row],[DIFERENCIA]]=0,"CORECTO",IF(Tabla1[[#This Row],[DIFERENCIA]]&lt;0,"FALTA",IF(Tabla1[[#This Row],[DIFERENCIA]]&gt;0,"DEMAS")))</f>
        <v>FALTA</v>
      </c>
    </row>
    <row r="71" spans="2:12" x14ac:dyDescent="0.3">
      <c r="B71" s="43" t="s">
        <v>95</v>
      </c>
      <c r="C71" s="44">
        <v>45912</v>
      </c>
      <c r="D71" s="45" t="s">
        <v>152</v>
      </c>
      <c r="E71" s="43" t="s">
        <v>96</v>
      </c>
      <c r="F71" s="43">
        <v>20</v>
      </c>
      <c r="G71" s="43"/>
      <c r="H71" s="43"/>
      <c r="I71" s="43"/>
      <c r="J71" s="43"/>
      <c r="K71" s="43">
        <f>IF(Tabla1[[#This Row],[CANTIDAD ]]="","",Tabla1[[#This Row],[LLEGO REALMENTE]]-Tabla1[[#This Row],[CANTIDAD ]])</f>
        <v>-20</v>
      </c>
      <c r="L71" s="43" t="str">
        <f>IF(Tabla1[[#This Row],[DIFERENCIA]]=0,"CORECTO",IF(Tabla1[[#This Row],[DIFERENCIA]]&lt;0,"FALTA",IF(Tabla1[[#This Row],[DIFERENCIA]]&gt;0,"DEMAS")))</f>
        <v>FALTA</v>
      </c>
    </row>
    <row r="72" spans="2:12" x14ac:dyDescent="0.3">
      <c r="B72" s="43" t="s">
        <v>95</v>
      </c>
      <c r="C72" s="44">
        <v>45912</v>
      </c>
      <c r="D72" s="45" t="s">
        <v>153</v>
      </c>
      <c r="E72" s="43" t="s">
        <v>96</v>
      </c>
      <c r="F72" s="43">
        <v>2</v>
      </c>
      <c r="G72" s="43"/>
      <c r="H72" s="43"/>
      <c r="I72" s="43"/>
      <c r="J72" s="43"/>
      <c r="K72" s="43">
        <f>IF(Tabla1[[#This Row],[CANTIDAD ]]="","",Tabla1[[#This Row],[LLEGO REALMENTE]]-Tabla1[[#This Row],[CANTIDAD ]])</f>
        <v>-2</v>
      </c>
      <c r="L72" s="43" t="str">
        <f>IF(Tabla1[[#This Row],[DIFERENCIA]]=0,"CORECTO",IF(Tabla1[[#This Row],[DIFERENCIA]]&lt;0,"FALTA",IF(Tabla1[[#This Row],[DIFERENCIA]]&gt;0,"DEMAS")))</f>
        <v>FALTA</v>
      </c>
    </row>
    <row r="73" spans="2:12" x14ac:dyDescent="0.3">
      <c r="B73" s="43" t="s">
        <v>95</v>
      </c>
      <c r="C73" s="44">
        <v>45912</v>
      </c>
      <c r="D73" s="45" t="s">
        <v>154</v>
      </c>
      <c r="E73" s="43" t="s">
        <v>96</v>
      </c>
      <c r="F73" s="43">
        <v>2</v>
      </c>
      <c r="G73" s="43"/>
      <c r="H73" s="43"/>
      <c r="I73" s="43"/>
      <c r="J73" s="43"/>
      <c r="K73" s="43">
        <f>IF(Tabla1[[#This Row],[CANTIDAD ]]="","",Tabla1[[#This Row],[LLEGO REALMENTE]]-Tabla1[[#This Row],[CANTIDAD ]])</f>
        <v>-2</v>
      </c>
      <c r="L73" s="43" t="str">
        <f>IF(Tabla1[[#This Row],[DIFERENCIA]]=0,"CORECTO",IF(Tabla1[[#This Row],[DIFERENCIA]]&lt;0,"FALTA",IF(Tabla1[[#This Row],[DIFERENCIA]]&gt;0,"DEMAS")))</f>
        <v>FALTA</v>
      </c>
    </row>
    <row r="74" spans="2:12" x14ac:dyDescent="0.3">
      <c r="B74" s="43" t="s">
        <v>155</v>
      </c>
      <c r="C74" s="44">
        <v>45918</v>
      </c>
      <c r="D74" s="45" t="s">
        <v>156</v>
      </c>
      <c r="E74" s="43" t="s">
        <v>96</v>
      </c>
      <c r="F74" s="43">
        <v>10</v>
      </c>
      <c r="G74" s="43" t="s">
        <v>9</v>
      </c>
      <c r="H74" s="43" t="s">
        <v>97</v>
      </c>
      <c r="I74" s="43"/>
      <c r="J74" s="43"/>
      <c r="K74" s="43">
        <f>IF(Tabla1[[#This Row],[CANTIDAD ]]="","",Tabla1[[#This Row],[LLEGO REALMENTE]]-Tabla1[[#This Row],[CANTIDAD ]])</f>
        <v>-10</v>
      </c>
      <c r="L74" s="43" t="str">
        <f>IF(Tabla1[[#This Row],[DIFERENCIA]]=0,"CORECTO",IF(Tabla1[[#This Row],[DIFERENCIA]]&lt;0,"FALTA",IF(Tabla1[[#This Row],[DIFERENCIA]]&gt;0,"DEMAS")))</f>
        <v>FALTA</v>
      </c>
    </row>
    <row r="75" spans="2:12" x14ac:dyDescent="0.3">
      <c r="B75" s="43" t="s">
        <v>155</v>
      </c>
      <c r="C75" s="44">
        <v>45918</v>
      </c>
      <c r="D75" s="45" t="s">
        <v>157</v>
      </c>
      <c r="E75" s="43" t="s">
        <v>96</v>
      </c>
      <c r="F75" s="43">
        <v>10</v>
      </c>
      <c r="G75" s="43" t="s">
        <v>9</v>
      </c>
      <c r="H75" s="43" t="s">
        <v>97</v>
      </c>
      <c r="I75" s="43"/>
      <c r="J75" s="43"/>
      <c r="K75" s="43">
        <f>IF(Tabla1[[#This Row],[CANTIDAD ]]="","",Tabla1[[#This Row],[LLEGO REALMENTE]]-Tabla1[[#This Row],[CANTIDAD ]])</f>
        <v>-10</v>
      </c>
      <c r="L75" s="43" t="str">
        <f>IF(Tabla1[[#This Row],[DIFERENCIA]]=0,"CORECTO",IF(Tabla1[[#This Row],[DIFERENCIA]]&lt;0,"FALTA",IF(Tabla1[[#This Row],[DIFERENCIA]]&gt;0,"DEMAS")))</f>
        <v>FALTA</v>
      </c>
    </row>
    <row r="76" spans="2:12" x14ac:dyDescent="0.3">
      <c r="B76" s="43" t="s">
        <v>155</v>
      </c>
      <c r="C76" s="44">
        <v>45918</v>
      </c>
      <c r="D76" s="45" t="s">
        <v>158</v>
      </c>
      <c r="E76" s="43" t="s">
        <v>96</v>
      </c>
      <c r="F76" s="43">
        <v>5</v>
      </c>
      <c r="G76" s="43" t="s">
        <v>9</v>
      </c>
      <c r="H76" s="43" t="s">
        <v>97</v>
      </c>
      <c r="I76" s="43"/>
      <c r="J76" s="43"/>
      <c r="K76" s="43">
        <f>IF(Tabla1[[#This Row],[CANTIDAD ]]="","",Tabla1[[#This Row],[LLEGO REALMENTE]]-Tabla1[[#This Row],[CANTIDAD ]])</f>
        <v>-5</v>
      </c>
      <c r="L76" s="43" t="str">
        <f>IF(Tabla1[[#This Row],[DIFERENCIA]]=0,"CORECTO",IF(Tabla1[[#This Row],[DIFERENCIA]]&lt;0,"FALTA",IF(Tabla1[[#This Row],[DIFERENCIA]]&gt;0,"DEMAS")))</f>
        <v>FALTA</v>
      </c>
    </row>
    <row r="77" spans="2:12" x14ac:dyDescent="0.3">
      <c r="B77" s="43" t="s">
        <v>155</v>
      </c>
      <c r="C77" s="44">
        <v>45918</v>
      </c>
      <c r="D77" s="45" t="s">
        <v>159</v>
      </c>
      <c r="E77" s="43" t="s">
        <v>96</v>
      </c>
      <c r="F77" s="43">
        <v>10</v>
      </c>
      <c r="G77" s="43" t="s">
        <v>9</v>
      </c>
      <c r="H77" s="43" t="s">
        <v>97</v>
      </c>
      <c r="I77" s="43"/>
      <c r="J77" s="43"/>
      <c r="K77" s="43">
        <f>IF(Tabla1[[#This Row],[CANTIDAD ]]="","",Tabla1[[#This Row],[LLEGO REALMENTE]]-Tabla1[[#This Row],[CANTIDAD ]])</f>
        <v>-10</v>
      </c>
      <c r="L77" s="43" t="str">
        <f>IF(Tabla1[[#This Row],[DIFERENCIA]]=0,"CORECTO",IF(Tabla1[[#This Row],[DIFERENCIA]]&lt;0,"FALTA",IF(Tabla1[[#This Row],[DIFERENCIA]]&gt;0,"DEMAS")))</f>
        <v>FALTA</v>
      </c>
    </row>
    <row r="78" spans="2:12" x14ac:dyDescent="0.3">
      <c r="B78" s="43" t="s">
        <v>155</v>
      </c>
      <c r="C78" s="44">
        <v>45918</v>
      </c>
      <c r="D78" s="45" t="s">
        <v>160</v>
      </c>
      <c r="E78" s="43" t="s">
        <v>96</v>
      </c>
      <c r="F78" s="43">
        <v>5</v>
      </c>
      <c r="G78" s="43" t="s">
        <v>9</v>
      </c>
      <c r="H78" s="43" t="s">
        <v>97</v>
      </c>
      <c r="I78" s="43"/>
      <c r="J78" s="43"/>
      <c r="K78" s="43">
        <f>IF(Tabla1[[#This Row],[CANTIDAD ]]="","",Tabla1[[#This Row],[LLEGO REALMENTE]]-Tabla1[[#This Row],[CANTIDAD ]])</f>
        <v>-5</v>
      </c>
      <c r="L78" s="43" t="str">
        <f>IF(Tabla1[[#This Row],[DIFERENCIA]]=0,"CORECTO",IF(Tabla1[[#This Row],[DIFERENCIA]]&lt;0,"FALTA",IF(Tabla1[[#This Row],[DIFERENCIA]]&gt;0,"DEMAS")))</f>
        <v>FALTA</v>
      </c>
    </row>
    <row r="79" spans="2:12" x14ac:dyDescent="0.3">
      <c r="B79" s="43" t="s">
        <v>155</v>
      </c>
      <c r="C79" s="44">
        <v>45918</v>
      </c>
      <c r="D79" s="45" t="s">
        <v>27</v>
      </c>
      <c r="E79" s="43" t="s">
        <v>96</v>
      </c>
      <c r="F79" s="43">
        <v>5</v>
      </c>
      <c r="G79" s="43" t="s">
        <v>9</v>
      </c>
      <c r="H79" s="43" t="s">
        <v>97</v>
      </c>
      <c r="I79" s="43"/>
      <c r="J79" s="43"/>
      <c r="K79" s="43">
        <f>IF(Tabla1[[#This Row],[CANTIDAD ]]="","",Tabla1[[#This Row],[LLEGO REALMENTE]]-Tabla1[[#This Row],[CANTIDAD ]])</f>
        <v>-5</v>
      </c>
      <c r="L79" s="43" t="str">
        <f>IF(Tabla1[[#This Row],[DIFERENCIA]]=0,"CORECTO",IF(Tabla1[[#This Row],[DIFERENCIA]]&lt;0,"FALTA",IF(Tabla1[[#This Row],[DIFERENCIA]]&gt;0,"DEMAS")))</f>
        <v>FALTA</v>
      </c>
    </row>
    <row r="80" spans="2:12" x14ac:dyDescent="0.3">
      <c r="B80" s="43" t="s">
        <v>155</v>
      </c>
      <c r="C80" s="44">
        <v>45918</v>
      </c>
      <c r="D80" s="45" t="s">
        <v>161</v>
      </c>
      <c r="E80" s="43" t="s">
        <v>162</v>
      </c>
      <c r="F80" s="43">
        <v>10</v>
      </c>
      <c r="G80" s="43"/>
      <c r="H80" s="43"/>
      <c r="I80" s="43"/>
      <c r="J80" s="43"/>
      <c r="K80" s="43">
        <f>IF(Tabla1[[#This Row],[CANTIDAD ]]="","",Tabla1[[#This Row],[LLEGO REALMENTE]]-Tabla1[[#This Row],[CANTIDAD ]])</f>
        <v>-10</v>
      </c>
      <c r="L80" s="43" t="str">
        <f>IF(Tabla1[[#This Row],[DIFERENCIA]]=0,"CORECTO",IF(Tabla1[[#This Row],[DIFERENCIA]]&lt;0,"FALTA",IF(Tabla1[[#This Row],[DIFERENCIA]]&gt;0,"DEMAS")))</f>
        <v>FALTA</v>
      </c>
    </row>
    <row r="81" spans="2:12" x14ac:dyDescent="0.3">
      <c r="B81" s="43" t="s">
        <v>155</v>
      </c>
      <c r="C81" s="44">
        <v>45918</v>
      </c>
      <c r="D81" s="45" t="s">
        <v>163</v>
      </c>
      <c r="E81" s="43" t="s">
        <v>96</v>
      </c>
      <c r="F81" s="43"/>
      <c r="G81" s="43"/>
      <c r="H81" s="43"/>
      <c r="I81" s="43"/>
      <c r="J81" s="43"/>
      <c r="K81" s="43" t="str">
        <f>IF(Tabla1[[#This Row],[CANTIDAD ]]="","",Tabla1[[#This Row],[LLEGO REALMENTE]]-Tabla1[[#This Row],[CANTIDAD ]])</f>
        <v/>
      </c>
      <c r="L81" s="43" t="str">
        <f>IF(Tabla1[[#This Row],[DIFERENCIA]]=0,"CORECTO",IF(Tabla1[[#This Row],[DIFERENCIA]]&lt;0,"FALTA",IF(Tabla1[[#This Row],[DIFERENCIA]]&gt;0,"DEMAS")))</f>
        <v>DEMAS</v>
      </c>
    </row>
    <row r="82" spans="2:12" x14ac:dyDescent="0.3">
      <c r="B82" s="43" t="s">
        <v>155</v>
      </c>
      <c r="C82" s="44">
        <v>45918</v>
      </c>
      <c r="D82" s="45" t="s">
        <v>164</v>
      </c>
      <c r="E82" s="43" t="s">
        <v>165</v>
      </c>
      <c r="F82" s="43">
        <v>10</v>
      </c>
      <c r="G82" s="43"/>
      <c r="H82" s="43"/>
      <c r="I82" s="43"/>
      <c r="J82" s="43"/>
      <c r="K82" s="43">
        <f>IF(Tabla1[[#This Row],[CANTIDAD ]]="","",Tabla1[[#This Row],[LLEGO REALMENTE]]-Tabla1[[#This Row],[CANTIDAD ]])</f>
        <v>-10</v>
      </c>
      <c r="L82" s="43" t="str">
        <f>IF(Tabla1[[#This Row],[DIFERENCIA]]=0,"CORECTO",IF(Tabla1[[#This Row],[DIFERENCIA]]&lt;0,"FALTA",IF(Tabla1[[#This Row],[DIFERENCIA]]&gt;0,"DEMAS")))</f>
        <v>FALTA</v>
      </c>
    </row>
    <row r="83" spans="2:12" x14ac:dyDescent="0.3">
      <c r="B83" s="43" t="s">
        <v>155</v>
      </c>
      <c r="C83" s="44">
        <v>45918</v>
      </c>
      <c r="D83" s="45" t="s">
        <v>166</v>
      </c>
      <c r="E83" s="43" t="s">
        <v>167</v>
      </c>
      <c r="F83" s="43">
        <v>1</v>
      </c>
      <c r="G83" s="43" t="s">
        <v>9</v>
      </c>
      <c r="H83" s="43" t="s">
        <v>97</v>
      </c>
      <c r="I83" s="43"/>
      <c r="J83" s="43"/>
      <c r="K83" s="43">
        <f>IF(Tabla1[[#This Row],[CANTIDAD ]]="","",Tabla1[[#This Row],[LLEGO REALMENTE]]-Tabla1[[#This Row],[CANTIDAD ]])</f>
        <v>-1</v>
      </c>
      <c r="L83" s="43" t="str">
        <f>IF(Tabla1[[#This Row],[DIFERENCIA]]=0,"CORECTO",IF(Tabla1[[#This Row],[DIFERENCIA]]&lt;0,"FALTA",IF(Tabla1[[#This Row],[DIFERENCIA]]&gt;0,"DEMAS")))</f>
        <v>FALTA</v>
      </c>
    </row>
    <row r="84" spans="2:12" x14ac:dyDescent="0.3">
      <c r="B84" s="43" t="s">
        <v>155</v>
      </c>
      <c r="C84" s="44">
        <v>45918</v>
      </c>
      <c r="D84" s="45" t="s">
        <v>125</v>
      </c>
      <c r="E84" s="43" t="s">
        <v>102</v>
      </c>
      <c r="F84" s="43">
        <v>1</v>
      </c>
      <c r="G84" s="43" t="s">
        <v>168</v>
      </c>
      <c r="H84" s="43"/>
      <c r="I84" s="43"/>
      <c r="J84" s="43"/>
      <c r="K84" s="43">
        <f>IF(Tabla1[[#This Row],[CANTIDAD ]]="","",Tabla1[[#This Row],[LLEGO REALMENTE]]-Tabla1[[#This Row],[CANTIDAD ]])</f>
        <v>-1</v>
      </c>
      <c r="L84" s="43" t="str">
        <f>IF(Tabla1[[#This Row],[DIFERENCIA]]=0,"CORECTO",IF(Tabla1[[#This Row],[DIFERENCIA]]&lt;0,"FALTA",IF(Tabla1[[#This Row],[DIFERENCIA]]&gt;0,"DEMAS")))</f>
        <v>FALTA</v>
      </c>
    </row>
    <row r="85" spans="2:12" x14ac:dyDescent="0.3">
      <c r="B85" s="43" t="s">
        <v>155</v>
      </c>
      <c r="C85" s="44">
        <v>45918</v>
      </c>
      <c r="D85" s="45" t="s">
        <v>169</v>
      </c>
      <c r="E85" s="43" t="s">
        <v>96</v>
      </c>
      <c r="F85" s="43">
        <v>5</v>
      </c>
      <c r="G85" s="43"/>
      <c r="H85" s="43"/>
      <c r="I85" s="43"/>
      <c r="J85" s="43"/>
      <c r="K85" s="43">
        <f>IF(Tabla1[[#This Row],[CANTIDAD ]]="","",Tabla1[[#This Row],[LLEGO REALMENTE]]-Tabla1[[#This Row],[CANTIDAD ]])</f>
        <v>-5</v>
      </c>
      <c r="L85" s="43" t="str">
        <f>IF(Tabla1[[#This Row],[DIFERENCIA]]=0,"CORECTO",IF(Tabla1[[#This Row],[DIFERENCIA]]&lt;0,"FALTA",IF(Tabla1[[#This Row],[DIFERENCIA]]&gt;0,"DEMAS")))</f>
        <v>FALTA</v>
      </c>
    </row>
    <row r="86" spans="2:12" x14ac:dyDescent="0.3">
      <c r="B86" s="43" t="s">
        <v>155</v>
      </c>
      <c r="C86" s="44">
        <v>45918</v>
      </c>
      <c r="D86" s="45" t="s">
        <v>170</v>
      </c>
      <c r="E86" s="43" t="s">
        <v>167</v>
      </c>
      <c r="F86" s="43">
        <v>1</v>
      </c>
      <c r="G86" s="43" t="s">
        <v>121</v>
      </c>
      <c r="H86" s="43" t="s">
        <v>122</v>
      </c>
      <c r="I86" s="43"/>
      <c r="J86" s="43"/>
      <c r="K86" s="43">
        <f>IF(Tabla1[[#This Row],[CANTIDAD ]]="","",Tabla1[[#This Row],[LLEGO REALMENTE]]-Tabla1[[#This Row],[CANTIDAD ]])</f>
        <v>-1</v>
      </c>
      <c r="L86" s="43" t="str">
        <f>IF(Tabla1[[#This Row],[DIFERENCIA]]=0,"CORECTO",IF(Tabla1[[#This Row],[DIFERENCIA]]&lt;0,"FALTA",IF(Tabla1[[#This Row],[DIFERENCIA]]&gt;0,"DEMAS")))</f>
        <v>FALTA</v>
      </c>
    </row>
    <row r="87" spans="2:12" x14ac:dyDescent="0.3">
      <c r="B87" s="43" t="s">
        <v>155</v>
      </c>
      <c r="C87" s="44">
        <v>45918</v>
      </c>
      <c r="D87" s="45" t="s">
        <v>171</v>
      </c>
      <c r="E87" s="43" t="s">
        <v>96</v>
      </c>
      <c r="F87" s="43">
        <v>1</v>
      </c>
      <c r="G87" s="43" t="s">
        <v>121</v>
      </c>
      <c r="H87" s="43" t="s">
        <v>122</v>
      </c>
      <c r="I87" s="43"/>
      <c r="J87" s="43"/>
      <c r="K87" s="43">
        <f>IF(Tabla1[[#This Row],[CANTIDAD ]]="","",Tabla1[[#This Row],[LLEGO REALMENTE]]-Tabla1[[#This Row],[CANTIDAD ]])</f>
        <v>-1</v>
      </c>
      <c r="L87" s="43" t="str">
        <f>IF(Tabla1[[#This Row],[DIFERENCIA]]=0,"CORECTO",IF(Tabla1[[#This Row],[DIFERENCIA]]&lt;0,"FALTA",IF(Tabla1[[#This Row],[DIFERENCIA]]&gt;0,"DEMAS")))</f>
        <v>FALTA</v>
      </c>
    </row>
    <row r="88" spans="2:12" x14ac:dyDescent="0.3">
      <c r="B88" s="43" t="s">
        <v>155</v>
      </c>
      <c r="C88" s="44">
        <v>45918</v>
      </c>
      <c r="D88" s="45" t="s">
        <v>172</v>
      </c>
      <c r="E88" s="43" t="s">
        <v>96</v>
      </c>
      <c r="F88" s="43">
        <v>3</v>
      </c>
      <c r="G88" s="43" t="s">
        <v>121</v>
      </c>
      <c r="H88" s="43" t="s">
        <v>122</v>
      </c>
      <c r="I88" s="43"/>
      <c r="J88" s="43"/>
      <c r="K88" s="43">
        <f>IF(Tabla1[[#This Row],[CANTIDAD ]]="","",Tabla1[[#This Row],[LLEGO REALMENTE]]-Tabla1[[#This Row],[CANTIDAD ]])</f>
        <v>-3</v>
      </c>
      <c r="L88" s="43" t="str">
        <f>IF(Tabla1[[#This Row],[DIFERENCIA]]=0,"CORECTO",IF(Tabla1[[#This Row],[DIFERENCIA]]&lt;0,"FALTA",IF(Tabla1[[#This Row],[DIFERENCIA]]&gt;0,"DEMAS")))</f>
        <v>FALTA</v>
      </c>
    </row>
    <row r="89" spans="2:12" x14ac:dyDescent="0.3">
      <c r="B89" s="43" t="s">
        <v>155</v>
      </c>
      <c r="C89" s="44">
        <v>45918</v>
      </c>
      <c r="D89" s="45" t="s">
        <v>173</v>
      </c>
      <c r="E89" s="43" t="s">
        <v>96</v>
      </c>
      <c r="F89" s="43">
        <v>2</v>
      </c>
      <c r="G89" s="43" t="s">
        <v>121</v>
      </c>
      <c r="H89" s="43" t="s">
        <v>122</v>
      </c>
      <c r="I89" s="43"/>
      <c r="J89" s="43"/>
      <c r="K89" s="43">
        <f>IF(Tabla1[[#This Row],[CANTIDAD ]]="","",Tabla1[[#This Row],[LLEGO REALMENTE]]-Tabla1[[#This Row],[CANTIDAD ]])</f>
        <v>-2</v>
      </c>
      <c r="L89" s="43" t="str">
        <f>IF(Tabla1[[#This Row],[DIFERENCIA]]=0,"CORECTO",IF(Tabla1[[#This Row],[DIFERENCIA]]&lt;0,"FALTA",IF(Tabla1[[#This Row],[DIFERENCIA]]&gt;0,"DEMAS")))</f>
        <v>FALTA</v>
      </c>
    </row>
    <row r="90" spans="2:12" x14ac:dyDescent="0.3">
      <c r="B90" s="43" t="s">
        <v>155</v>
      </c>
      <c r="C90" s="44">
        <v>45918</v>
      </c>
      <c r="D90" s="45" t="s">
        <v>174</v>
      </c>
      <c r="E90" s="43" t="s">
        <v>96</v>
      </c>
      <c r="F90" s="43">
        <v>4</v>
      </c>
      <c r="G90" s="43" t="s">
        <v>121</v>
      </c>
      <c r="H90" s="43" t="s">
        <v>122</v>
      </c>
      <c r="I90" s="43"/>
      <c r="J90" s="43"/>
      <c r="K90" s="43">
        <f>IF(Tabla1[[#This Row],[CANTIDAD ]]="","",Tabla1[[#This Row],[LLEGO REALMENTE]]-Tabla1[[#This Row],[CANTIDAD ]])</f>
        <v>-4</v>
      </c>
      <c r="L90" s="43" t="str">
        <f>IF(Tabla1[[#This Row],[DIFERENCIA]]=0,"CORECTO",IF(Tabla1[[#This Row],[DIFERENCIA]]&lt;0,"FALTA",IF(Tabla1[[#This Row],[DIFERENCIA]]&gt;0,"DEMAS")))</f>
        <v>FALTA</v>
      </c>
    </row>
    <row r="91" spans="2:12" x14ac:dyDescent="0.3">
      <c r="B91" s="43" t="s">
        <v>155</v>
      </c>
      <c r="C91" s="44">
        <v>45918</v>
      </c>
      <c r="D91" s="45" t="s">
        <v>130</v>
      </c>
      <c r="E91" s="43" t="s">
        <v>96</v>
      </c>
      <c r="F91" s="43">
        <v>12</v>
      </c>
      <c r="G91" s="43" t="s">
        <v>121</v>
      </c>
      <c r="H91" s="43" t="s">
        <v>122</v>
      </c>
      <c r="I91" s="43"/>
      <c r="J91" s="43"/>
      <c r="K91" s="43">
        <f>IF(Tabla1[[#This Row],[CANTIDAD ]]="","",Tabla1[[#This Row],[LLEGO REALMENTE]]-Tabla1[[#This Row],[CANTIDAD ]])</f>
        <v>-12</v>
      </c>
      <c r="L91" s="43" t="str">
        <f>IF(Tabla1[[#This Row],[DIFERENCIA]]=0,"CORECTO",IF(Tabla1[[#This Row],[DIFERENCIA]]&lt;0,"FALTA",IF(Tabla1[[#This Row],[DIFERENCIA]]&gt;0,"DEMAS")))</f>
        <v>FALTA</v>
      </c>
    </row>
    <row r="92" spans="2:12" x14ac:dyDescent="0.3">
      <c r="B92" s="43" t="s">
        <v>155</v>
      </c>
      <c r="C92" s="44">
        <v>45918</v>
      </c>
      <c r="D92" s="45" t="s">
        <v>175</v>
      </c>
      <c r="E92" s="43" t="s">
        <v>96</v>
      </c>
      <c r="F92" s="43">
        <v>12</v>
      </c>
      <c r="G92" s="43" t="s">
        <v>121</v>
      </c>
      <c r="H92" s="43" t="s">
        <v>122</v>
      </c>
      <c r="I92" s="43"/>
      <c r="J92" s="43"/>
      <c r="K92" s="43">
        <f>IF(Tabla1[[#This Row],[CANTIDAD ]]="","",Tabla1[[#This Row],[LLEGO REALMENTE]]-Tabla1[[#This Row],[CANTIDAD ]])</f>
        <v>-12</v>
      </c>
      <c r="L92" s="43" t="str">
        <f>IF(Tabla1[[#This Row],[DIFERENCIA]]=0,"CORECTO",IF(Tabla1[[#This Row],[DIFERENCIA]]&lt;0,"FALTA",IF(Tabla1[[#This Row],[DIFERENCIA]]&gt;0,"DEMAS")))</f>
        <v>FALTA</v>
      </c>
    </row>
    <row r="93" spans="2:12" x14ac:dyDescent="0.3">
      <c r="B93" s="43" t="s">
        <v>155</v>
      </c>
      <c r="C93" s="44">
        <v>45918</v>
      </c>
      <c r="D93" s="45" t="s">
        <v>176</v>
      </c>
      <c r="E93" s="43" t="s">
        <v>96</v>
      </c>
      <c r="F93" s="43">
        <v>4</v>
      </c>
      <c r="G93" s="43" t="s">
        <v>121</v>
      </c>
      <c r="H93" s="43" t="s">
        <v>122</v>
      </c>
      <c r="I93" s="43"/>
      <c r="J93" s="43"/>
      <c r="K93" s="43">
        <f>IF(Tabla1[[#This Row],[CANTIDAD ]]="","",Tabla1[[#This Row],[LLEGO REALMENTE]]-Tabla1[[#This Row],[CANTIDAD ]])</f>
        <v>-4</v>
      </c>
      <c r="L93" s="43" t="str">
        <f>IF(Tabla1[[#This Row],[DIFERENCIA]]=0,"CORECTO",IF(Tabla1[[#This Row],[DIFERENCIA]]&lt;0,"FALTA",IF(Tabla1[[#This Row],[DIFERENCIA]]&gt;0,"DEMAS")))</f>
        <v>FALTA</v>
      </c>
    </row>
    <row r="94" spans="2:12" ht="28.8" x14ac:dyDescent="0.3">
      <c r="B94" s="43" t="s">
        <v>155</v>
      </c>
      <c r="C94" s="44">
        <v>45918</v>
      </c>
      <c r="D94" s="45" t="s">
        <v>177</v>
      </c>
      <c r="E94" s="43" t="s">
        <v>96</v>
      </c>
      <c r="F94" s="43">
        <v>3</v>
      </c>
      <c r="G94" s="43" t="s">
        <v>121</v>
      </c>
      <c r="H94" s="43" t="s">
        <v>122</v>
      </c>
      <c r="I94" s="43"/>
      <c r="J94" s="43"/>
      <c r="K94" s="43">
        <f>IF(Tabla1[[#This Row],[CANTIDAD ]]="","",Tabla1[[#This Row],[LLEGO REALMENTE]]-Tabla1[[#This Row],[CANTIDAD ]])</f>
        <v>-3</v>
      </c>
      <c r="L94" s="43" t="str">
        <f>IF(Tabla1[[#This Row],[DIFERENCIA]]=0,"CORECTO",IF(Tabla1[[#This Row],[DIFERENCIA]]&lt;0,"FALTA",IF(Tabla1[[#This Row],[DIFERENCIA]]&gt;0,"DEMAS")))</f>
        <v>FALTA</v>
      </c>
    </row>
    <row r="95" spans="2:12" x14ac:dyDescent="0.3">
      <c r="B95" s="43" t="s">
        <v>155</v>
      </c>
      <c r="C95" s="44">
        <v>45918</v>
      </c>
      <c r="D95" s="45" t="s">
        <v>178</v>
      </c>
      <c r="E95" s="43" t="s">
        <v>96</v>
      </c>
      <c r="F95" s="43">
        <v>10</v>
      </c>
      <c r="G95" s="43" t="s">
        <v>121</v>
      </c>
      <c r="H95" s="43" t="s">
        <v>122</v>
      </c>
      <c r="I95" s="43"/>
      <c r="J95" s="43"/>
      <c r="K95" s="43">
        <f>IF(Tabla1[[#This Row],[CANTIDAD ]]="","",Tabla1[[#This Row],[LLEGO REALMENTE]]-Tabla1[[#This Row],[CANTIDAD ]])</f>
        <v>-10</v>
      </c>
      <c r="L95" s="43" t="str">
        <f>IF(Tabla1[[#This Row],[DIFERENCIA]]=0,"CORECTO",IF(Tabla1[[#This Row],[DIFERENCIA]]&lt;0,"FALTA",IF(Tabla1[[#This Row],[DIFERENCIA]]&gt;0,"DEMAS")))</f>
        <v>FALTA</v>
      </c>
    </row>
    <row r="96" spans="2:12" x14ac:dyDescent="0.3">
      <c r="B96" s="43" t="s">
        <v>155</v>
      </c>
      <c r="C96" s="44">
        <v>45918</v>
      </c>
      <c r="D96" s="45" t="s">
        <v>179</v>
      </c>
      <c r="E96" s="43" t="s">
        <v>96</v>
      </c>
      <c r="F96" s="43">
        <v>1</v>
      </c>
      <c r="G96" s="43" t="s">
        <v>121</v>
      </c>
      <c r="H96" s="43" t="s">
        <v>122</v>
      </c>
      <c r="I96" s="43"/>
      <c r="J96" s="43"/>
      <c r="K96" s="43">
        <f>IF(Tabla1[[#This Row],[CANTIDAD ]]="","",Tabla1[[#This Row],[LLEGO REALMENTE]]-Tabla1[[#This Row],[CANTIDAD ]])</f>
        <v>-1</v>
      </c>
      <c r="L96" s="43" t="str">
        <f>IF(Tabla1[[#This Row],[DIFERENCIA]]=0,"CORECTO",IF(Tabla1[[#This Row],[DIFERENCIA]]&lt;0,"FALTA",IF(Tabla1[[#This Row],[DIFERENCIA]]&gt;0,"DEMAS")))</f>
        <v>FALTA</v>
      </c>
    </row>
    <row r="97" spans="2:12" x14ac:dyDescent="0.3">
      <c r="B97" s="43" t="s">
        <v>155</v>
      </c>
      <c r="C97" s="44">
        <v>45918</v>
      </c>
      <c r="D97" s="45" t="s">
        <v>180</v>
      </c>
      <c r="E97" s="43" t="s">
        <v>96</v>
      </c>
      <c r="F97" s="43">
        <v>1</v>
      </c>
      <c r="G97" s="43" t="s">
        <v>121</v>
      </c>
      <c r="H97" s="43" t="s">
        <v>122</v>
      </c>
      <c r="I97" s="43"/>
      <c r="J97" s="43"/>
      <c r="K97" s="43">
        <f>IF(Tabla1[[#This Row],[CANTIDAD ]]="","",Tabla1[[#This Row],[LLEGO REALMENTE]]-Tabla1[[#This Row],[CANTIDAD ]])</f>
        <v>-1</v>
      </c>
      <c r="L97" s="43" t="str">
        <f>IF(Tabla1[[#This Row],[DIFERENCIA]]=0,"CORECTO",IF(Tabla1[[#This Row],[DIFERENCIA]]&lt;0,"FALTA",IF(Tabla1[[#This Row],[DIFERENCIA]]&gt;0,"DEMAS")))</f>
        <v>FALTA</v>
      </c>
    </row>
    <row r="98" spans="2:12" x14ac:dyDescent="0.3">
      <c r="B98" s="43" t="s">
        <v>155</v>
      </c>
      <c r="C98" s="44">
        <v>45918</v>
      </c>
      <c r="D98" s="45" t="s">
        <v>181</v>
      </c>
      <c r="E98" s="43" t="s">
        <v>96</v>
      </c>
      <c r="F98" s="43">
        <v>200</v>
      </c>
      <c r="G98" s="43"/>
      <c r="H98" s="43"/>
      <c r="I98" s="43"/>
      <c r="J98" s="43"/>
      <c r="K98" s="43">
        <f>IF(Tabla1[[#This Row],[CANTIDAD ]]="","",Tabla1[[#This Row],[LLEGO REALMENTE]]-Tabla1[[#This Row],[CANTIDAD ]])</f>
        <v>-200</v>
      </c>
      <c r="L98" s="43" t="str">
        <f>IF(Tabla1[[#This Row],[DIFERENCIA]]=0,"CORECTO",IF(Tabla1[[#This Row],[DIFERENCIA]]&lt;0,"FALTA",IF(Tabla1[[#This Row],[DIFERENCIA]]&gt;0,"DEMAS")))</f>
        <v>FALTA</v>
      </c>
    </row>
    <row r="99" spans="2:12" x14ac:dyDescent="0.3">
      <c r="B99" s="43" t="s">
        <v>155</v>
      </c>
      <c r="C99" s="44">
        <v>45918</v>
      </c>
      <c r="D99" s="45" t="s">
        <v>182</v>
      </c>
      <c r="E99" s="43" t="s">
        <v>96</v>
      </c>
      <c r="F99" s="43">
        <v>10</v>
      </c>
      <c r="G99" s="43"/>
      <c r="H99" s="43"/>
      <c r="I99" s="43"/>
      <c r="J99" s="43"/>
      <c r="K99" s="43">
        <f>IF(Tabla1[[#This Row],[CANTIDAD ]]="","",Tabla1[[#This Row],[LLEGO REALMENTE]]-Tabla1[[#This Row],[CANTIDAD ]])</f>
        <v>-10</v>
      </c>
      <c r="L99" s="43" t="str">
        <f>IF(Tabla1[[#This Row],[DIFERENCIA]]=0,"CORECTO",IF(Tabla1[[#This Row],[DIFERENCIA]]&lt;0,"FALTA",IF(Tabla1[[#This Row],[DIFERENCIA]]&gt;0,"DEMAS")))</f>
        <v>FALTA</v>
      </c>
    </row>
    <row r="100" spans="2:12" x14ac:dyDescent="0.3">
      <c r="B100" s="43" t="s">
        <v>155</v>
      </c>
      <c r="C100" s="44">
        <v>45918</v>
      </c>
      <c r="D100" s="45" t="s">
        <v>183</v>
      </c>
      <c r="E100" s="43" t="s">
        <v>96</v>
      </c>
      <c r="F100" s="43">
        <v>10</v>
      </c>
      <c r="G100" s="43"/>
      <c r="H100" s="43"/>
      <c r="I100" s="43"/>
      <c r="J100" s="43"/>
      <c r="K100" s="43">
        <f>IF(Tabla1[[#This Row],[CANTIDAD ]]="","",Tabla1[[#This Row],[LLEGO REALMENTE]]-Tabla1[[#This Row],[CANTIDAD ]])</f>
        <v>-10</v>
      </c>
      <c r="L100" s="43" t="str">
        <f>IF(Tabla1[[#This Row],[DIFERENCIA]]=0,"CORECTO",IF(Tabla1[[#This Row],[DIFERENCIA]]&lt;0,"FALTA",IF(Tabla1[[#This Row],[DIFERENCIA]]&gt;0,"DEMAS")))</f>
        <v>FALTA</v>
      </c>
    </row>
    <row r="101" spans="2:12" x14ac:dyDescent="0.3">
      <c r="B101" s="43" t="s">
        <v>155</v>
      </c>
      <c r="C101" s="44">
        <v>45918</v>
      </c>
      <c r="D101" s="45" t="s">
        <v>184</v>
      </c>
      <c r="E101" s="43" t="s">
        <v>96</v>
      </c>
      <c r="F101" s="43">
        <v>200</v>
      </c>
      <c r="G101" s="43"/>
      <c r="H101" s="43"/>
      <c r="I101" s="43"/>
      <c r="J101" s="43"/>
      <c r="K101" s="43">
        <f>IF(Tabla1[[#This Row],[CANTIDAD ]]="","",Tabla1[[#This Row],[LLEGO REALMENTE]]-Tabla1[[#This Row],[CANTIDAD ]])</f>
        <v>-200</v>
      </c>
      <c r="L101" s="43" t="str">
        <f>IF(Tabla1[[#This Row],[DIFERENCIA]]=0,"CORECTO",IF(Tabla1[[#This Row],[DIFERENCIA]]&lt;0,"FALTA",IF(Tabla1[[#This Row],[DIFERENCIA]]&gt;0,"DEMAS")))</f>
        <v>FALTA</v>
      </c>
    </row>
    <row r="102" spans="2:12" x14ac:dyDescent="0.3">
      <c r="B102" s="43" t="s">
        <v>155</v>
      </c>
      <c r="C102" s="44">
        <v>45918</v>
      </c>
      <c r="D102" s="45" t="s">
        <v>185</v>
      </c>
      <c r="E102" s="43" t="s">
        <v>96</v>
      </c>
      <c r="F102" s="43">
        <v>50</v>
      </c>
      <c r="G102" s="43"/>
      <c r="H102" s="43"/>
      <c r="I102" s="43"/>
      <c r="J102" s="43"/>
      <c r="K102" s="43">
        <f>IF(Tabla1[[#This Row],[CANTIDAD ]]="","",Tabla1[[#This Row],[LLEGO REALMENTE]]-Tabla1[[#This Row],[CANTIDAD ]])</f>
        <v>-50</v>
      </c>
      <c r="L102" s="43" t="str">
        <f>IF(Tabla1[[#This Row],[DIFERENCIA]]=0,"CORECTO",IF(Tabla1[[#This Row],[DIFERENCIA]]&lt;0,"FALTA",IF(Tabla1[[#This Row],[DIFERENCIA]]&gt;0,"DEMAS")))</f>
        <v>FALTA</v>
      </c>
    </row>
    <row r="103" spans="2:12" x14ac:dyDescent="0.3">
      <c r="B103" s="43" t="s">
        <v>155</v>
      </c>
      <c r="C103" s="44">
        <v>45918</v>
      </c>
      <c r="D103" s="45" t="s">
        <v>186</v>
      </c>
      <c r="E103" s="43" t="s">
        <v>96</v>
      </c>
      <c r="F103" s="43">
        <v>2</v>
      </c>
      <c r="G103" s="43"/>
      <c r="H103" s="43"/>
      <c r="I103" s="43"/>
      <c r="J103" s="43"/>
      <c r="K103" s="43">
        <f>IF(Tabla1[[#This Row],[CANTIDAD ]]="","",Tabla1[[#This Row],[LLEGO REALMENTE]]-Tabla1[[#This Row],[CANTIDAD ]])</f>
        <v>-2</v>
      </c>
      <c r="L103" s="43" t="str">
        <f>IF(Tabla1[[#This Row],[DIFERENCIA]]=0,"CORECTO",IF(Tabla1[[#This Row],[DIFERENCIA]]&lt;0,"FALTA",IF(Tabla1[[#This Row],[DIFERENCIA]]&gt;0,"DEMAS")))</f>
        <v>FALTA</v>
      </c>
    </row>
    <row r="104" spans="2:12" x14ac:dyDescent="0.3">
      <c r="B104" s="43" t="s">
        <v>155</v>
      </c>
      <c r="C104" s="44">
        <v>45918</v>
      </c>
      <c r="D104" s="45" t="s">
        <v>187</v>
      </c>
      <c r="E104" s="43" t="s">
        <v>96</v>
      </c>
      <c r="F104" s="43">
        <v>8</v>
      </c>
      <c r="G104" s="43"/>
      <c r="H104" s="43"/>
      <c r="I104" s="43"/>
      <c r="J104" s="43"/>
      <c r="K104" s="43">
        <f>IF(Tabla1[[#This Row],[CANTIDAD ]]="","",Tabla1[[#This Row],[LLEGO REALMENTE]]-Tabla1[[#This Row],[CANTIDAD ]])</f>
        <v>-8</v>
      </c>
      <c r="L104" s="43" t="str">
        <f>IF(Tabla1[[#This Row],[DIFERENCIA]]=0,"CORECTO",IF(Tabla1[[#This Row],[DIFERENCIA]]&lt;0,"FALTA",IF(Tabla1[[#This Row],[DIFERENCIA]]&gt;0,"DEMAS")))</f>
        <v>FALTA</v>
      </c>
    </row>
    <row r="105" spans="2:12" x14ac:dyDescent="0.3">
      <c r="B105" s="43" t="s">
        <v>155</v>
      </c>
      <c r="C105" s="44">
        <v>45918</v>
      </c>
      <c r="D105" s="45" t="s">
        <v>188</v>
      </c>
      <c r="E105" s="43" t="s">
        <v>96</v>
      </c>
      <c r="F105" s="43">
        <v>1</v>
      </c>
      <c r="G105" s="43"/>
      <c r="H105" s="43"/>
      <c r="I105" s="43"/>
      <c r="J105" s="43"/>
      <c r="K105" s="43">
        <f>IF(Tabla1[[#This Row],[CANTIDAD ]]="","",Tabla1[[#This Row],[LLEGO REALMENTE]]-Tabla1[[#This Row],[CANTIDAD ]])</f>
        <v>-1</v>
      </c>
      <c r="L105" s="43" t="str">
        <f>IF(Tabla1[[#This Row],[DIFERENCIA]]=0,"CORECTO",IF(Tabla1[[#This Row],[DIFERENCIA]]&lt;0,"FALTA",IF(Tabla1[[#This Row],[DIFERENCIA]]&gt;0,"DEMAS")))</f>
        <v>FALTA</v>
      </c>
    </row>
    <row r="106" spans="2:12" x14ac:dyDescent="0.3">
      <c r="B106" s="43" t="s">
        <v>155</v>
      </c>
      <c r="C106" s="44">
        <v>45918</v>
      </c>
      <c r="D106" s="45" t="s">
        <v>189</v>
      </c>
      <c r="E106" s="43" t="s">
        <v>96</v>
      </c>
      <c r="F106" s="43">
        <v>2</v>
      </c>
      <c r="G106" s="43"/>
      <c r="H106" s="43"/>
      <c r="I106" s="43"/>
      <c r="J106" s="43"/>
      <c r="K106" s="43">
        <f>IF(Tabla1[[#This Row],[CANTIDAD ]]="","",Tabla1[[#This Row],[LLEGO REALMENTE]]-Tabla1[[#This Row],[CANTIDAD ]])</f>
        <v>-2</v>
      </c>
      <c r="L106" s="43" t="str">
        <f>IF(Tabla1[[#This Row],[DIFERENCIA]]=0,"CORECTO",IF(Tabla1[[#This Row],[DIFERENCIA]]&lt;0,"FALTA",IF(Tabla1[[#This Row],[DIFERENCIA]]&gt;0,"DEMAS")))</f>
        <v>FALTA</v>
      </c>
    </row>
    <row r="107" spans="2:12" x14ac:dyDescent="0.3">
      <c r="B107" s="43" t="s">
        <v>155</v>
      </c>
      <c r="C107" s="44">
        <v>45918</v>
      </c>
      <c r="D107" s="45" t="s">
        <v>190</v>
      </c>
      <c r="E107" s="43" t="s">
        <v>96</v>
      </c>
      <c r="F107" s="43">
        <v>5</v>
      </c>
      <c r="G107" s="43"/>
      <c r="H107" s="43"/>
      <c r="I107" s="43"/>
      <c r="J107" s="43"/>
      <c r="K107" s="43">
        <f>IF(Tabla1[[#This Row],[CANTIDAD ]]="","",Tabla1[[#This Row],[LLEGO REALMENTE]]-Tabla1[[#This Row],[CANTIDAD ]])</f>
        <v>-5</v>
      </c>
      <c r="L107" s="43" t="str">
        <f>IF(Tabla1[[#This Row],[DIFERENCIA]]=0,"CORECTO",IF(Tabla1[[#This Row],[DIFERENCIA]]&lt;0,"FALTA",IF(Tabla1[[#This Row],[DIFERENCIA]]&gt;0,"DEMAS")))</f>
        <v>FALTA</v>
      </c>
    </row>
    <row r="108" spans="2:12" x14ac:dyDescent="0.3">
      <c r="B108" s="43" t="s">
        <v>155</v>
      </c>
      <c r="C108" s="44">
        <v>45918</v>
      </c>
      <c r="D108" s="45" t="s">
        <v>191</v>
      </c>
      <c r="E108" s="43" t="s">
        <v>192</v>
      </c>
      <c r="F108" s="43">
        <v>1</v>
      </c>
      <c r="G108" s="43"/>
      <c r="H108" s="43" t="s">
        <v>193</v>
      </c>
      <c r="I108" s="43"/>
      <c r="J108" s="43"/>
      <c r="K108" s="43">
        <f>IF(Tabla1[[#This Row],[CANTIDAD ]]="","",Tabla1[[#This Row],[LLEGO REALMENTE]]-Tabla1[[#This Row],[CANTIDAD ]])</f>
        <v>-1</v>
      </c>
      <c r="L108" s="43" t="str">
        <f>IF(Tabla1[[#This Row],[DIFERENCIA]]=0,"CORECTO",IF(Tabla1[[#This Row],[DIFERENCIA]]&lt;0,"FALTA",IF(Tabla1[[#This Row],[DIFERENCIA]]&gt;0,"DEMAS")))</f>
        <v>FALTA</v>
      </c>
    </row>
    <row r="109" spans="2:12" x14ac:dyDescent="0.3">
      <c r="B109" s="43" t="s">
        <v>155</v>
      </c>
      <c r="C109" s="44">
        <v>45918</v>
      </c>
      <c r="D109" s="45" t="s">
        <v>194</v>
      </c>
      <c r="E109" s="43" t="s">
        <v>96</v>
      </c>
      <c r="F109" s="43">
        <v>2</v>
      </c>
      <c r="G109" s="43"/>
      <c r="H109" s="43" t="s">
        <v>193</v>
      </c>
      <c r="I109" s="43"/>
      <c r="J109" s="43"/>
      <c r="K109" s="43">
        <f>IF(Tabla1[[#This Row],[CANTIDAD ]]="","",Tabla1[[#This Row],[LLEGO REALMENTE]]-Tabla1[[#This Row],[CANTIDAD ]])</f>
        <v>-2</v>
      </c>
      <c r="L109" s="43" t="str">
        <f>IF(Tabla1[[#This Row],[DIFERENCIA]]=0,"CORECTO",IF(Tabla1[[#This Row],[DIFERENCIA]]&lt;0,"FALTA",IF(Tabla1[[#This Row],[DIFERENCIA]]&gt;0,"DEMAS")))</f>
        <v>FALTA</v>
      </c>
    </row>
    <row r="110" spans="2:12" x14ac:dyDescent="0.3">
      <c r="B110" s="43" t="s">
        <v>155</v>
      </c>
      <c r="C110" s="44">
        <v>45918</v>
      </c>
      <c r="D110" s="45" t="s">
        <v>195</v>
      </c>
      <c r="E110" s="43" t="s">
        <v>96</v>
      </c>
      <c r="F110" s="43">
        <v>1</v>
      </c>
      <c r="G110" s="43"/>
      <c r="H110" s="43"/>
      <c r="I110" s="43"/>
      <c r="J110" s="43"/>
      <c r="K110" s="43">
        <f>IF(Tabla1[[#This Row],[CANTIDAD ]]="","",Tabla1[[#This Row],[LLEGO REALMENTE]]-Tabla1[[#This Row],[CANTIDAD ]])</f>
        <v>-1</v>
      </c>
      <c r="L110" s="43" t="str">
        <f>IF(Tabla1[[#This Row],[DIFERENCIA]]=0,"CORECTO",IF(Tabla1[[#This Row],[DIFERENCIA]]&lt;0,"FALTA",IF(Tabla1[[#This Row],[DIFERENCIA]]&gt;0,"DEMAS")))</f>
        <v>FALTA</v>
      </c>
    </row>
    <row r="111" spans="2:12" x14ac:dyDescent="0.3">
      <c r="B111" s="43" t="s">
        <v>155</v>
      </c>
      <c r="C111" s="44">
        <v>45918</v>
      </c>
      <c r="D111" s="45" t="s">
        <v>196</v>
      </c>
      <c r="E111" s="43" t="s">
        <v>96</v>
      </c>
      <c r="F111" s="43">
        <v>1</v>
      </c>
      <c r="G111" s="43"/>
      <c r="H111" s="43"/>
      <c r="I111" s="43"/>
      <c r="J111" s="43"/>
      <c r="K111" s="43">
        <f>IF(Tabla1[[#This Row],[CANTIDAD ]]="","",Tabla1[[#This Row],[LLEGO REALMENTE]]-Tabla1[[#This Row],[CANTIDAD ]])</f>
        <v>-1</v>
      </c>
      <c r="L111" s="43" t="str">
        <f>IF(Tabla1[[#This Row],[DIFERENCIA]]=0,"CORECTO",IF(Tabla1[[#This Row],[DIFERENCIA]]&lt;0,"FALTA",IF(Tabla1[[#This Row],[DIFERENCIA]]&gt;0,"DEMAS")))</f>
        <v>FALTA</v>
      </c>
    </row>
    <row r="112" spans="2:12" x14ac:dyDescent="0.3">
      <c r="B112" s="43" t="s">
        <v>155</v>
      </c>
      <c r="C112" s="44">
        <v>45918</v>
      </c>
      <c r="D112" s="45" t="s">
        <v>197</v>
      </c>
      <c r="E112" s="43" t="s">
        <v>96</v>
      </c>
      <c r="F112" s="43"/>
      <c r="G112" s="43"/>
      <c r="H112" s="43"/>
      <c r="I112" s="43"/>
      <c r="J112" s="43"/>
      <c r="K112" s="43" t="str">
        <f>IF(Tabla1[[#This Row],[CANTIDAD ]]="","",Tabla1[[#This Row],[LLEGO REALMENTE]]-Tabla1[[#This Row],[CANTIDAD ]])</f>
        <v/>
      </c>
      <c r="L112" s="43" t="str">
        <f>IF(Tabla1[[#This Row],[DIFERENCIA]]=0,"CORECTO",IF(Tabla1[[#This Row],[DIFERENCIA]]&lt;0,"FALTA",IF(Tabla1[[#This Row],[DIFERENCIA]]&gt;0,"DEMAS")))</f>
        <v>DEMAS</v>
      </c>
    </row>
    <row r="113" spans="2:12" x14ac:dyDescent="0.3">
      <c r="B113" s="43" t="s">
        <v>155</v>
      </c>
      <c r="C113" s="44">
        <v>45918</v>
      </c>
      <c r="D113" s="45" t="s">
        <v>198</v>
      </c>
      <c r="E113" s="43" t="s">
        <v>192</v>
      </c>
      <c r="F113" s="43">
        <v>2</v>
      </c>
      <c r="G113" s="43"/>
      <c r="H113" s="43"/>
      <c r="I113" s="43"/>
      <c r="J113" s="43"/>
      <c r="K113" s="43">
        <f>IF(Tabla1[[#This Row],[CANTIDAD ]]="","",Tabla1[[#This Row],[LLEGO REALMENTE]]-Tabla1[[#This Row],[CANTIDAD ]])</f>
        <v>-2</v>
      </c>
      <c r="L113" s="43" t="str">
        <f>IF(Tabla1[[#This Row],[DIFERENCIA]]=0,"CORECTO",IF(Tabla1[[#This Row],[DIFERENCIA]]&lt;0,"FALTA",IF(Tabla1[[#This Row],[DIFERENCIA]]&gt;0,"DEMAS")))</f>
        <v>FALTA</v>
      </c>
    </row>
    <row r="114" spans="2:12" x14ac:dyDescent="0.3">
      <c r="B114" s="43" t="s">
        <v>155</v>
      </c>
      <c r="C114" s="44">
        <v>45918</v>
      </c>
      <c r="D114" s="45" t="s">
        <v>199</v>
      </c>
      <c r="E114" s="43" t="s">
        <v>96</v>
      </c>
      <c r="F114" s="43">
        <v>1</v>
      </c>
      <c r="G114" s="43"/>
      <c r="H114" s="43"/>
      <c r="I114" s="43"/>
      <c r="J114" s="43"/>
      <c r="K114" s="43">
        <f>IF(Tabla1[[#This Row],[CANTIDAD ]]="","",Tabla1[[#This Row],[LLEGO REALMENTE]]-Tabla1[[#This Row],[CANTIDAD ]])</f>
        <v>-1</v>
      </c>
      <c r="L114" s="43" t="str">
        <f>IF(Tabla1[[#This Row],[DIFERENCIA]]=0,"CORECTO",IF(Tabla1[[#This Row],[DIFERENCIA]]&lt;0,"FALTA",IF(Tabla1[[#This Row],[DIFERENCIA]]&gt;0,"DEMAS")))</f>
        <v>FALTA</v>
      </c>
    </row>
    <row r="115" spans="2:12" x14ac:dyDescent="0.3">
      <c r="B115" s="43" t="s">
        <v>155</v>
      </c>
      <c r="C115" s="44">
        <v>45918</v>
      </c>
      <c r="D115" s="45" t="s">
        <v>200</v>
      </c>
      <c r="E115" s="43" t="s">
        <v>192</v>
      </c>
      <c r="F115" s="43">
        <v>1</v>
      </c>
      <c r="G115" s="43"/>
      <c r="H115" s="43" t="s">
        <v>193</v>
      </c>
      <c r="I115" s="43"/>
      <c r="J115" s="43"/>
      <c r="K115" s="43">
        <f>IF(Tabla1[[#This Row],[CANTIDAD ]]="","",Tabla1[[#This Row],[LLEGO REALMENTE]]-Tabla1[[#This Row],[CANTIDAD ]])</f>
        <v>-1</v>
      </c>
      <c r="L115" s="43" t="str">
        <f>IF(Tabla1[[#This Row],[DIFERENCIA]]=0,"CORECTO",IF(Tabla1[[#This Row],[DIFERENCIA]]&lt;0,"FALTA",IF(Tabla1[[#This Row],[DIFERENCIA]]&gt;0,"DEMAS")))</f>
        <v>FALTA</v>
      </c>
    </row>
    <row r="116" spans="2:12" x14ac:dyDescent="0.3">
      <c r="B116" s="43" t="s">
        <v>155</v>
      </c>
      <c r="C116" s="44">
        <v>45918</v>
      </c>
      <c r="D116" s="45" t="s">
        <v>201</v>
      </c>
      <c r="E116" s="43" t="s">
        <v>96</v>
      </c>
      <c r="F116" s="43">
        <v>1</v>
      </c>
      <c r="G116" s="43"/>
      <c r="H116" s="43"/>
      <c r="I116" s="43"/>
      <c r="J116" s="43"/>
      <c r="K116" s="43">
        <f>IF(Tabla1[[#This Row],[CANTIDAD ]]="","",Tabla1[[#This Row],[LLEGO REALMENTE]]-Tabla1[[#This Row],[CANTIDAD ]])</f>
        <v>-1</v>
      </c>
      <c r="L116" s="43" t="str">
        <f>IF(Tabla1[[#This Row],[DIFERENCIA]]=0,"CORECTO",IF(Tabla1[[#This Row],[DIFERENCIA]]&lt;0,"FALTA",IF(Tabla1[[#This Row],[DIFERENCIA]]&gt;0,"DEMAS")))</f>
        <v>FALTA</v>
      </c>
    </row>
    <row r="117" spans="2:12" x14ac:dyDescent="0.3">
      <c r="B117" s="43" t="s">
        <v>202</v>
      </c>
      <c r="C117" s="44">
        <v>45920</v>
      </c>
      <c r="D117" s="45" t="s">
        <v>203</v>
      </c>
      <c r="E117" s="43" t="s">
        <v>96</v>
      </c>
      <c r="F117" s="43">
        <v>1</v>
      </c>
      <c r="G117" s="43" t="s">
        <v>15</v>
      </c>
      <c r="H117" s="43" t="s">
        <v>204</v>
      </c>
      <c r="I117" s="43" t="s">
        <v>205</v>
      </c>
      <c r="J117" s="43"/>
      <c r="K117" s="43">
        <f>IF(Tabla1[[#This Row],[CANTIDAD ]]="","",Tabla1[[#This Row],[LLEGO REALMENTE]]-Tabla1[[#This Row],[CANTIDAD ]])</f>
        <v>-1</v>
      </c>
      <c r="L117" s="43" t="str">
        <f>IF(Tabla1[[#This Row],[DIFERENCIA]]=0,"CORECTO",IF(Tabla1[[#This Row],[DIFERENCIA]]&lt;0,"FALTA",IF(Tabla1[[#This Row],[DIFERENCIA]]&gt;0,"DEMAS")))</f>
        <v>FALTA</v>
      </c>
    </row>
    <row r="118" spans="2:12" x14ac:dyDescent="0.3">
      <c r="B118" s="43" t="s">
        <v>202</v>
      </c>
      <c r="C118" s="44">
        <v>45920</v>
      </c>
      <c r="D118" s="45" t="s">
        <v>206</v>
      </c>
      <c r="E118" s="43" t="s">
        <v>96</v>
      </c>
      <c r="F118" s="43">
        <v>4</v>
      </c>
      <c r="G118" s="43" t="s">
        <v>15</v>
      </c>
      <c r="H118" s="43" t="s">
        <v>204</v>
      </c>
      <c r="I118" s="43" t="s">
        <v>205</v>
      </c>
      <c r="J118" s="43"/>
      <c r="K118" s="43">
        <f>IF(Tabla1[[#This Row],[CANTIDAD ]]="","",Tabla1[[#This Row],[LLEGO REALMENTE]]-Tabla1[[#This Row],[CANTIDAD ]])</f>
        <v>-4</v>
      </c>
      <c r="L118" s="43" t="str">
        <f>IF(Tabla1[[#This Row],[DIFERENCIA]]=0,"CORECTO",IF(Tabla1[[#This Row],[DIFERENCIA]]&lt;0,"FALTA",IF(Tabla1[[#This Row],[DIFERENCIA]]&gt;0,"DEMAS")))</f>
        <v>FALTA</v>
      </c>
    </row>
    <row r="119" spans="2:12" x14ac:dyDescent="0.3">
      <c r="B119" s="43" t="s">
        <v>202</v>
      </c>
      <c r="C119" s="44">
        <v>45920</v>
      </c>
      <c r="D119" s="45" t="s">
        <v>207</v>
      </c>
      <c r="E119" s="43" t="s">
        <v>96</v>
      </c>
      <c r="F119" s="43">
        <v>2</v>
      </c>
      <c r="G119" s="43" t="s">
        <v>15</v>
      </c>
      <c r="H119" s="43" t="s">
        <v>204</v>
      </c>
      <c r="I119" s="43" t="s">
        <v>205</v>
      </c>
      <c r="J119" s="43"/>
      <c r="K119" s="43">
        <f>IF(Tabla1[[#This Row],[CANTIDAD ]]="","",Tabla1[[#This Row],[LLEGO REALMENTE]]-Tabla1[[#This Row],[CANTIDAD ]])</f>
        <v>-2</v>
      </c>
      <c r="L119" s="43" t="str">
        <f>IF(Tabla1[[#This Row],[DIFERENCIA]]=0,"CORECTO",IF(Tabla1[[#This Row],[DIFERENCIA]]&lt;0,"FALTA",IF(Tabla1[[#This Row],[DIFERENCIA]]&gt;0,"DEMAS")))</f>
        <v>FALTA</v>
      </c>
    </row>
    <row r="120" spans="2:12" x14ac:dyDescent="0.3">
      <c r="B120" s="43" t="s">
        <v>202</v>
      </c>
      <c r="C120" s="44">
        <v>45920</v>
      </c>
      <c r="D120" s="45" t="s">
        <v>208</v>
      </c>
      <c r="E120" s="43" t="s">
        <v>96</v>
      </c>
      <c r="F120" s="43">
        <v>1</v>
      </c>
      <c r="G120" s="43" t="s">
        <v>15</v>
      </c>
      <c r="H120" s="43" t="s">
        <v>204</v>
      </c>
      <c r="I120" s="43" t="s">
        <v>205</v>
      </c>
      <c r="J120" s="43"/>
      <c r="K120" s="43">
        <f>IF(Tabla1[[#This Row],[CANTIDAD ]]="","",Tabla1[[#This Row],[LLEGO REALMENTE]]-Tabla1[[#This Row],[CANTIDAD ]])</f>
        <v>-1</v>
      </c>
      <c r="L120" s="43" t="str">
        <f>IF(Tabla1[[#This Row],[DIFERENCIA]]=0,"CORECTO",IF(Tabla1[[#This Row],[DIFERENCIA]]&lt;0,"FALTA",IF(Tabla1[[#This Row],[DIFERENCIA]]&gt;0,"DEMAS")))</f>
        <v>FALTA</v>
      </c>
    </row>
    <row r="121" spans="2:12" x14ac:dyDescent="0.3">
      <c r="B121" s="43" t="s">
        <v>202</v>
      </c>
      <c r="C121" s="44">
        <v>45920</v>
      </c>
      <c r="D121" s="45" t="s">
        <v>209</v>
      </c>
      <c r="E121" s="43" t="s">
        <v>96</v>
      </c>
      <c r="F121" s="43">
        <v>1</v>
      </c>
      <c r="G121" s="43" t="s">
        <v>15</v>
      </c>
      <c r="H121" s="43" t="s">
        <v>204</v>
      </c>
      <c r="I121" s="43" t="s">
        <v>205</v>
      </c>
      <c r="J121" s="43"/>
      <c r="K121" s="43">
        <f>IF(Tabla1[[#This Row],[CANTIDAD ]]="","",Tabla1[[#This Row],[LLEGO REALMENTE]]-Tabla1[[#This Row],[CANTIDAD ]])</f>
        <v>-1</v>
      </c>
      <c r="L121" s="43" t="str">
        <f>IF(Tabla1[[#This Row],[DIFERENCIA]]=0,"CORECTO",IF(Tabla1[[#This Row],[DIFERENCIA]]&lt;0,"FALTA",IF(Tabla1[[#This Row],[DIFERENCIA]]&gt;0,"DEMAS")))</f>
        <v>FALTA</v>
      </c>
    </row>
    <row r="122" spans="2:12" x14ac:dyDescent="0.3">
      <c r="B122" s="43" t="s">
        <v>202</v>
      </c>
      <c r="C122" s="44">
        <v>45920</v>
      </c>
      <c r="D122" s="45" t="s">
        <v>210</v>
      </c>
      <c r="E122" s="43" t="s">
        <v>96</v>
      </c>
      <c r="F122" s="43">
        <v>3</v>
      </c>
      <c r="G122" s="43" t="s">
        <v>15</v>
      </c>
      <c r="H122" s="43" t="s">
        <v>204</v>
      </c>
      <c r="I122" s="43" t="s">
        <v>205</v>
      </c>
      <c r="J122" s="43"/>
      <c r="K122" s="43">
        <f>IF(Tabla1[[#This Row],[CANTIDAD ]]="","",Tabla1[[#This Row],[LLEGO REALMENTE]]-Tabla1[[#This Row],[CANTIDAD ]])</f>
        <v>-3</v>
      </c>
      <c r="L122" s="43" t="str">
        <f>IF(Tabla1[[#This Row],[DIFERENCIA]]=0,"CORECTO",IF(Tabla1[[#This Row],[DIFERENCIA]]&lt;0,"FALTA",IF(Tabla1[[#This Row],[DIFERENCIA]]&gt;0,"DEMAS")))</f>
        <v>FALTA</v>
      </c>
    </row>
    <row r="123" spans="2:12" x14ac:dyDescent="0.3">
      <c r="B123" s="43" t="s">
        <v>202</v>
      </c>
      <c r="C123" s="44">
        <v>45920</v>
      </c>
      <c r="D123" s="45" t="s">
        <v>211</v>
      </c>
      <c r="E123" s="43" t="s">
        <v>96</v>
      </c>
      <c r="F123" s="43">
        <v>1</v>
      </c>
      <c r="G123" s="43" t="s">
        <v>15</v>
      </c>
      <c r="H123" s="43" t="s">
        <v>204</v>
      </c>
      <c r="I123" s="43" t="s">
        <v>205</v>
      </c>
      <c r="J123" s="43"/>
      <c r="K123" s="43">
        <f>IF(Tabla1[[#This Row],[CANTIDAD ]]="","",Tabla1[[#This Row],[LLEGO REALMENTE]]-Tabla1[[#This Row],[CANTIDAD ]])</f>
        <v>-1</v>
      </c>
      <c r="L123" s="43" t="str">
        <f>IF(Tabla1[[#This Row],[DIFERENCIA]]=0,"CORECTO",IF(Tabla1[[#This Row],[DIFERENCIA]]&lt;0,"FALTA",IF(Tabla1[[#This Row],[DIFERENCIA]]&gt;0,"DEMAS")))</f>
        <v>FALTA</v>
      </c>
    </row>
    <row r="124" spans="2:12" x14ac:dyDescent="0.3">
      <c r="B124" s="43" t="s">
        <v>202</v>
      </c>
      <c r="C124" s="44">
        <v>45920</v>
      </c>
      <c r="D124" s="45" t="s">
        <v>212</v>
      </c>
      <c r="E124" s="43" t="s">
        <v>96</v>
      </c>
      <c r="F124" s="43">
        <v>1</v>
      </c>
      <c r="G124" s="43" t="s">
        <v>15</v>
      </c>
      <c r="H124" s="43" t="s">
        <v>204</v>
      </c>
      <c r="I124" s="43" t="s">
        <v>205</v>
      </c>
      <c r="J124" s="43"/>
      <c r="K124" s="43">
        <f>IF(Tabla1[[#This Row],[CANTIDAD ]]="","",Tabla1[[#This Row],[LLEGO REALMENTE]]-Tabla1[[#This Row],[CANTIDAD ]])</f>
        <v>-1</v>
      </c>
      <c r="L124" s="43" t="str">
        <f>IF(Tabla1[[#This Row],[DIFERENCIA]]=0,"CORECTO",IF(Tabla1[[#This Row],[DIFERENCIA]]&lt;0,"FALTA",IF(Tabla1[[#This Row],[DIFERENCIA]]&gt;0,"DEMAS")))</f>
        <v>FALTA</v>
      </c>
    </row>
    <row r="125" spans="2:12" x14ac:dyDescent="0.3">
      <c r="B125" s="43" t="s">
        <v>202</v>
      </c>
      <c r="C125" s="44">
        <v>45920</v>
      </c>
      <c r="D125" s="45" t="s">
        <v>213</v>
      </c>
      <c r="E125" s="43" t="s">
        <v>96</v>
      </c>
      <c r="F125" s="43">
        <v>2</v>
      </c>
      <c r="G125" s="43" t="s">
        <v>15</v>
      </c>
      <c r="H125" s="43" t="s">
        <v>204</v>
      </c>
      <c r="I125" s="43" t="s">
        <v>205</v>
      </c>
      <c r="J125" s="43"/>
      <c r="K125" s="43">
        <f>IF(Tabla1[[#This Row],[CANTIDAD ]]="","",Tabla1[[#This Row],[LLEGO REALMENTE]]-Tabla1[[#This Row],[CANTIDAD ]])</f>
        <v>-2</v>
      </c>
      <c r="L125" s="43" t="str">
        <f>IF(Tabla1[[#This Row],[DIFERENCIA]]=0,"CORECTO",IF(Tabla1[[#This Row],[DIFERENCIA]]&lt;0,"FALTA",IF(Tabla1[[#This Row],[DIFERENCIA]]&gt;0,"DEMAS")))</f>
        <v>FALTA</v>
      </c>
    </row>
    <row r="126" spans="2:12" x14ac:dyDescent="0.3">
      <c r="B126" s="43" t="s">
        <v>202</v>
      </c>
      <c r="C126" s="44">
        <v>45920</v>
      </c>
      <c r="D126" s="45" t="s">
        <v>214</v>
      </c>
      <c r="E126" s="43" t="s">
        <v>96</v>
      </c>
      <c r="F126" s="43">
        <v>1</v>
      </c>
      <c r="G126" s="43" t="s">
        <v>15</v>
      </c>
      <c r="H126" s="43" t="s">
        <v>204</v>
      </c>
      <c r="I126" s="43" t="s">
        <v>205</v>
      </c>
      <c r="J126" s="43"/>
      <c r="K126" s="43">
        <f>IF(Tabla1[[#This Row],[CANTIDAD ]]="","",Tabla1[[#This Row],[LLEGO REALMENTE]]-Tabla1[[#This Row],[CANTIDAD ]])</f>
        <v>-1</v>
      </c>
      <c r="L126" s="43" t="str">
        <f>IF(Tabla1[[#This Row],[DIFERENCIA]]=0,"CORECTO",IF(Tabla1[[#This Row],[DIFERENCIA]]&lt;0,"FALTA",IF(Tabla1[[#This Row],[DIFERENCIA]]&gt;0,"DEMAS")))</f>
        <v>FALTA</v>
      </c>
    </row>
    <row r="127" spans="2:12" x14ac:dyDescent="0.3">
      <c r="B127" s="43" t="s">
        <v>202</v>
      </c>
      <c r="C127" s="44">
        <v>45920</v>
      </c>
      <c r="D127" s="45" t="s">
        <v>215</v>
      </c>
      <c r="E127" s="43" t="s">
        <v>96</v>
      </c>
      <c r="F127" s="43">
        <v>1</v>
      </c>
      <c r="G127" s="43" t="s">
        <v>15</v>
      </c>
      <c r="H127" s="43" t="s">
        <v>204</v>
      </c>
      <c r="I127" s="43" t="s">
        <v>205</v>
      </c>
      <c r="J127" s="43"/>
      <c r="K127" s="43">
        <f>IF(Tabla1[[#This Row],[CANTIDAD ]]="","",Tabla1[[#This Row],[LLEGO REALMENTE]]-Tabla1[[#This Row],[CANTIDAD ]])</f>
        <v>-1</v>
      </c>
      <c r="L127" s="43" t="str">
        <f>IF(Tabla1[[#This Row],[DIFERENCIA]]=0,"CORECTO",IF(Tabla1[[#This Row],[DIFERENCIA]]&lt;0,"FALTA",IF(Tabla1[[#This Row],[DIFERENCIA]]&gt;0,"DEMAS")))</f>
        <v>FALTA</v>
      </c>
    </row>
    <row r="128" spans="2:12" x14ac:dyDescent="0.3">
      <c r="B128" s="43" t="s">
        <v>202</v>
      </c>
      <c r="C128" s="44">
        <v>45920</v>
      </c>
      <c r="D128" s="45" t="s">
        <v>216</v>
      </c>
      <c r="E128" s="43" t="s">
        <v>96</v>
      </c>
      <c r="F128" s="43">
        <v>4</v>
      </c>
      <c r="G128" s="43" t="s">
        <v>15</v>
      </c>
      <c r="H128" s="43" t="s">
        <v>204</v>
      </c>
      <c r="I128" s="43" t="s">
        <v>205</v>
      </c>
      <c r="J128" s="43"/>
      <c r="K128" s="43">
        <f>IF(Tabla1[[#This Row],[CANTIDAD ]]="","",Tabla1[[#This Row],[LLEGO REALMENTE]]-Tabla1[[#This Row],[CANTIDAD ]])</f>
        <v>-4</v>
      </c>
      <c r="L128" s="43" t="str">
        <f>IF(Tabla1[[#This Row],[DIFERENCIA]]=0,"CORECTO",IF(Tabla1[[#This Row],[DIFERENCIA]]&lt;0,"FALTA",IF(Tabla1[[#This Row],[DIFERENCIA]]&gt;0,"DEMAS")))</f>
        <v>FALTA</v>
      </c>
    </row>
    <row r="129" spans="2:12" x14ac:dyDescent="0.3">
      <c r="B129" s="43" t="s">
        <v>202</v>
      </c>
      <c r="C129" s="44">
        <v>45920</v>
      </c>
      <c r="D129" s="45" t="s">
        <v>217</v>
      </c>
      <c r="E129" s="43" t="s">
        <v>96</v>
      </c>
      <c r="F129" s="43">
        <v>3</v>
      </c>
      <c r="G129" s="43" t="s">
        <v>15</v>
      </c>
      <c r="H129" s="43" t="s">
        <v>204</v>
      </c>
      <c r="I129" s="43" t="s">
        <v>205</v>
      </c>
      <c r="J129" s="43"/>
      <c r="K129" s="43">
        <f>IF(Tabla1[[#This Row],[CANTIDAD ]]="","",Tabla1[[#This Row],[LLEGO REALMENTE]]-Tabla1[[#This Row],[CANTIDAD ]])</f>
        <v>-3</v>
      </c>
      <c r="L129" s="43" t="str">
        <f>IF(Tabla1[[#This Row],[DIFERENCIA]]=0,"CORECTO",IF(Tabla1[[#This Row],[DIFERENCIA]]&lt;0,"FALTA",IF(Tabla1[[#This Row],[DIFERENCIA]]&gt;0,"DEMAS")))</f>
        <v>FALTA</v>
      </c>
    </row>
    <row r="130" spans="2:12" x14ac:dyDescent="0.3">
      <c r="B130" s="43" t="s">
        <v>311</v>
      </c>
      <c r="C130" s="44">
        <v>45922</v>
      </c>
      <c r="D130" s="45" t="s">
        <v>208</v>
      </c>
      <c r="E130" s="43" t="s">
        <v>96</v>
      </c>
      <c r="F130" s="43">
        <v>1</v>
      </c>
      <c r="G130" s="43" t="s">
        <v>15</v>
      </c>
      <c r="H130" s="43" t="s">
        <v>204</v>
      </c>
      <c r="I130" s="43" t="s">
        <v>312</v>
      </c>
      <c r="J130" s="43">
        <v>1</v>
      </c>
      <c r="K130" s="43">
        <f>IF(Tabla1[[#This Row],[CANTIDAD ]]="","",Tabla1[[#This Row],[LLEGO REALMENTE]]-Tabla1[[#This Row],[CANTIDAD ]])</f>
        <v>0</v>
      </c>
      <c r="L130" s="43" t="str">
        <f>IF(Tabla1[[#This Row],[DIFERENCIA]]=0,"CORECTO",IF(Tabla1[[#This Row],[DIFERENCIA]]&lt;0,"FALTA",IF(Tabla1[[#This Row],[DIFERENCIA]]&gt;0,"DEMAS")))</f>
        <v>CORECTO</v>
      </c>
    </row>
    <row r="131" spans="2:12" x14ac:dyDescent="0.3">
      <c r="B131" s="43" t="s">
        <v>311</v>
      </c>
      <c r="C131" s="44">
        <v>45922</v>
      </c>
      <c r="D131" s="45" t="s">
        <v>298</v>
      </c>
      <c r="E131" s="43" t="s">
        <v>96</v>
      </c>
      <c r="F131" s="43">
        <v>1</v>
      </c>
      <c r="G131" s="43" t="s">
        <v>15</v>
      </c>
      <c r="H131" s="43" t="s">
        <v>204</v>
      </c>
      <c r="I131" s="43" t="s">
        <v>312</v>
      </c>
      <c r="J131" s="43">
        <v>1</v>
      </c>
      <c r="K131" s="43">
        <f>IF(Tabla1[[#This Row],[CANTIDAD ]]="","",Tabla1[[#This Row],[LLEGO REALMENTE]]-Tabla1[[#This Row],[CANTIDAD ]])</f>
        <v>0</v>
      </c>
      <c r="L131" s="43" t="str">
        <f>IF(Tabla1[[#This Row],[DIFERENCIA]]=0,"CORECTO",IF(Tabla1[[#This Row],[DIFERENCIA]]&lt;0,"FALTA",IF(Tabla1[[#This Row],[DIFERENCIA]]&gt;0,"DEMAS")))</f>
        <v>CORECTO</v>
      </c>
    </row>
    <row r="132" spans="2:12" x14ac:dyDescent="0.3">
      <c r="B132" s="43" t="s">
        <v>311</v>
      </c>
      <c r="C132" s="44">
        <v>45922</v>
      </c>
      <c r="D132" s="45" t="s">
        <v>299</v>
      </c>
      <c r="E132" s="43" t="s">
        <v>96</v>
      </c>
      <c r="F132" s="43">
        <v>1</v>
      </c>
      <c r="G132" s="43" t="s">
        <v>15</v>
      </c>
      <c r="H132" s="43" t="s">
        <v>204</v>
      </c>
      <c r="I132" s="43" t="s">
        <v>312</v>
      </c>
      <c r="J132" s="43">
        <v>1</v>
      </c>
      <c r="K132" s="43">
        <f>IF(Tabla1[[#This Row],[CANTIDAD ]]="","",Tabla1[[#This Row],[LLEGO REALMENTE]]-Tabla1[[#This Row],[CANTIDAD ]])</f>
        <v>0</v>
      </c>
      <c r="L132" s="43" t="str">
        <f>IF(Tabla1[[#This Row],[DIFERENCIA]]=0,"CORECTO",IF(Tabla1[[#This Row],[DIFERENCIA]]&lt;0,"FALTA",IF(Tabla1[[#This Row],[DIFERENCIA]]&gt;0,"DEMAS")))</f>
        <v>CORECTO</v>
      </c>
    </row>
    <row r="133" spans="2:12" x14ac:dyDescent="0.3">
      <c r="B133" s="43" t="s">
        <v>311</v>
      </c>
      <c r="C133" s="44">
        <v>45922</v>
      </c>
      <c r="D133" s="45" t="s">
        <v>300</v>
      </c>
      <c r="E133" s="43" t="s">
        <v>270</v>
      </c>
      <c r="F133" s="43">
        <v>1</v>
      </c>
      <c r="G133" s="43" t="s">
        <v>313</v>
      </c>
      <c r="H133" s="43"/>
      <c r="I133" s="43" t="s">
        <v>314</v>
      </c>
      <c r="J133" s="43">
        <v>1</v>
      </c>
      <c r="K133" s="43">
        <f>IF(Tabla1[[#This Row],[CANTIDAD ]]="","",Tabla1[[#This Row],[LLEGO REALMENTE]]-Tabla1[[#This Row],[CANTIDAD ]])</f>
        <v>0</v>
      </c>
      <c r="L133" s="43" t="str">
        <f>IF(Tabla1[[#This Row],[DIFERENCIA]]=0,"CORECTO",IF(Tabla1[[#This Row],[DIFERENCIA]]&lt;0,"FALTA",IF(Tabla1[[#This Row],[DIFERENCIA]]&gt;0,"DEMAS")))</f>
        <v>CORECTO</v>
      </c>
    </row>
    <row r="134" spans="2:12" x14ac:dyDescent="0.3">
      <c r="B134" s="43" t="s">
        <v>311</v>
      </c>
      <c r="C134" s="44">
        <v>45922</v>
      </c>
      <c r="D134" s="45" t="s">
        <v>315</v>
      </c>
      <c r="E134" s="43" t="s">
        <v>302</v>
      </c>
      <c r="F134" s="43">
        <v>15</v>
      </c>
      <c r="G134" s="43" t="s">
        <v>316</v>
      </c>
      <c r="H134" s="43" t="s">
        <v>193</v>
      </c>
      <c r="I134" s="43" t="s">
        <v>317</v>
      </c>
      <c r="J134" s="43">
        <v>15</v>
      </c>
      <c r="K134" s="43">
        <f>IF(Tabla1[[#This Row],[CANTIDAD ]]="","",Tabla1[[#This Row],[LLEGO REALMENTE]]-Tabla1[[#This Row],[CANTIDAD ]])</f>
        <v>0</v>
      </c>
      <c r="L134" s="43" t="str">
        <f>IF(Tabla1[[#This Row],[DIFERENCIA]]=0,"CORECTO",IF(Tabla1[[#This Row],[DIFERENCIA]]&lt;0,"FALTA",IF(Tabla1[[#This Row],[DIFERENCIA]]&gt;0,"DEMAS")))</f>
        <v>CORECTO</v>
      </c>
    </row>
    <row r="135" spans="2:12" x14ac:dyDescent="0.3">
      <c r="B135" s="43" t="s">
        <v>311</v>
      </c>
      <c r="C135" s="44">
        <v>45922</v>
      </c>
      <c r="D135" s="45" t="s">
        <v>318</v>
      </c>
      <c r="E135" s="43" t="s">
        <v>96</v>
      </c>
      <c r="F135" s="43">
        <v>2</v>
      </c>
      <c r="G135" s="43" t="s">
        <v>9</v>
      </c>
      <c r="H135" s="43" t="s">
        <v>97</v>
      </c>
      <c r="I135" s="43"/>
      <c r="J135" s="43">
        <v>2</v>
      </c>
      <c r="K135" s="43">
        <f>IF(Tabla1[[#This Row],[CANTIDAD ]]="","",Tabla1[[#This Row],[LLEGO REALMENTE]]-Tabla1[[#This Row],[CANTIDAD ]])</f>
        <v>0</v>
      </c>
      <c r="L135" s="43" t="str">
        <f>IF(Tabla1[[#This Row],[DIFERENCIA]]=0,"CORECTO",IF(Tabla1[[#This Row],[DIFERENCIA]]&lt;0,"FALTA",IF(Tabla1[[#This Row],[DIFERENCIA]]&gt;0,"DEMAS")))</f>
        <v>CORECTO</v>
      </c>
    </row>
    <row r="136" spans="2:12" x14ac:dyDescent="0.3">
      <c r="B136" s="43" t="s">
        <v>319</v>
      </c>
      <c r="C136" s="44">
        <v>45922</v>
      </c>
      <c r="D136" s="45" t="s">
        <v>198</v>
      </c>
      <c r="E136" s="43" t="s">
        <v>306</v>
      </c>
      <c r="F136" s="43">
        <v>1</v>
      </c>
      <c r="G136" s="43" t="s">
        <v>9</v>
      </c>
      <c r="H136" s="43" t="s">
        <v>97</v>
      </c>
      <c r="I136" s="43"/>
      <c r="J136" s="43">
        <v>1</v>
      </c>
      <c r="K136" s="43">
        <f>IF(Tabla1[[#This Row],[CANTIDAD ]]="","",Tabla1[[#This Row],[LLEGO REALMENTE]]-Tabla1[[#This Row],[CANTIDAD ]])</f>
        <v>0</v>
      </c>
      <c r="L136" s="43" t="str">
        <f>IF(Tabla1[[#This Row],[DIFERENCIA]]=0,"CORECTO",IF(Tabla1[[#This Row],[DIFERENCIA]]&lt;0,"FALTA",IF(Tabla1[[#This Row],[DIFERENCIA]]&gt;0,"DEMAS")))</f>
        <v>CORECTO</v>
      </c>
    </row>
    <row r="137" spans="2:12" x14ac:dyDescent="0.3">
      <c r="B137" s="43" t="s">
        <v>319</v>
      </c>
      <c r="C137" s="44">
        <v>45922</v>
      </c>
      <c r="D137" s="45" t="s">
        <v>320</v>
      </c>
      <c r="E137" s="43" t="s">
        <v>96</v>
      </c>
      <c r="F137" s="43">
        <v>2</v>
      </c>
      <c r="G137" s="43" t="s">
        <v>9</v>
      </c>
      <c r="H137" s="43" t="s">
        <v>97</v>
      </c>
      <c r="I137" s="43" t="s">
        <v>321</v>
      </c>
      <c r="J137" s="43">
        <v>2</v>
      </c>
      <c r="K137" s="43">
        <f>IF(Tabla1[[#This Row],[CANTIDAD ]]="","",Tabla1[[#This Row],[LLEGO REALMENTE]]-Tabla1[[#This Row],[CANTIDAD ]])</f>
        <v>0</v>
      </c>
      <c r="L137" s="43" t="str">
        <f>IF(Tabla1[[#This Row],[DIFERENCIA]]=0,"CORECTO",IF(Tabla1[[#This Row],[DIFERENCIA]]&lt;0,"FALTA",IF(Tabla1[[#This Row],[DIFERENCIA]]&gt;0,"DEMAS")))</f>
        <v>CORECTO</v>
      </c>
    </row>
    <row r="138" spans="2:12" x14ac:dyDescent="0.3">
      <c r="B138" s="43" t="s">
        <v>319</v>
      </c>
      <c r="C138" s="44">
        <v>45922</v>
      </c>
      <c r="D138" s="45" t="s">
        <v>322</v>
      </c>
      <c r="E138" s="43" t="s">
        <v>96</v>
      </c>
      <c r="F138" s="43">
        <v>8</v>
      </c>
      <c r="G138" s="43" t="s">
        <v>9</v>
      </c>
      <c r="H138" s="43" t="s">
        <v>97</v>
      </c>
      <c r="I138" s="43" t="s">
        <v>321</v>
      </c>
      <c r="J138" s="43">
        <v>8</v>
      </c>
      <c r="K138" s="43">
        <f>IF(Tabla1[[#This Row],[CANTIDAD ]]="","",Tabla1[[#This Row],[LLEGO REALMENTE]]-Tabla1[[#This Row],[CANTIDAD ]])</f>
        <v>0</v>
      </c>
      <c r="L138" s="43" t="str">
        <f>IF(Tabla1[[#This Row],[DIFERENCIA]]=0,"CORECTO",IF(Tabla1[[#This Row],[DIFERENCIA]]&lt;0,"FALTA",IF(Tabla1[[#This Row],[DIFERENCIA]]&gt;0,"DEMAS")))</f>
        <v>CORECTO</v>
      </c>
    </row>
    <row r="139" spans="2:12" x14ac:dyDescent="0.3">
      <c r="B139" s="43" t="s">
        <v>319</v>
      </c>
      <c r="C139" s="44">
        <v>45922</v>
      </c>
      <c r="D139" s="45" t="s">
        <v>323</v>
      </c>
      <c r="E139" s="43" t="s">
        <v>96</v>
      </c>
      <c r="F139" s="43">
        <v>2</v>
      </c>
      <c r="G139" s="43" t="s">
        <v>76</v>
      </c>
      <c r="H139" s="43" t="s">
        <v>97</v>
      </c>
      <c r="I139" s="43"/>
      <c r="J139" s="43">
        <v>2</v>
      </c>
      <c r="K139" s="43">
        <f>IF(Tabla1[[#This Row],[CANTIDAD ]]="","",Tabla1[[#This Row],[LLEGO REALMENTE]]-Tabla1[[#This Row],[CANTIDAD ]])</f>
        <v>0</v>
      </c>
      <c r="L139" s="43" t="str">
        <f>IF(Tabla1[[#This Row],[DIFERENCIA]]=0,"CORECTO",IF(Tabla1[[#This Row],[DIFERENCIA]]&lt;0,"FALTA",IF(Tabla1[[#This Row],[DIFERENCIA]]&gt;0,"DEMAS")))</f>
        <v>CORECTO</v>
      </c>
    </row>
    <row r="140" spans="2:12" x14ac:dyDescent="0.3">
      <c r="B140" s="43" t="s">
        <v>319</v>
      </c>
      <c r="C140" s="44">
        <v>45922</v>
      </c>
      <c r="D140" s="45" t="s">
        <v>310</v>
      </c>
      <c r="E140" s="43" t="s">
        <v>96</v>
      </c>
      <c r="F140" s="43">
        <v>1</v>
      </c>
      <c r="G140" s="43" t="s">
        <v>76</v>
      </c>
      <c r="H140" s="43" t="s">
        <v>324</v>
      </c>
      <c r="I140" s="43"/>
      <c r="J140" s="43">
        <v>1</v>
      </c>
      <c r="K140" s="43">
        <f>IF(Tabla1[[#This Row],[CANTIDAD ]]="","",Tabla1[[#This Row],[LLEGO REALMENTE]]-Tabla1[[#This Row],[CANTIDAD ]])</f>
        <v>0</v>
      </c>
      <c r="L140" s="43" t="str">
        <f>IF(Tabla1[[#This Row],[DIFERENCIA]]=0,"CORECTO",IF(Tabla1[[#This Row],[DIFERENCIA]]&lt;0,"FALTA",IF(Tabla1[[#This Row],[DIFERENCIA]]&gt;0,"DEMAS")))</f>
        <v>CORECTO</v>
      </c>
    </row>
    <row r="141" spans="2:12" ht="28.8" x14ac:dyDescent="0.3">
      <c r="B141" s="43" t="s">
        <v>325</v>
      </c>
      <c r="C141" s="44">
        <v>45923</v>
      </c>
      <c r="D141" s="45" t="s">
        <v>326</v>
      </c>
      <c r="E141" s="43" t="s">
        <v>96</v>
      </c>
      <c r="F141" s="43">
        <v>2</v>
      </c>
      <c r="G141" s="43" t="s">
        <v>9</v>
      </c>
      <c r="H141" s="43" t="s">
        <v>204</v>
      </c>
      <c r="I141" s="43" t="s">
        <v>321</v>
      </c>
      <c r="J141" s="43">
        <v>2</v>
      </c>
      <c r="K141" s="43">
        <f>IF(Tabla1[[#This Row],[CANTIDAD ]]="","",Tabla1[[#This Row],[LLEGO REALMENTE]]-Tabla1[[#This Row],[CANTIDAD ]])</f>
        <v>0</v>
      </c>
      <c r="L141" s="43" t="str">
        <f>IF(Tabla1[[#This Row],[DIFERENCIA]]=0,"CORECTO",IF(Tabla1[[#This Row],[DIFERENCIA]]&lt;0,"FALTA",IF(Tabla1[[#This Row],[DIFERENCIA]]&gt;0,"DEMAS")))</f>
        <v>CORECTO</v>
      </c>
    </row>
    <row r="142" spans="2:12" x14ac:dyDescent="0.3">
      <c r="B142" s="43" t="s">
        <v>325</v>
      </c>
      <c r="C142" s="44">
        <v>45923</v>
      </c>
      <c r="D142" s="45" t="s">
        <v>327</v>
      </c>
      <c r="E142" s="43" t="s">
        <v>96</v>
      </c>
      <c r="F142" s="43">
        <v>10</v>
      </c>
      <c r="G142" s="43" t="s">
        <v>76</v>
      </c>
      <c r="H142" s="43" t="s">
        <v>204</v>
      </c>
      <c r="I142" s="43" t="s">
        <v>329</v>
      </c>
      <c r="J142" s="43">
        <v>10</v>
      </c>
      <c r="K142" s="43">
        <f>IF(Tabla1[[#This Row],[CANTIDAD ]]="","",Tabla1[[#This Row],[LLEGO REALMENTE]]-Tabla1[[#This Row],[CANTIDAD ]])</f>
        <v>0</v>
      </c>
      <c r="L142" s="43" t="str">
        <f>IF(Tabla1[[#This Row],[DIFERENCIA]]=0,"CORECTO",IF(Tabla1[[#This Row],[DIFERENCIA]]&lt;0,"FALTA",IF(Tabla1[[#This Row],[DIFERENCIA]]&gt;0,"DEMAS")))</f>
        <v>CORECTO</v>
      </c>
    </row>
    <row r="143" spans="2:12" x14ac:dyDescent="0.3">
      <c r="B143" s="43" t="s">
        <v>332</v>
      </c>
      <c r="C143" s="44">
        <v>45925</v>
      </c>
      <c r="D143" s="45" t="s">
        <v>333</v>
      </c>
      <c r="E143" s="43" t="s">
        <v>96</v>
      </c>
      <c r="F143" s="43">
        <v>1</v>
      </c>
      <c r="G143" s="43" t="s">
        <v>334</v>
      </c>
      <c r="H143" s="43" t="s">
        <v>337</v>
      </c>
      <c r="I143" s="43"/>
      <c r="J143" s="43">
        <v>1</v>
      </c>
      <c r="K143" s="43">
        <f>IF(Tabla1[[#This Row],[CANTIDAD ]]="","",Tabla1[[#This Row],[LLEGO REALMENTE]]-Tabla1[[#This Row],[CANTIDAD ]])</f>
        <v>0</v>
      </c>
      <c r="L143" s="43" t="str">
        <f>IF(Tabla1[[#This Row],[DIFERENCIA]]=0,"CORECTO",IF(Tabla1[[#This Row],[DIFERENCIA]]&lt;0,"FALTA",IF(Tabla1[[#This Row],[DIFERENCIA]]&gt;0,"DEMAS")))</f>
        <v>CORECTO</v>
      </c>
    </row>
    <row r="144" spans="2:12" x14ac:dyDescent="0.3">
      <c r="B144" s="43" t="s">
        <v>332</v>
      </c>
      <c r="C144" s="44">
        <v>45925</v>
      </c>
      <c r="D144" s="45" t="s">
        <v>335</v>
      </c>
      <c r="E144" s="43" t="s">
        <v>96</v>
      </c>
      <c r="F144" s="43">
        <v>10</v>
      </c>
      <c r="G144" s="43" t="s">
        <v>329</v>
      </c>
      <c r="H144" s="43" t="s">
        <v>324</v>
      </c>
      <c r="I144" s="43"/>
      <c r="J144" s="43"/>
      <c r="K144" s="43">
        <f>IF(Tabla1[[#This Row],[CANTIDAD ]]="","",Tabla1[[#This Row],[LLEGO REALMENTE]]-Tabla1[[#This Row],[CANTIDAD ]])</f>
        <v>-10</v>
      </c>
      <c r="L144" s="43" t="str">
        <f>IF(Tabla1[[#This Row],[DIFERENCIA]]=0,"CORECTO",IF(Tabla1[[#This Row],[DIFERENCIA]]&lt;0,"FALTA",IF(Tabla1[[#This Row],[DIFERENCIA]]&gt;0,"DEMAS")))</f>
        <v>FALTA</v>
      </c>
    </row>
    <row r="145" spans="2:12" x14ac:dyDescent="0.3">
      <c r="B145" s="43" t="s">
        <v>332</v>
      </c>
      <c r="C145" s="44">
        <v>45925</v>
      </c>
      <c r="D145" s="45" t="s">
        <v>336</v>
      </c>
      <c r="E145" s="43" t="s">
        <v>96</v>
      </c>
      <c r="F145" s="43">
        <v>10</v>
      </c>
      <c r="G145" s="43" t="s">
        <v>329</v>
      </c>
      <c r="H145" s="43" t="s">
        <v>324</v>
      </c>
      <c r="I145" s="43"/>
      <c r="J145" s="43">
        <v>2</v>
      </c>
      <c r="K145" s="43">
        <f>IF(Tabla1[[#This Row],[CANTIDAD ]]="","",Tabla1[[#This Row],[LLEGO REALMENTE]]-Tabla1[[#This Row],[CANTIDAD ]])</f>
        <v>-8</v>
      </c>
      <c r="L145" s="43" t="str">
        <f>IF(Tabla1[[#This Row],[DIFERENCIA]]=0,"CORECTO",IF(Tabla1[[#This Row],[DIFERENCIA]]&lt;0,"FALTA",IF(Tabla1[[#This Row],[DIFERENCIA]]&gt;0,"DEMAS")))</f>
        <v>FALTA</v>
      </c>
    </row>
    <row r="146" spans="2:12" x14ac:dyDescent="0.3">
      <c r="B146" s="43" t="s">
        <v>332</v>
      </c>
      <c r="C146" s="44">
        <v>45925</v>
      </c>
      <c r="D146" s="45" t="s">
        <v>300</v>
      </c>
      <c r="E146" s="43" t="s">
        <v>270</v>
      </c>
      <c r="F146" s="43">
        <v>5</v>
      </c>
      <c r="G146" s="43" t="s">
        <v>334</v>
      </c>
      <c r="H146" s="43" t="s">
        <v>337</v>
      </c>
      <c r="I146" s="43"/>
      <c r="J146" s="43">
        <v>5</v>
      </c>
      <c r="K146" s="43">
        <f>IF(Tabla1[[#This Row],[CANTIDAD ]]="","",Tabla1[[#This Row],[LLEGO REALMENTE]]-Tabla1[[#This Row],[CANTIDAD ]])</f>
        <v>0</v>
      </c>
      <c r="L146" s="43" t="str">
        <f>IF(Tabla1[[#This Row],[DIFERENCIA]]=0,"CORECTO",IF(Tabla1[[#This Row],[DIFERENCIA]]&lt;0,"FALTA",IF(Tabla1[[#This Row],[DIFERENCIA]]&gt;0,"DEMAS")))</f>
        <v>CORECTO</v>
      </c>
    </row>
    <row r="147" spans="2:12" x14ac:dyDescent="0.3">
      <c r="B147" s="43" t="s">
        <v>332</v>
      </c>
      <c r="C147" s="44">
        <v>45925</v>
      </c>
      <c r="D147" s="45" t="s">
        <v>338</v>
      </c>
      <c r="E147" s="43" t="s">
        <v>96</v>
      </c>
      <c r="F147" s="43">
        <v>1</v>
      </c>
      <c r="G147" s="43" t="s">
        <v>334</v>
      </c>
      <c r="H147" s="43" t="s">
        <v>337</v>
      </c>
      <c r="I147" s="43"/>
      <c r="J147" s="43">
        <v>1</v>
      </c>
      <c r="K147" s="43">
        <f>IF(Tabla1[[#This Row],[CANTIDAD ]]="","",Tabla1[[#This Row],[LLEGO REALMENTE]]-Tabla1[[#This Row],[CANTIDAD ]])</f>
        <v>0</v>
      </c>
      <c r="L147" s="43" t="str">
        <f>IF(Tabla1[[#This Row],[DIFERENCIA]]=0,"CORECTO",IF(Tabla1[[#This Row],[DIFERENCIA]]&lt;0,"FALTA",IF(Tabla1[[#This Row],[DIFERENCIA]]&gt;0,"DEMAS")))</f>
        <v>CORECTO</v>
      </c>
    </row>
    <row r="148" spans="2:12" x14ac:dyDescent="0.3">
      <c r="B148" s="43" t="s">
        <v>332</v>
      </c>
      <c r="C148" s="44">
        <v>45925</v>
      </c>
      <c r="D148" s="45" t="s">
        <v>339</v>
      </c>
      <c r="E148" s="43" t="s">
        <v>96</v>
      </c>
      <c r="F148" s="43">
        <v>1</v>
      </c>
      <c r="G148" s="43" t="s">
        <v>334</v>
      </c>
      <c r="H148" s="43" t="s">
        <v>337</v>
      </c>
      <c r="I148" s="43"/>
      <c r="J148" s="43">
        <v>1</v>
      </c>
      <c r="K148" s="43">
        <f>IF(Tabla1[[#This Row],[CANTIDAD ]]="","",Tabla1[[#This Row],[LLEGO REALMENTE]]-Tabla1[[#This Row],[CANTIDAD ]])</f>
        <v>0</v>
      </c>
      <c r="L148" s="43" t="str">
        <f>IF(Tabla1[[#This Row],[DIFERENCIA]]=0,"CORECTO",IF(Tabla1[[#This Row],[DIFERENCIA]]&lt;0,"FALTA",IF(Tabla1[[#This Row],[DIFERENCIA]]&gt;0,"DEMAS")))</f>
        <v>CORECTO</v>
      </c>
    </row>
    <row r="149" spans="2:12" x14ac:dyDescent="0.3">
      <c r="B149" s="43" t="s">
        <v>332</v>
      </c>
      <c r="C149" s="44">
        <v>45925</v>
      </c>
      <c r="D149" s="45" t="s">
        <v>111</v>
      </c>
      <c r="E149" s="43" t="s">
        <v>256</v>
      </c>
      <c r="F149" s="43">
        <v>15</v>
      </c>
      <c r="G149" s="43" t="s">
        <v>334</v>
      </c>
      <c r="H149" s="43" t="s">
        <v>337</v>
      </c>
      <c r="I149" s="43"/>
      <c r="J149" s="43"/>
      <c r="K149" s="43">
        <f>IF(Tabla1[[#This Row],[CANTIDAD ]]="","",Tabla1[[#This Row],[LLEGO REALMENTE]]-Tabla1[[#This Row],[CANTIDAD ]])</f>
        <v>-15</v>
      </c>
      <c r="L149" s="43" t="str">
        <f>IF(Tabla1[[#This Row],[DIFERENCIA]]=0,"CORECTO",IF(Tabla1[[#This Row],[DIFERENCIA]]&lt;0,"FALTA",IF(Tabla1[[#This Row],[DIFERENCIA]]&gt;0,"DEMAS")))</f>
        <v>FALTA</v>
      </c>
    </row>
    <row r="150" spans="2:12" x14ac:dyDescent="0.3">
      <c r="B150" s="43" t="s">
        <v>332</v>
      </c>
      <c r="C150" s="44">
        <v>45925</v>
      </c>
      <c r="D150" s="45" t="s">
        <v>340</v>
      </c>
      <c r="E150" s="43" t="s">
        <v>96</v>
      </c>
      <c r="F150" s="43">
        <v>1</v>
      </c>
      <c r="G150" s="43" t="s">
        <v>334</v>
      </c>
      <c r="H150" s="43" t="s">
        <v>337</v>
      </c>
      <c r="I150" s="43"/>
      <c r="J150" s="43">
        <v>1</v>
      </c>
      <c r="K150" s="43">
        <f>IF(Tabla1[[#This Row],[CANTIDAD ]]="","",Tabla1[[#This Row],[LLEGO REALMENTE]]-Tabla1[[#This Row],[CANTIDAD ]])</f>
        <v>0</v>
      </c>
      <c r="L150" s="43" t="str">
        <f>IF(Tabla1[[#This Row],[DIFERENCIA]]=0,"CORECTO",IF(Tabla1[[#This Row],[DIFERENCIA]]&lt;0,"FALTA",IF(Tabla1[[#This Row],[DIFERENCIA]]&gt;0,"DEMAS")))</f>
        <v>CORECTO</v>
      </c>
    </row>
    <row r="151" spans="2:12" x14ac:dyDescent="0.3">
      <c r="B151" s="43" t="s">
        <v>332</v>
      </c>
      <c r="C151" s="44">
        <v>45925</v>
      </c>
      <c r="D151" s="45" t="s">
        <v>341</v>
      </c>
      <c r="E151" s="43" t="s">
        <v>96</v>
      </c>
      <c r="F151" s="43">
        <v>1</v>
      </c>
      <c r="G151" s="43" t="s">
        <v>334</v>
      </c>
      <c r="H151" s="43" t="s">
        <v>337</v>
      </c>
      <c r="I151" s="43"/>
      <c r="J151" s="43">
        <v>1</v>
      </c>
      <c r="K151" s="43">
        <f>IF(Tabla1[[#This Row],[CANTIDAD ]]="","",Tabla1[[#This Row],[LLEGO REALMENTE]]-Tabla1[[#This Row],[CANTIDAD ]])</f>
        <v>0</v>
      </c>
      <c r="L151" s="43" t="str">
        <f>IF(Tabla1[[#This Row],[DIFERENCIA]]=0,"CORECTO",IF(Tabla1[[#This Row],[DIFERENCIA]]&lt;0,"FALTA",IF(Tabla1[[#This Row],[DIFERENCIA]]&gt;0,"DEMAS")))</f>
        <v>CORECTO</v>
      </c>
    </row>
    <row r="152" spans="2:12" x14ac:dyDescent="0.3">
      <c r="B152" s="43" t="s">
        <v>332</v>
      </c>
      <c r="C152" s="44">
        <v>45925</v>
      </c>
      <c r="D152" s="45" t="s">
        <v>130</v>
      </c>
      <c r="E152" s="43" t="s">
        <v>342</v>
      </c>
      <c r="F152" s="43">
        <v>2</v>
      </c>
      <c r="G152" s="43" t="s">
        <v>334</v>
      </c>
      <c r="H152" s="43" t="s">
        <v>337</v>
      </c>
      <c r="I152" s="43"/>
      <c r="J152" s="43">
        <v>2</v>
      </c>
      <c r="K152" s="43">
        <f>IF(Tabla1[[#This Row],[CANTIDAD ]]="","",Tabla1[[#This Row],[LLEGO REALMENTE]]-Tabla1[[#This Row],[CANTIDAD ]])</f>
        <v>0</v>
      </c>
      <c r="L152" s="43" t="str">
        <f>IF(Tabla1[[#This Row],[DIFERENCIA]]=0,"CORECTO",IF(Tabla1[[#This Row],[DIFERENCIA]]&lt;0,"FALTA",IF(Tabla1[[#This Row],[DIFERENCIA]]&gt;0,"DEMAS")))</f>
        <v>CORECTO</v>
      </c>
    </row>
    <row r="153" spans="2:12" x14ac:dyDescent="0.3">
      <c r="B153" s="43" t="s">
        <v>332</v>
      </c>
      <c r="C153" s="44">
        <v>45925</v>
      </c>
      <c r="D153" s="45" t="s">
        <v>343</v>
      </c>
      <c r="E153" s="43" t="s">
        <v>96</v>
      </c>
      <c r="F153" s="43">
        <v>2</v>
      </c>
      <c r="G153" s="43" t="s">
        <v>334</v>
      </c>
      <c r="H153" s="43" t="s">
        <v>337</v>
      </c>
      <c r="I153" s="43"/>
      <c r="J153" s="43"/>
      <c r="K153" s="43">
        <f>IF(Tabla1[[#This Row],[CANTIDAD ]]="","",Tabla1[[#This Row],[LLEGO REALMENTE]]-Tabla1[[#This Row],[CANTIDAD ]])</f>
        <v>-2</v>
      </c>
      <c r="L153" s="43" t="str">
        <f>IF(Tabla1[[#This Row],[DIFERENCIA]]=0,"CORECTO",IF(Tabla1[[#This Row],[DIFERENCIA]]&lt;0,"FALTA",IF(Tabla1[[#This Row],[DIFERENCIA]]&gt;0,"DEMAS")))</f>
        <v>FALTA</v>
      </c>
    </row>
    <row r="154" spans="2:12" x14ac:dyDescent="0.3">
      <c r="B154" s="43" t="s">
        <v>332</v>
      </c>
      <c r="C154" s="44">
        <v>45925</v>
      </c>
      <c r="D154" s="45" t="s">
        <v>344</v>
      </c>
      <c r="E154" s="43" t="s">
        <v>96</v>
      </c>
      <c r="F154" s="43">
        <v>5</v>
      </c>
      <c r="G154" s="43" t="s">
        <v>29</v>
      </c>
      <c r="H154" s="43" t="s">
        <v>122</v>
      </c>
      <c r="I154" s="43"/>
      <c r="J154" s="43"/>
      <c r="K154" s="43">
        <f>IF(Tabla1[[#This Row],[CANTIDAD ]]="","",Tabla1[[#This Row],[LLEGO REALMENTE]]-Tabla1[[#This Row],[CANTIDAD ]])</f>
        <v>-5</v>
      </c>
      <c r="L154" s="43" t="str">
        <f>IF(Tabla1[[#This Row],[DIFERENCIA]]=0,"CORECTO",IF(Tabla1[[#This Row],[DIFERENCIA]]&lt;0,"FALTA",IF(Tabla1[[#This Row],[DIFERENCIA]]&gt;0,"DEMAS")))</f>
        <v>FALTA</v>
      </c>
    </row>
    <row r="155" spans="2:12" x14ac:dyDescent="0.3">
      <c r="B155" s="43" t="s">
        <v>332</v>
      </c>
      <c r="C155" s="44">
        <v>45925</v>
      </c>
      <c r="D155" s="45" t="s">
        <v>345</v>
      </c>
      <c r="E155" s="43" t="s">
        <v>96</v>
      </c>
      <c r="F155" s="43">
        <v>5</v>
      </c>
      <c r="G155" s="43" t="s">
        <v>29</v>
      </c>
      <c r="H155" s="43" t="s">
        <v>122</v>
      </c>
      <c r="I155" s="43"/>
      <c r="J155" s="43"/>
      <c r="K155" s="43">
        <f>IF(Tabla1[[#This Row],[CANTIDAD ]]="","",Tabla1[[#This Row],[LLEGO REALMENTE]]-Tabla1[[#This Row],[CANTIDAD ]])</f>
        <v>-5</v>
      </c>
      <c r="L155" s="43" t="str">
        <f>IF(Tabla1[[#This Row],[DIFERENCIA]]=0,"CORECTO",IF(Tabla1[[#This Row],[DIFERENCIA]]&lt;0,"FALTA",IF(Tabla1[[#This Row],[DIFERENCIA]]&gt;0,"DEMAS")))</f>
        <v>FALTA</v>
      </c>
    </row>
    <row r="156" spans="2:12" x14ac:dyDescent="0.3">
      <c r="B156" s="43" t="s">
        <v>332</v>
      </c>
      <c r="C156" s="44">
        <v>45925</v>
      </c>
      <c r="D156" s="45" t="s">
        <v>170</v>
      </c>
      <c r="E156" s="43" t="s">
        <v>96</v>
      </c>
      <c r="F156" s="43">
        <v>50</v>
      </c>
      <c r="G156" s="43" t="s">
        <v>29</v>
      </c>
      <c r="H156" s="43" t="s">
        <v>122</v>
      </c>
      <c r="I156" s="43"/>
      <c r="J156" s="43"/>
      <c r="K156" s="43">
        <f>IF(Tabla1[[#This Row],[CANTIDAD ]]="","",Tabla1[[#This Row],[LLEGO REALMENTE]]-Tabla1[[#This Row],[CANTIDAD ]])</f>
        <v>-50</v>
      </c>
      <c r="L156" s="43" t="str">
        <f>IF(Tabla1[[#This Row],[DIFERENCIA]]=0,"CORECTO",IF(Tabla1[[#This Row],[DIFERENCIA]]&lt;0,"FALTA",IF(Tabla1[[#This Row],[DIFERENCIA]]&gt;0,"DEMAS")))</f>
        <v>FALTA</v>
      </c>
    </row>
    <row r="157" spans="2:12" x14ac:dyDescent="0.3">
      <c r="B157" s="43" t="s">
        <v>332</v>
      </c>
      <c r="C157" s="44">
        <v>45925</v>
      </c>
      <c r="D157" s="45" t="s">
        <v>346</v>
      </c>
      <c r="E157" s="43" t="s">
        <v>96</v>
      </c>
      <c r="F157" s="43">
        <v>1</v>
      </c>
      <c r="G157" s="43" t="s">
        <v>29</v>
      </c>
      <c r="H157" s="43" t="s">
        <v>122</v>
      </c>
      <c r="I157" s="43"/>
      <c r="J157" s="43"/>
      <c r="K157" s="43">
        <f>IF(Tabla1[[#This Row],[CANTIDAD ]]="","",Tabla1[[#This Row],[LLEGO REALMENTE]]-Tabla1[[#This Row],[CANTIDAD ]])</f>
        <v>-1</v>
      </c>
      <c r="L157" s="43" t="str">
        <f>IF(Tabla1[[#This Row],[DIFERENCIA]]=0,"CORECTO",IF(Tabla1[[#This Row],[DIFERENCIA]]&lt;0,"FALTA",IF(Tabla1[[#This Row],[DIFERENCIA]]&gt;0,"DEMAS")))</f>
        <v>FALTA</v>
      </c>
    </row>
    <row r="158" spans="2:12" x14ac:dyDescent="0.3">
      <c r="B158" s="43" t="s">
        <v>332</v>
      </c>
      <c r="C158" s="44">
        <v>45925</v>
      </c>
      <c r="D158" s="45" t="s">
        <v>173</v>
      </c>
      <c r="E158" s="43" t="s">
        <v>96</v>
      </c>
      <c r="F158" s="43">
        <v>5</v>
      </c>
      <c r="G158" s="43" t="s">
        <v>29</v>
      </c>
      <c r="H158" s="43" t="s">
        <v>122</v>
      </c>
      <c r="I158" s="43"/>
      <c r="J158" s="43">
        <v>3</v>
      </c>
      <c r="K158" s="43">
        <f>IF(Tabla1[[#This Row],[CANTIDAD ]]="","",Tabla1[[#This Row],[LLEGO REALMENTE]]-Tabla1[[#This Row],[CANTIDAD ]])</f>
        <v>-2</v>
      </c>
      <c r="L158" s="43" t="str">
        <f>IF(Tabla1[[#This Row],[DIFERENCIA]]=0,"CORECTO",IF(Tabla1[[#This Row],[DIFERENCIA]]&lt;0,"FALTA",IF(Tabla1[[#This Row],[DIFERENCIA]]&gt;0,"DEMAS")))</f>
        <v>FALTA</v>
      </c>
    </row>
    <row r="159" spans="2:12" x14ac:dyDescent="0.3">
      <c r="B159" s="43" t="s">
        <v>332</v>
      </c>
      <c r="C159" s="44">
        <v>45925</v>
      </c>
      <c r="D159" s="45" t="s">
        <v>169</v>
      </c>
      <c r="E159" s="43" t="s">
        <v>96</v>
      </c>
      <c r="F159" s="43">
        <v>3</v>
      </c>
      <c r="G159" s="43" t="s">
        <v>29</v>
      </c>
      <c r="H159" s="43" t="s">
        <v>122</v>
      </c>
      <c r="I159" s="43"/>
      <c r="J159" s="43"/>
      <c r="K159" s="43">
        <f>IF(Tabla1[[#This Row],[CANTIDAD ]]="","",Tabla1[[#This Row],[LLEGO REALMENTE]]-Tabla1[[#This Row],[CANTIDAD ]])</f>
        <v>-3</v>
      </c>
      <c r="L159" s="43" t="str">
        <f>IF(Tabla1[[#This Row],[DIFERENCIA]]=0,"CORECTO",IF(Tabla1[[#This Row],[DIFERENCIA]]&lt;0,"FALTA",IF(Tabla1[[#This Row],[DIFERENCIA]]&gt;0,"DEMAS")))</f>
        <v>FALTA</v>
      </c>
    </row>
    <row r="160" spans="2:12" ht="28.8" x14ac:dyDescent="0.3">
      <c r="B160" s="43" t="s">
        <v>332</v>
      </c>
      <c r="C160" s="44">
        <v>45925</v>
      </c>
      <c r="D160" s="45" t="s">
        <v>177</v>
      </c>
      <c r="E160" s="43" t="s">
        <v>96</v>
      </c>
      <c r="F160" s="43">
        <v>1</v>
      </c>
      <c r="G160" s="43" t="s">
        <v>29</v>
      </c>
      <c r="H160" s="43" t="s">
        <v>122</v>
      </c>
      <c r="I160" s="43"/>
      <c r="J160" s="43"/>
      <c r="K160" s="43">
        <f>IF(Tabla1[[#This Row],[CANTIDAD ]]="","",Tabla1[[#This Row],[LLEGO REALMENTE]]-Tabla1[[#This Row],[CANTIDAD ]])</f>
        <v>-1</v>
      </c>
      <c r="L160" s="43" t="str">
        <f>IF(Tabla1[[#This Row],[DIFERENCIA]]=0,"CORECTO",IF(Tabla1[[#This Row],[DIFERENCIA]]&lt;0,"FALTA",IF(Tabla1[[#This Row],[DIFERENCIA]]&gt;0,"DEMAS")))</f>
        <v>FALTA</v>
      </c>
    </row>
    <row r="161" spans="2:12" x14ac:dyDescent="0.3">
      <c r="B161" s="43" t="s">
        <v>332</v>
      </c>
      <c r="C161" s="44">
        <v>45925</v>
      </c>
      <c r="D161" s="45" t="s">
        <v>347</v>
      </c>
      <c r="E161" s="43" t="s">
        <v>96</v>
      </c>
      <c r="F161" s="43">
        <v>12</v>
      </c>
      <c r="G161" s="43" t="s">
        <v>29</v>
      </c>
      <c r="H161" s="43" t="s">
        <v>122</v>
      </c>
      <c r="I161" s="43"/>
      <c r="J161" s="43"/>
      <c r="K161" s="43">
        <f>IF(Tabla1[[#This Row],[CANTIDAD ]]="","",Tabla1[[#This Row],[LLEGO REALMENTE]]-Tabla1[[#This Row],[CANTIDAD ]])</f>
        <v>-12</v>
      </c>
      <c r="L161" s="43" t="str">
        <f>IF(Tabla1[[#This Row],[DIFERENCIA]]=0,"CORECTO",IF(Tabla1[[#This Row],[DIFERENCIA]]&lt;0,"FALTA",IF(Tabla1[[#This Row],[DIFERENCIA]]&gt;0,"DEMAS")))</f>
        <v>FALTA</v>
      </c>
    </row>
    <row r="162" spans="2:12" x14ac:dyDescent="0.3">
      <c r="B162" s="43" t="s">
        <v>332</v>
      </c>
      <c r="C162" s="44">
        <v>45925</v>
      </c>
      <c r="D162" s="45" t="s">
        <v>178</v>
      </c>
      <c r="E162" s="43" t="s">
        <v>96</v>
      </c>
      <c r="F162" s="43">
        <v>10</v>
      </c>
      <c r="G162" s="43" t="s">
        <v>29</v>
      </c>
      <c r="H162" s="43" t="s">
        <v>122</v>
      </c>
      <c r="I162" s="43"/>
      <c r="J162" s="43">
        <v>4</v>
      </c>
      <c r="K162" s="43">
        <f>IF(Tabla1[[#This Row],[CANTIDAD ]]="","",Tabla1[[#This Row],[LLEGO REALMENTE]]-Tabla1[[#This Row],[CANTIDAD ]])</f>
        <v>-6</v>
      </c>
      <c r="L162" s="43" t="str">
        <f>IF(Tabla1[[#This Row],[DIFERENCIA]]=0,"CORECTO",IF(Tabla1[[#This Row],[DIFERENCIA]]&lt;0,"FALTA",IF(Tabla1[[#This Row],[DIFERENCIA]]&gt;0,"DEMAS")))</f>
        <v>FALTA</v>
      </c>
    </row>
    <row r="163" spans="2:12" x14ac:dyDescent="0.3">
      <c r="B163" s="43" t="s">
        <v>332</v>
      </c>
      <c r="C163" s="44">
        <v>45925</v>
      </c>
      <c r="D163" s="45" t="s">
        <v>327</v>
      </c>
      <c r="E163" s="43" t="s">
        <v>167</v>
      </c>
      <c r="F163" s="43">
        <v>2</v>
      </c>
      <c r="G163" s="43" t="s">
        <v>329</v>
      </c>
      <c r="H163" s="43" t="s">
        <v>324</v>
      </c>
      <c r="I163" s="43"/>
      <c r="J163" s="43">
        <v>2</v>
      </c>
      <c r="K163" s="43">
        <f>IF(Tabla1[[#This Row],[CANTIDAD ]]="","",Tabla1[[#This Row],[LLEGO REALMENTE]]-Tabla1[[#This Row],[CANTIDAD ]])</f>
        <v>0</v>
      </c>
      <c r="L163" s="43" t="str">
        <f>IF(Tabla1[[#This Row],[DIFERENCIA]]=0,"CORECTO",IF(Tabla1[[#This Row],[DIFERENCIA]]&lt;0,"FALTA",IF(Tabla1[[#This Row],[DIFERENCIA]]&gt;0,"DEMAS")))</f>
        <v>CORECTO</v>
      </c>
    </row>
    <row r="164" spans="2:12" x14ac:dyDescent="0.3">
      <c r="B164" s="43" t="s">
        <v>332</v>
      </c>
      <c r="C164" s="44">
        <v>45925</v>
      </c>
      <c r="D164" s="45" t="s">
        <v>348</v>
      </c>
      <c r="E164" s="43" t="s">
        <v>96</v>
      </c>
      <c r="F164" s="43">
        <v>30</v>
      </c>
      <c r="G164" s="43" t="s">
        <v>349</v>
      </c>
      <c r="H164" s="43" t="s">
        <v>350</v>
      </c>
      <c r="I164" s="43"/>
      <c r="J164" s="43"/>
      <c r="K164" s="43">
        <f>IF(Tabla1[[#This Row],[CANTIDAD ]]="","",Tabla1[[#This Row],[LLEGO REALMENTE]]-Tabla1[[#This Row],[CANTIDAD ]])</f>
        <v>-30</v>
      </c>
      <c r="L164" s="43" t="str">
        <f>IF(Tabla1[[#This Row],[DIFERENCIA]]=0,"CORECTO",IF(Tabla1[[#This Row],[DIFERENCIA]]&lt;0,"FALTA",IF(Tabla1[[#This Row],[DIFERENCIA]]&gt;0,"DEMAS")))</f>
        <v>FALTA</v>
      </c>
    </row>
    <row r="165" spans="2:12" x14ac:dyDescent="0.3">
      <c r="B165" s="43" t="s">
        <v>332</v>
      </c>
      <c r="C165" s="44">
        <v>45925</v>
      </c>
      <c r="D165" s="45" t="s">
        <v>351</v>
      </c>
      <c r="E165" s="43" t="s">
        <v>96</v>
      </c>
      <c r="F165" s="43">
        <v>100</v>
      </c>
      <c r="G165" s="43" t="s">
        <v>349</v>
      </c>
      <c r="H165" s="43" t="s">
        <v>350</v>
      </c>
      <c r="I165" s="43"/>
      <c r="J165" s="43"/>
      <c r="K165" s="43">
        <f>IF(Tabla1[[#This Row],[CANTIDAD ]]="","",Tabla1[[#This Row],[LLEGO REALMENTE]]-Tabla1[[#This Row],[CANTIDAD ]])</f>
        <v>-100</v>
      </c>
      <c r="L165" s="43" t="str">
        <f>IF(Tabla1[[#This Row],[DIFERENCIA]]=0,"CORECTO",IF(Tabla1[[#This Row],[DIFERENCIA]]&lt;0,"FALTA",IF(Tabla1[[#This Row],[DIFERENCIA]]&gt;0,"DEMAS")))</f>
        <v>FALTA</v>
      </c>
    </row>
    <row r="166" spans="2:12" x14ac:dyDescent="0.3">
      <c r="B166" s="43" t="s">
        <v>332</v>
      </c>
      <c r="C166" s="44">
        <v>45925</v>
      </c>
      <c r="D166" s="45" t="s">
        <v>352</v>
      </c>
      <c r="E166" s="43" t="s">
        <v>96</v>
      </c>
      <c r="F166" s="43">
        <v>50</v>
      </c>
      <c r="G166" s="43" t="s">
        <v>349</v>
      </c>
      <c r="H166" s="43" t="s">
        <v>350</v>
      </c>
      <c r="I166" s="43"/>
      <c r="J166" s="43"/>
      <c r="K166" s="43">
        <f>IF(Tabla1[[#This Row],[CANTIDAD ]]="","",Tabla1[[#This Row],[LLEGO REALMENTE]]-Tabla1[[#This Row],[CANTIDAD ]])</f>
        <v>-50</v>
      </c>
      <c r="L166" s="43" t="str">
        <f>IF(Tabla1[[#This Row],[DIFERENCIA]]=0,"CORECTO",IF(Tabla1[[#This Row],[DIFERENCIA]]&lt;0,"FALTA",IF(Tabla1[[#This Row],[DIFERENCIA]]&gt;0,"DEMAS")))</f>
        <v>FALTA</v>
      </c>
    </row>
    <row r="167" spans="2:12" x14ac:dyDescent="0.3">
      <c r="B167" s="43" t="s">
        <v>332</v>
      </c>
      <c r="C167" s="44">
        <v>45925</v>
      </c>
      <c r="D167" s="45" t="s">
        <v>353</v>
      </c>
      <c r="E167" s="43" t="s">
        <v>96</v>
      </c>
      <c r="F167" s="43">
        <v>8</v>
      </c>
      <c r="G167" s="43" t="s">
        <v>349</v>
      </c>
      <c r="H167" s="43" t="s">
        <v>350</v>
      </c>
      <c r="I167" s="43"/>
      <c r="J167" s="43"/>
      <c r="K167" s="43">
        <f>IF(Tabla1[[#This Row],[CANTIDAD ]]="","",Tabla1[[#This Row],[LLEGO REALMENTE]]-Tabla1[[#This Row],[CANTIDAD ]])</f>
        <v>-8</v>
      </c>
      <c r="L167" s="43" t="str">
        <f>IF(Tabla1[[#This Row],[DIFERENCIA]]=0,"CORECTO",IF(Tabla1[[#This Row],[DIFERENCIA]]&lt;0,"FALTA",IF(Tabla1[[#This Row],[DIFERENCIA]]&gt;0,"DEMAS")))</f>
        <v>FALTA</v>
      </c>
    </row>
    <row r="168" spans="2:12" x14ac:dyDescent="0.3">
      <c r="B168" s="43" t="s">
        <v>332</v>
      </c>
      <c r="C168" s="44">
        <v>45925</v>
      </c>
      <c r="D168" s="45" t="s">
        <v>354</v>
      </c>
      <c r="E168" s="43" t="s">
        <v>355</v>
      </c>
      <c r="F168" s="43">
        <v>2</v>
      </c>
      <c r="G168" s="43" t="s">
        <v>349</v>
      </c>
      <c r="H168" s="43" t="s">
        <v>350</v>
      </c>
      <c r="I168" s="43"/>
      <c r="J168" s="43">
        <v>2</v>
      </c>
      <c r="K168" s="43">
        <f>IF(Tabla1[[#This Row],[CANTIDAD ]]="","",Tabla1[[#This Row],[LLEGO REALMENTE]]-Tabla1[[#This Row],[CANTIDAD ]])</f>
        <v>0</v>
      </c>
      <c r="L168" s="43" t="str">
        <f>IF(Tabla1[[#This Row],[DIFERENCIA]]=0,"CORECTO",IF(Tabla1[[#This Row],[DIFERENCIA]]&lt;0,"FALTA",IF(Tabla1[[#This Row],[DIFERENCIA]]&gt;0,"DEMAS")))</f>
        <v>CORECTO</v>
      </c>
    </row>
    <row r="169" spans="2:12" x14ac:dyDescent="0.3">
      <c r="B169" s="43" t="s">
        <v>332</v>
      </c>
      <c r="C169" s="44">
        <v>45925</v>
      </c>
      <c r="D169" s="45" t="s">
        <v>356</v>
      </c>
      <c r="E169" s="43" t="s">
        <v>96</v>
      </c>
      <c r="F169" s="43">
        <v>4</v>
      </c>
      <c r="G169" s="43" t="s">
        <v>349</v>
      </c>
      <c r="H169" s="43" t="s">
        <v>350</v>
      </c>
      <c r="I169" s="43"/>
      <c r="J169" s="43">
        <v>10</v>
      </c>
      <c r="K169" s="43">
        <f>IF(Tabla1[[#This Row],[CANTIDAD ]]="","",Tabla1[[#This Row],[LLEGO REALMENTE]]-Tabla1[[#This Row],[CANTIDAD ]])</f>
        <v>6</v>
      </c>
      <c r="L169" s="43" t="str">
        <f>IF(Tabla1[[#This Row],[DIFERENCIA]]=0,"CORECTO",IF(Tabla1[[#This Row],[DIFERENCIA]]&lt;0,"FALTA",IF(Tabla1[[#This Row],[DIFERENCIA]]&gt;0,"DEMAS")))</f>
        <v>DEMAS</v>
      </c>
    </row>
    <row r="170" spans="2:12" x14ac:dyDescent="0.3">
      <c r="B170" s="43" t="s">
        <v>332</v>
      </c>
      <c r="C170" s="44">
        <v>45925</v>
      </c>
      <c r="D170" s="45" t="s">
        <v>357</v>
      </c>
      <c r="E170" s="43" t="s">
        <v>96</v>
      </c>
      <c r="F170" s="43">
        <v>20</v>
      </c>
      <c r="G170" s="43" t="s">
        <v>349</v>
      </c>
      <c r="H170" s="43" t="s">
        <v>350</v>
      </c>
      <c r="I170" s="43"/>
      <c r="J170" s="43"/>
      <c r="K170" s="43">
        <f>IF(Tabla1[[#This Row],[CANTIDAD ]]="","",Tabla1[[#This Row],[LLEGO REALMENTE]]-Tabla1[[#This Row],[CANTIDAD ]])</f>
        <v>-20</v>
      </c>
      <c r="L170" s="43" t="str">
        <f>IF(Tabla1[[#This Row],[DIFERENCIA]]=0,"CORECTO",IF(Tabla1[[#This Row],[DIFERENCIA]]&lt;0,"FALTA",IF(Tabla1[[#This Row],[DIFERENCIA]]&gt;0,"DEMAS")))</f>
        <v>FALTA</v>
      </c>
    </row>
    <row r="171" spans="2:12" x14ac:dyDescent="0.3">
      <c r="B171" s="43" t="s">
        <v>332</v>
      </c>
      <c r="C171" s="44">
        <v>45925</v>
      </c>
      <c r="D171" s="45" t="s">
        <v>358</v>
      </c>
      <c r="E171" s="43" t="s">
        <v>96</v>
      </c>
      <c r="F171" s="43">
        <v>6</v>
      </c>
      <c r="G171" s="43" t="s">
        <v>349</v>
      </c>
      <c r="H171" s="43" t="s">
        <v>350</v>
      </c>
      <c r="I171" s="43"/>
      <c r="J171" s="43"/>
      <c r="K171" s="43">
        <f>IF(Tabla1[[#This Row],[CANTIDAD ]]="","",Tabla1[[#This Row],[LLEGO REALMENTE]]-Tabla1[[#This Row],[CANTIDAD ]])</f>
        <v>-6</v>
      </c>
      <c r="L171" s="43" t="str">
        <f>IF(Tabla1[[#This Row],[DIFERENCIA]]=0,"CORECTO",IF(Tabla1[[#This Row],[DIFERENCIA]]&lt;0,"FALTA",IF(Tabla1[[#This Row],[DIFERENCIA]]&gt;0,"DEMAS")))</f>
        <v>FALTA</v>
      </c>
    </row>
    <row r="172" spans="2:12" x14ac:dyDescent="0.3">
      <c r="B172" s="43" t="s">
        <v>332</v>
      </c>
      <c r="C172" s="44">
        <v>45925</v>
      </c>
      <c r="D172" s="45" t="s">
        <v>359</v>
      </c>
      <c r="E172" s="43" t="s">
        <v>96</v>
      </c>
      <c r="F172" s="43">
        <v>4</v>
      </c>
      <c r="G172" s="43" t="s">
        <v>349</v>
      </c>
      <c r="H172" s="43" t="s">
        <v>350</v>
      </c>
      <c r="I172" s="43"/>
      <c r="J172" s="43"/>
      <c r="K172" s="43">
        <f>IF(Tabla1[[#This Row],[CANTIDAD ]]="","",Tabla1[[#This Row],[LLEGO REALMENTE]]-Tabla1[[#This Row],[CANTIDAD ]])</f>
        <v>-4</v>
      </c>
      <c r="L172" s="43" t="str">
        <f>IF(Tabla1[[#This Row],[DIFERENCIA]]=0,"CORECTO",IF(Tabla1[[#This Row],[DIFERENCIA]]&lt;0,"FALTA",IF(Tabla1[[#This Row],[DIFERENCIA]]&gt;0,"DEMAS")))</f>
        <v>FALTA</v>
      </c>
    </row>
    <row r="173" spans="2:12" x14ac:dyDescent="0.3">
      <c r="B173" s="43" t="s">
        <v>332</v>
      </c>
      <c r="C173" s="44">
        <v>45925</v>
      </c>
      <c r="D173" s="45" t="s">
        <v>360</v>
      </c>
      <c r="E173" s="43" t="s">
        <v>96</v>
      </c>
      <c r="F173" s="43">
        <v>1</v>
      </c>
      <c r="G173" s="43" t="s">
        <v>349</v>
      </c>
      <c r="H173" s="43" t="s">
        <v>350</v>
      </c>
      <c r="I173" s="43"/>
      <c r="J173" s="43"/>
      <c r="K173" s="43">
        <f>IF(Tabla1[[#This Row],[CANTIDAD ]]="","",Tabla1[[#This Row],[LLEGO REALMENTE]]-Tabla1[[#This Row],[CANTIDAD ]])</f>
        <v>-1</v>
      </c>
      <c r="L173" s="43" t="str">
        <f>IF(Tabla1[[#This Row],[DIFERENCIA]]=0,"CORECTO",IF(Tabla1[[#This Row],[DIFERENCIA]]&lt;0,"FALTA",IF(Tabla1[[#This Row],[DIFERENCIA]]&gt;0,"DEMAS")))</f>
        <v>FALTA</v>
      </c>
    </row>
    <row r="174" spans="2:12" x14ac:dyDescent="0.3">
      <c r="B174" s="43" t="s">
        <v>332</v>
      </c>
      <c r="C174" s="44">
        <v>45925</v>
      </c>
      <c r="D174" s="45" t="s">
        <v>361</v>
      </c>
      <c r="E174" s="43" t="s">
        <v>96</v>
      </c>
      <c r="F174" s="43">
        <v>4</v>
      </c>
      <c r="G174" s="43" t="s">
        <v>349</v>
      </c>
      <c r="H174" s="43" t="s">
        <v>350</v>
      </c>
      <c r="I174" s="43"/>
      <c r="J174" s="43"/>
      <c r="K174" s="43">
        <f>IF(Tabla1[[#This Row],[CANTIDAD ]]="","",Tabla1[[#This Row],[LLEGO REALMENTE]]-Tabla1[[#This Row],[CANTIDAD ]])</f>
        <v>-4</v>
      </c>
      <c r="L174" s="43" t="str">
        <f>IF(Tabla1[[#This Row],[DIFERENCIA]]=0,"CORECTO",IF(Tabla1[[#This Row],[DIFERENCIA]]&lt;0,"FALTA",IF(Tabla1[[#This Row],[DIFERENCIA]]&gt;0,"DEMAS")))</f>
        <v>FALTA</v>
      </c>
    </row>
    <row r="175" spans="2:12" x14ac:dyDescent="0.3">
      <c r="B175" s="43" t="s">
        <v>332</v>
      </c>
      <c r="C175" s="44">
        <v>45925</v>
      </c>
      <c r="D175" s="45" t="s">
        <v>362</v>
      </c>
      <c r="E175" s="43" t="s">
        <v>96</v>
      </c>
      <c r="F175" s="43">
        <v>2</v>
      </c>
      <c r="G175" s="43" t="s">
        <v>349</v>
      </c>
      <c r="H175" s="43" t="s">
        <v>350</v>
      </c>
      <c r="I175" s="43"/>
      <c r="J175" s="43"/>
      <c r="K175" s="43">
        <f>IF(Tabla1[[#This Row],[CANTIDAD ]]="","",Tabla1[[#This Row],[LLEGO REALMENTE]]-Tabla1[[#This Row],[CANTIDAD ]])</f>
        <v>-2</v>
      </c>
      <c r="L175" s="43" t="str">
        <f>IF(Tabla1[[#This Row],[DIFERENCIA]]=0,"CORECTO",IF(Tabla1[[#This Row],[DIFERENCIA]]&lt;0,"FALTA",IF(Tabla1[[#This Row],[DIFERENCIA]]&gt;0,"DEMAS")))</f>
        <v>FALTA</v>
      </c>
    </row>
    <row r="176" spans="2:12" x14ac:dyDescent="0.3">
      <c r="B176" s="43" t="s">
        <v>332</v>
      </c>
      <c r="C176" s="44">
        <v>45925</v>
      </c>
      <c r="D176" s="45" t="s">
        <v>363</v>
      </c>
      <c r="E176" s="43" t="s">
        <v>96</v>
      </c>
      <c r="F176" s="43"/>
      <c r="G176" s="43"/>
      <c r="H176" s="43" t="s">
        <v>204</v>
      </c>
      <c r="I176" s="43"/>
      <c r="J176" s="43"/>
      <c r="K176" s="43" t="str">
        <f>IF(Tabla1[[#This Row],[CANTIDAD ]]="","",Tabla1[[#This Row],[LLEGO REALMENTE]]-Tabla1[[#This Row],[CANTIDAD ]])</f>
        <v/>
      </c>
      <c r="L176" s="43" t="str">
        <f>IF(Tabla1[[#This Row],[DIFERENCIA]]=0,"CORECTO",IF(Tabla1[[#This Row],[DIFERENCIA]]&lt;0,"FALTA",IF(Tabla1[[#This Row],[DIFERENCIA]]&gt;0,"DEMAS")))</f>
        <v>DEMAS</v>
      </c>
    </row>
    <row r="177" spans="2:12" x14ac:dyDescent="0.3">
      <c r="B177" s="43" t="s">
        <v>332</v>
      </c>
      <c r="C177" s="44">
        <v>45925</v>
      </c>
      <c r="D177" s="45" t="s">
        <v>364</v>
      </c>
      <c r="E177" s="43" t="s">
        <v>96</v>
      </c>
      <c r="F177" s="43"/>
      <c r="G177" s="43"/>
      <c r="H177" s="43" t="s">
        <v>204</v>
      </c>
      <c r="I177" s="43"/>
      <c r="J177" s="43"/>
      <c r="K177" s="43" t="str">
        <f>IF(Tabla1[[#This Row],[CANTIDAD ]]="","",Tabla1[[#This Row],[LLEGO REALMENTE]]-Tabla1[[#This Row],[CANTIDAD ]])</f>
        <v/>
      </c>
      <c r="L177" s="43" t="str">
        <f>IF(Tabla1[[#This Row],[DIFERENCIA]]=0,"CORECTO",IF(Tabla1[[#This Row],[DIFERENCIA]]&lt;0,"FALTA",IF(Tabla1[[#This Row],[DIFERENCIA]]&gt;0,"DEMAS")))</f>
        <v>DEMAS</v>
      </c>
    </row>
    <row r="178" spans="2:12" x14ac:dyDescent="0.3">
      <c r="B178" s="43" t="s">
        <v>332</v>
      </c>
      <c r="C178" s="44">
        <v>45925</v>
      </c>
      <c r="D178" s="45" t="s">
        <v>365</v>
      </c>
      <c r="E178" s="43" t="s">
        <v>96</v>
      </c>
      <c r="F178" s="43">
        <v>1</v>
      </c>
      <c r="G178" s="43"/>
      <c r="H178" s="43" t="s">
        <v>204</v>
      </c>
      <c r="I178" s="43"/>
      <c r="J178" s="43"/>
      <c r="K178" s="43">
        <f>IF(Tabla1[[#This Row],[CANTIDAD ]]="","",Tabla1[[#This Row],[LLEGO REALMENTE]]-Tabla1[[#This Row],[CANTIDAD ]])</f>
        <v>-1</v>
      </c>
      <c r="L178" s="43" t="str">
        <f>IF(Tabla1[[#This Row],[DIFERENCIA]]=0,"CORECTO",IF(Tabla1[[#This Row],[DIFERENCIA]]&lt;0,"FALTA",IF(Tabla1[[#This Row],[DIFERENCIA]]&gt;0,"DEMAS")))</f>
        <v>FALTA</v>
      </c>
    </row>
    <row r="179" spans="2:12" x14ac:dyDescent="0.3">
      <c r="B179" s="43" t="s">
        <v>367</v>
      </c>
      <c r="C179" s="44">
        <v>45933</v>
      </c>
      <c r="D179" s="126" t="s">
        <v>368</v>
      </c>
      <c r="E179" s="43" t="s">
        <v>167</v>
      </c>
      <c r="F179" s="43">
        <v>1</v>
      </c>
      <c r="G179" s="43" t="s">
        <v>29</v>
      </c>
      <c r="H179" s="43" t="s">
        <v>122</v>
      </c>
      <c r="I179" s="43"/>
      <c r="J179" s="43"/>
      <c r="K179" s="43">
        <f>IF(Tabla1[[#This Row],[CANTIDAD ]]="","",Tabla1[[#This Row],[LLEGO REALMENTE]]-Tabla1[[#This Row],[CANTIDAD ]])</f>
        <v>-1</v>
      </c>
      <c r="L179" s="43" t="str">
        <f>IF(Tabla1[[#This Row],[DIFERENCIA]]=0,"CORECTO",IF(Tabla1[[#This Row],[DIFERENCIA]]&lt;0,"FALTA",IF(Tabla1[[#This Row],[DIFERENCIA]]&gt;0,"DEMAS")))</f>
        <v>FALTA</v>
      </c>
    </row>
    <row r="180" spans="2:12" x14ac:dyDescent="0.3">
      <c r="B180" s="43" t="s">
        <v>367</v>
      </c>
      <c r="C180" s="44">
        <v>45933</v>
      </c>
      <c r="D180" s="127" t="s">
        <v>369</v>
      </c>
      <c r="E180" s="43" t="s">
        <v>167</v>
      </c>
      <c r="F180" s="43">
        <v>1</v>
      </c>
      <c r="G180" s="43" t="s">
        <v>29</v>
      </c>
      <c r="H180" s="43" t="s">
        <v>122</v>
      </c>
      <c r="I180" s="43"/>
      <c r="J180" s="43"/>
      <c r="K180" s="43">
        <f>IF(Tabla1[[#This Row],[CANTIDAD ]]="","",Tabla1[[#This Row],[LLEGO REALMENTE]]-Tabla1[[#This Row],[CANTIDAD ]])</f>
        <v>-1</v>
      </c>
      <c r="L180" s="43" t="str">
        <f>IF(Tabla1[[#This Row],[DIFERENCIA]]=0,"CORECTO",IF(Tabla1[[#This Row],[DIFERENCIA]]&lt;0,"FALTA",IF(Tabla1[[#This Row],[DIFERENCIA]]&gt;0,"DEMAS")))</f>
        <v>FALTA</v>
      </c>
    </row>
    <row r="181" spans="2:12" x14ac:dyDescent="0.3">
      <c r="B181" s="43" t="s">
        <v>367</v>
      </c>
      <c r="C181" s="44">
        <v>45933</v>
      </c>
      <c r="D181" s="127" t="s">
        <v>370</v>
      </c>
      <c r="E181" s="43" t="s">
        <v>96</v>
      </c>
      <c r="F181" s="43">
        <v>3</v>
      </c>
      <c r="G181" s="43" t="s">
        <v>29</v>
      </c>
      <c r="H181" s="43" t="s">
        <v>122</v>
      </c>
      <c r="I181" s="43"/>
      <c r="J181" s="43"/>
      <c r="K181" s="43">
        <f>IF(Tabla1[[#This Row],[CANTIDAD ]]="","",Tabla1[[#This Row],[LLEGO REALMENTE]]-Tabla1[[#This Row],[CANTIDAD ]])</f>
        <v>-3</v>
      </c>
      <c r="L181" s="43" t="str">
        <f>IF(Tabla1[[#This Row],[DIFERENCIA]]=0,"CORECTO",IF(Tabla1[[#This Row],[DIFERENCIA]]&lt;0,"FALTA",IF(Tabla1[[#This Row],[DIFERENCIA]]&gt;0,"DEMAS")))</f>
        <v>FALTA</v>
      </c>
    </row>
    <row r="182" spans="2:12" x14ac:dyDescent="0.3">
      <c r="B182" s="43" t="s">
        <v>367</v>
      </c>
      <c r="C182" s="44">
        <v>45933</v>
      </c>
      <c r="D182" s="128" t="s">
        <v>371</v>
      </c>
      <c r="E182" s="43" t="s">
        <v>96</v>
      </c>
      <c r="F182" s="43">
        <v>12</v>
      </c>
      <c r="G182" s="43" t="s">
        <v>29</v>
      </c>
      <c r="H182" s="43" t="s">
        <v>122</v>
      </c>
      <c r="I182" s="43"/>
      <c r="J182" s="43"/>
      <c r="K182" s="43">
        <f>IF(Tabla1[[#This Row],[CANTIDAD ]]="","",Tabla1[[#This Row],[LLEGO REALMENTE]]-Tabla1[[#This Row],[CANTIDAD ]])</f>
        <v>-12</v>
      </c>
      <c r="L182" s="43" t="str">
        <f>IF(Tabla1[[#This Row],[DIFERENCIA]]=0,"CORECTO",IF(Tabla1[[#This Row],[DIFERENCIA]]&lt;0,"FALTA",IF(Tabla1[[#This Row],[DIFERENCIA]]&gt;0,"DEMAS")))</f>
        <v>FALTA</v>
      </c>
    </row>
    <row r="183" spans="2:12" x14ac:dyDescent="0.3">
      <c r="B183" s="43" t="s">
        <v>395</v>
      </c>
      <c r="C183" s="44">
        <v>45933</v>
      </c>
      <c r="D183" s="128" t="s">
        <v>176</v>
      </c>
      <c r="E183" s="43" t="s">
        <v>96</v>
      </c>
      <c r="F183" s="43">
        <v>4</v>
      </c>
      <c r="G183" s="43" t="s">
        <v>29</v>
      </c>
      <c r="H183" s="43" t="s">
        <v>122</v>
      </c>
      <c r="I183" s="43"/>
      <c r="J183" s="43"/>
      <c r="K183" s="43">
        <f>IF(Tabla1[[#This Row],[CANTIDAD ]]="","",Tabla1[[#This Row],[LLEGO REALMENTE]]-Tabla1[[#This Row],[CANTIDAD ]])</f>
        <v>-4</v>
      </c>
      <c r="L183" s="43" t="str">
        <f>IF(Tabla1[[#This Row],[DIFERENCIA]]=0,"CORECTO",IF(Tabla1[[#This Row],[DIFERENCIA]]&lt;0,"FALTA",IF(Tabla1[[#This Row],[DIFERENCIA]]&gt;0,"DEMAS")))</f>
        <v>FALTA</v>
      </c>
    </row>
    <row r="184" spans="2:12" x14ac:dyDescent="0.3">
      <c r="B184" s="43" t="s">
        <v>367</v>
      </c>
      <c r="C184" s="44">
        <v>45933</v>
      </c>
      <c r="D184" s="129" t="s">
        <v>372</v>
      </c>
      <c r="E184" s="43" t="s">
        <v>96</v>
      </c>
      <c r="F184" s="43">
        <v>3</v>
      </c>
      <c r="G184" s="43" t="s">
        <v>29</v>
      </c>
      <c r="H184" s="43" t="s">
        <v>122</v>
      </c>
      <c r="I184" s="43"/>
      <c r="J184" s="43"/>
      <c r="K184" s="43">
        <f>IF(Tabla1[[#This Row],[CANTIDAD ]]="","",Tabla1[[#This Row],[LLEGO REALMENTE]]-Tabla1[[#This Row],[CANTIDAD ]])</f>
        <v>-3</v>
      </c>
      <c r="L184" s="43" t="str">
        <f>IF(Tabla1[[#This Row],[DIFERENCIA]]=0,"CORECTO",IF(Tabla1[[#This Row],[DIFERENCIA]]&lt;0,"FALTA",IF(Tabla1[[#This Row],[DIFERENCIA]]&gt;0,"DEMAS")))</f>
        <v>FALTA</v>
      </c>
    </row>
    <row r="185" spans="2:12" x14ac:dyDescent="0.3">
      <c r="B185" s="43" t="s">
        <v>367</v>
      </c>
      <c r="C185" s="44">
        <v>45933</v>
      </c>
      <c r="D185" s="129" t="s">
        <v>373</v>
      </c>
      <c r="E185" s="43" t="s">
        <v>342</v>
      </c>
      <c r="F185" s="43">
        <v>1</v>
      </c>
      <c r="G185" s="43" t="s">
        <v>29</v>
      </c>
      <c r="H185" s="43" t="s">
        <v>122</v>
      </c>
      <c r="I185" s="43"/>
      <c r="J185" s="43"/>
      <c r="K185" s="43">
        <f>IF(Tabla1[[#This Row],[CANTIDAD ]]="","",Tabla1[[#This Row],[LLEGO REALMENTE]]-Tabla1[[#This Row],[CANTIDAD ]])</f>
        <v>-1</v>
      </c>
      <c r="L185" s="43" t="str">
        <f>IF(Tabla1[[#This Row],[DIFERENCIA]]=0,"CORECTO",IF(Tabla1[[#This Row],[DIFERENCIA]]&lt;0,"FALTA",IF(Tabla1[[#This Row],[DIFERENCIA]]&gt;0,"DEMAS")))</f>
        <v>FALTA</v>
      </c>
    </row>
    <row r="186" spans="2:12" x14ac:dyDescent="0.3">
      <c r="B186" s="43" t="s">
        <v>367</v>
      </c>
      <c r="C186" s="44">
        <v>45933</v>
      </c>
      <c r="D186" s="129" t="s">
        <v>374</v>
      </c>
      <c r="E186" s="43" t="s">
        <v>167</v>
      </c>
      <c r="F186" s="43">
        <v>10</v>
      </c>
      <c r="G186" s="43" t="s">
        <v>29</v>
      </c>
      <c r="H186" s="43" t="s">
        <v>122</v>
      </c>
      <c r="I186" s="43"/>
      <c r="J186" s="43"/>
      <c r="K186" s="43">
        <f>IF(Tabla1[[#This Row],[CANTIDAD ]]="","",Tabla1[[#This Row],[LLEGO REALMENTE]]-Tabla1[[#This Row],[CANTIDAD ]])</f>
        <v>-10</v>
      </c>
      <c r="L186" s="43" t="str">
        <f>IF(Tabla1[[#This Row],[DIFERENCIA]]=0,"CORECTO",IF(Tabla1[[#This Row],[DIFERENCIA]]&lt;0,"FALTA",IF(Tabla1[[#This Row],[DIFERENCIA]]&gt;0,"DEMAS")))</f>
        <v>FALTA</v>
      </c>
    </row>
    <row r="187" spans="2:12" ht="28.8" x14ac:dyDescent="0.3">
      <c r="B187" s="43" t="s">
        <v>367</v>
      </c>
      <c r="C187" s="44">
        <v>45933</v>
      </c>
      <c r="D187" s="45" t="s">
        <v>375</v>
      </c>
      <c r="E187" s="43" t="s">
        <v>96</v>
      </c>
      <c r="F187" s="43">
        <v>1</v>
      </c>
      <c r="G187" s="43" t="s">
        <v>73</v>
      </c>
      <c r="H187" s="43" t="s">
        <v>376</v>
      </c>
      <c r="I187" s="43" t="s">
        <v>377</v>
      </c>
      <c r="J187" s="43"/>
      <c r="K187" s="43">
        <f>IF(Tabla1[[#This Row],[CANTIDAD ]]="","",Tabla1[[#This Row],[LLEGO REALMENTE]]-Tabla1[[#This Row],[CANTIDAD ]])</f>
        <v>-1</v>
      </c>
      <c r="L187" s="43" t="str">
        <f>IF(Tabla1[[#This Row],[DIFERENCIA]]=0,"CORECTO",IF(Tabla1[[#This Row],[DIFERENCIA]]&lt;0,"FALTA",IF(Tabla1[[#This Row],[DIFERENCIA]]&gt;0,"DEMAS")))</f>
        <v>FALTA</v>
      </c>
    </row>
    <row r="188" spans="2:12" x14ac:dyDescent="0.3">
      <c r="B188" s="43" t="s">
        <v>367</v>
      </c>
      <c r="C188" s="44">
        <v>45933</v>
      </c>
      <c r="D188" s="45" t="s">
        <v>378</v>
      </c>
      <c r="E188" s="43" t="s">
        <v>96</v>
      </c>
      <c r="F188" s="43">
        <v>100</v>
      </c>
      <c r="G188" s="43" t="s">
        <v>379</v>
      </c>
      <c r="H188" s="43" t="s">
        <v>204</v>
      </c>
      <c r="I188" s="43" t="s">
        <v>384</v>
      </c>
      <c r="J188" s="43"/>
      <c r="K188" s="43">
        <f>IF(Tabla1[[#This Row],[CANTIDAD ]]="","",Tabla1[[#This Row],[LLEGO REALMENTE]]-Tabla1[[#This Row],[CANTIDAD ]])</f>
        <v>-100</v>
      </c>
      <c r="L188" s="43" t="str">
        <f>IF(Tabla1[[#This Row],[DIFERENCIA]]=0,"CORECTO",IF(Tabla1[[#This Row],[DIFERENCIA]]&lt;0,"FALTA",IF(Tabla1[[#This Row],[DIFERENCIA]]&gt;0,"DEMAS")))</f>
        <v>FALTA</v>
      </c>
    </row>
    <row r="189" spans="2:12" x14ac:dyDescent="0.3">
      <c r="B189" s="43" t="s">
        <v>367</v>
      </c>
      <c r="C189" s="44">
        <v>45933</v>
      </c>
      <c r="D189" s="45" t="s">
        <v>380</v>
      </c>
      <c r="E189" s="43" t="s">
        <v>96</v>
      </c>
      <c r="F189" s="43">
        <v>15</v>
      </c>
      <c r="G189" s="43" t="s">
        <v>379</v>
      </c>
      <c r="H189" s="43" t="s">
        <v>204</v>
      </c>
      <c r="I189" s="43" t="s">
        <v>384</v>
      </c>
      <c r="J189" s="43"/>
      <c r="K189" s="43">
        <f>IF(Tabla1[[#This Row],[CANTIDAD ]]="","",Tabla1[[#This Row],[LLEGO REALMENTE]]-Tabla1[[#This Row],[CANTIDAD ]])</f>
        <v>-15</v>
      </c>
      <c r="L189" s="43" t="str">
        <f>IF(Tabla1[[#This Row],[DIFERENCIA]]=0,"CORECTO",IF(Tabla1[[#This Row],[DIFERENCIA]]&lt;0,"FALTA",IF(Tabla1[[#This Row],[DIFERENCIA]]&gt;0,"DEMAS")))</f>
        <v>FALTA</v>
      </c>
    </row>
    <row r="190" spans="2:12" x14ac:dyDescent="0.3">
      <c r="B190" s="43" t="s">
        <v>367</v>
      </c>
      <c r="C190" s="44">
        <v>45933</v>
      </c>
      <c r="D190" s="45" t="s">
        <v>381</v>
      </c>
      <c r="E190" s="43" t="s">
        <v>96</v>
      </c>
      <c r="F190" s="43">
        <v>60</v>
      </c>
      <c r="G190" s="43" t="s">
        <v>379</v>
      </c>
      <c r="H190" s="43" t="s">
        <v>204</v>
      </c>
      <c r="I190" s="43" t="s">
        <v>384</v>
      </c>
      <c r="J190" s="43"/>
      <c r="K190" s="43">
        <f>IF(Tabla1[[#This Row],[CANTIDAD ]]="","",Tabla1[[#This Row],[LLEGO REALMENTE]]-Tabla1[[#This Row],[CANTIDAD ]])</f>
        <v>-60</v>
      </c>
      <c r="L190" s="43" t="str">
        <f>IF(Tabla1[[#This Row],[DIFERENCIA]]=0,"CORECTO",IF(Tabla1[[#This Row],[DIFERENCIA]]&lt;0,"FALTA",IF(Tabla1[[#This Row],[DIFERENCIA]]&gt;0,"DEMAS")))</f>
        <v>FALTA</v>
      </c>
    </row>
    <row r="191" spans="2:12" ht="28.8" x14ac:dyDescent="0.3">
      <c r="B191" s="43" t="s">
        <v>395</v>
      </c>
      <c r="C191" s="44">
        <v>45933</v>
      </c>
      <c r="D191" s="45" t="s">
        <v>382</v>
      </c>
      <c r="E191" s="43" t="s">
        <v>96</v>
      </c>
      <c r="F191" s="43">
        <v>4</v>
      </c>
      <c r="G191" s="43" t="s">
        <v>276</v>
      </c>
      <c r="H191" s="43" t="s">
        <v>383</v>
      </c>
      <c r="I191" s="43" t="s">
        <v>384</v>
      </c>
      <c r="J191" s="43"/>
      <c r="K191" s="43">
        <f>IF(Tabla1[[#This Row],[CANTIDAD ]]="","",Tabla1[[#This Row],[LLEGO REALMENTE]]-Tabla1[[#This Row],[CANTIDAD ]])</f>
        <v>-4</v>
      </c>
      <c r="L191" s="43" t="str">
        <f>IF(Tabla1[[#This Row],[DIFERENCIA]]=0,"CORECTO",IF(Tabla1[[#This Row],[DIFERENCIA]]&lt;0,"FALTA",IF(Tabla1[[#This Row],[DIFERENCIA]]&gt;0,"DEMAS")))</f>
        <v>FALTA</v>
      </c>
    </row>
    <row r="192" spans="2:12" ht="43.2" x14ac:dyDescent="0.3">
      <c r="B192" s="43" t="s">
        <v>367</v>
      </c>
      <c r="C192" s="44">
        <v>45933</v>
      </c>
      <c r="D192" s="45" t="s">
        <v>385</v>
      </c>
      <c r="E192" s="43" t="s">
        <v>386</v>
      </c>
      <c r="F192" s="43">
        <v>1</v>
      </c>
      <c r="G192" s="43" t="s">
        <v>276</v>
      </c>
      <c r="H192" s="43" t="s">
        <v>383</v>
      </c>
      <c r="I192" s="43" t="s">
        <v>384</v>
      </c>
      <c r="J192" s="43"/>
      <c r="K192" s="43">
        <f>IF(Tabla1[[#This Row],[CANTIDAD ]]="","",Tabla1[[#This Row],[LLEGO REALMENTE]]-Tabla1[[#This Row],[CANTIDAD ]])</f>
        <v>-1</v>
      </c>
      <c r="L192" s="43" t="str">
        <f>IF(Tabla1[[#This Row],[DIFERENCIA]]=0,"CORECTO",IF(Tabla1[[#This Row],[DIFERENCIA]]&lt;0,"FALTA",IF(Tabla1[[#This Row],[DIFERENCIA]]&gt;0,"DEMAS")))</f>
        <v>FALTA</v>
      </c>
    </row>
    <row r="193" spans="2:12" x14ac:dyDescent="0.3">
      <c r="B193" s="43" t="s">
        <v>367</v>
      </c>
      <c r="C193" s="44">
        <v>45933</v>
      </c>
      <c r="D193" s="45" t="s">
        <v>387</v>
      </c>
      <c r="E193" s="43" t="s">
        <v>96</v>
      </c>
      <c r="F193" s="43">
        <v>1</v>
      </c>
      <c r="G193" s="43" t="s">
        <v>276</v>
      </c>
      <c r="H193" s="43" t="s">
        <v>383</v>
      </c>
      <c r="I193" s="43" t="s">
        <v>384</v>
      </c>
      <c r="J193" s="43"/>
      <c r="K193" s="43">
        <f>IF(Tabla1[[#This Row],[CANTIDAD ]]="","",Tabla1[[#This Row],[LLEGO REALMENTE]]-Tabla1[[#This Row],[CANTIDAD ]])</f>
        <v>-1</v>
      </c>
      <c r="L193" s="43" t="str">
        <f>IF(Tabla1[[#This Row],[DIFERENCIA]]=0,"CORECTO",IF(Tabla1[[#This Row],[DIFERENCIA]]&lt;0,"FALTA",IF(Tabla1[[#This Row],[DIFERENCIA]]&gt;0,"DEMAS")))</f>
        <v>FALTA</v>
      </c>
    </row>
    <row r="194" spans="2:12" x14ac:dyDescent="0.3">
      <c r="B194" s="43" t="s">
        <v>367</v>
      </c>
      <c r="C194" s="44">
        <v>45933</v>
      </c>
      <c r="D194" s="45" t="s">
        <v>388</v>
      </c>
      <c r="E194" s="43" t="s">
        <v>96</v>
      </c>
      <c r="F194" s="43">
        <v>1</v>
      </c>
      <c r="G194" s="43" t="s">
        <v>276</v>
      </c>
      <c r="H194" s="43" t="s">
        <v>383</v>
      </c>
      <c r="I194" s="43" t="s">
        <v>384</v>
      </c>
      <c r="J194" s="43"/>
      <c r="K194" s="43">
        <f>IF(Tabla1[[#This Row],[CANTIDAD ]]="","",Tabla1[[#This Row],[LLEGO REALMENTE]]-Tabla1[[#This Row],[CANTIDAD ]])</f>
        <v>-1</v>
      </c>
      <c r="L194" s="43" t="str">
        <f>IF(Tabla1[[#This Row],[DIFERENCIA]]=0,"CORECTO",IF(Tabla1[[#This Row],[DIFERENCIA]]&lt;0,"FALTA",IF(Tabla1[[#This Row],[DIFERENCIA]]&gt;0,"DEMAS")))</f>
        <v>FALTA</v>
      </c>
    </row>
    <row r="195" spans="2:12" ht="28.8" x14ac:dyDescent="0.3">
      <c r="B195" s="43" t="s">
        <v>367</v>
      </c>
      <c r="C195" s="44">
        <v>45933</v>
      </c>
      <c r="D195" s="45" t="s">
        <v>389</v>
      </c>
      <c r="E195" s="43" t="s">
        <v>96</v>
      </c>
      <c r="F195" s="43">
        <v>1</v>
      </c>
      <c r="G195" s="43" t="s">
        <v>276</v>
      </c>
      <c r="H195" s="43" t="s">
        <v>383</v>
      </c>
      <c r="I195" s="43" t="s">
        <v>384</v>
      </c>
      <c r="J195" s="43"/>
      <c r="K195" s="43">
        <f>IF(Tabla1[[#This Row],[CANTIDAD ]]="","",Tabla1[[#This Row],[LLEGO REALMENTE]]-Tabla1[[#This Row],[CANTIDAD ]])</f>
        <v>-1</v>
      </c>
      <c r="L195" s="43" t="str">
        <f>IF(Tabla1[[#This Row],[DIFERENCIA]]=0,"CORECTO",IF(Tabla1[[#This Row],[DIFERENCIA]]&lt;0,"FALTA",IF(Tabla1[[#This Row],[DIFERENCIA]]&gt;0,"DEMAS")))</f>
        <v>FALTA</v>
      </c>
    </row>
    <row r="196" spans="2:12" ht="43.2" x14ac:dyDescent="0.3">
      <c r="B196" s="43" t="s">
        <v>367</v>
      </c>
      <c r="C196" s="44">
        <v>45933</v>
      </c>
      <c r="D196" s="45" t="s">
        <v>390</v>
      </c>
      <c r="E196" s="43" t="s">
        <v>96</v>
      </c>
      <c r="F196" s="43">
        <v>1</v>
      </c>
      <c r="G196" s="43" t="s">
        <v>276</v>
      </c>
      <c r="H196" s="43" t="s">
        <v>383</v>
      </c>
      <c r="I196" s="43" t="s">
        <v>384</v>
      </c>
      <c r="J196" s="43"/>
      <c r="K196" s="43">
        <f>IF(Tabla1[[#This Row],[CANTIDAD ]]="","",Tabla1[[#This Row],[LLEGO REALMENTE]]-Tabla1[[#This Row],[CANTIDAD ]])</f>
        <v>-1</v>
      </c>
      <c r="L196" s="43" t="str">
        <f>IF(Tabla1[[#This Row],[DIFERENCIA]]=0,"CORECTO",IF(Tabla1[[#This Row],[DIFERENCIA]]&lt;0,"FALTA",IF(Tabla1[[#This Row],[DIFERENCIA]]&gt;0,"DEMAS")))</f>
        <v>FALTA</v>
      </c>
    </row>
    <row r="197" spans="2:12" ht="28.8" x14ac:dyDescent="0.3">
      <c r="B197" s="43" t="s">
        <v>367</v>
      </c>
      <c r="C197" s="44">
        <v>45933</v>
      </c>
      <c r="D197" s="45" t="s">
        <v>391</v>
      </c>
      <c r="E197" s="43" t="s">
        <v>96</v>
      </c>
      <c r="F197" s="43">
        <v>1</v>
      </c>
      <c r="G197" s="43" t="s">
        <v>276</v>
      </c>
      <c r="H197" s="43" t="s">
        <v>383</v>
      </c>
      <c r="I197" s="43" t="s">
        <v>384</v>
      </c>
      <c r="J197" s="43"/>
      <c r="K197" s="43">
        <f>IF(Tabla1[[#This Row],[CANTIDAD ]]="","",Tabla1[[#This Row],[LLEGO REALMENTE]]-Tabla1[[#This Row],[CANTIDAD ]])</f>
        <v>-1</v>
      </c>
      <c r="L197" s="43" t="str">
        <f>IF(Tabla1[[#This Row],[DIFERENCIA]]=0,"CORECTO",IF(Tabla1[[#This Row],[DIFERENCIA]]&lt;0,"FALTA",IF(Tabla1[[#This Row],[DIFERENCIA]]&gt;0,"DEMAS")))</f>
        <v>FALTA</v>
      </c>
    </row>
    <row r="198" spans="2:12" x14ac:dyDescent="0.3">
      <c r="B198" s="43" t="s">
        <v>367</v>
      </c>
      <c r="C198" s="44">
        <v>45933</v>
      </c>
      <c r="D198" s="45" t="s">
        <v>392</v>
      </c>
      <c r="E198" s="43" t="s">
        <v>96</v>
      </c>
      <c r="F198" s="43">
        <v>4</v>
      </c>
      <c r="G198" s="43" t="s">
        <v>276</v>
      </c>
      <c r="H198" s="43" t="s">
        <v>383</v>
      </c>
      <c r="I198" s="43" t="s">
        <v>384</v>
      </c>
      <c r="J198" s="43"/>
      <c r="K198" s="43">
        <f>IF(Tabla1[[#This Row],[CANTIDAD ]]="","",Tabla1[[#This Row],[LLEGO REALMENTE]]-Tabla1[[#This Row],[CANTIDAD ]])</f>
        <v>-4</v>
      </c>
      <c r="L198" s="43" t="str">
        <f>IF(Tabla1[[#This Row],[DIFERENCIA]]=0,"CORECTO",IF(Tabla1[[#This Row],[DIFERENCIA]]&lt;0,"FALTA",IF(Tabla1[[#This Row],[DIFERENCIA]]&gt;0,"DEMAS")))</f>
        <v>FALTA</v>
      </c>
    </row>
    <row r="199" spans="2:12" x14ac:dyDescent="0.3">
      <c r="B199" s="43" t="s">
        <v>367</v>
      </c>
      <c r="C199" s="44">
        <v>45933</v>
      </c>
      <c r="D199" s="45" t="s">
        <v>393</v>
      </c>
      <c r="E199" s="43" t="s">
        <v>96</v>
      </c>
      <c r="F199" s="43">
        <v>1</v>
      </c>
      <c r="G199" s="43" t="s">
        <v>276</v>
      </c>
      <c r="H199" s="43" t="s">
        <v>383</v>
      </c>
      <c r="I199" s="43" t="s">
        <v>384</v>
      </c>
      <c r="J199" s="43"/>
      <c r="K199" s="43">
        <f>IF(Tabla1[[#This Row],[CANTIDAD ]]="","",Tabla1[[#This Row],[LLEGO REALMENTE]]-Tabla1[[#This Row],[CANTIDAD ]])</f>
        <v>-1</v>
      </c>
      <c r="L199" s="43" t="str">
        <f>IF(Tabla1[[#This Row],[DIFERENCIA]]=0,"CORECTO",IF(Tabla1[[#This Row],[DIFERENCIA]]&lt;0,"FALTA",IF(Tabla1[[#This Row],[DIFERENCIA]]&gt;0,"DEMAS")))</f>
        <v>FALTA</v>
      </c>
    </row>
    <row r="200" spans="2:12" x14ac:dyDescent="0.3">
      <c r="B200" s="43" t="s">
        <v>395</v>
      </c>
      <c r="C200" s="44">
        <v>45933</v>
      </c>
      <c r="D200" s="45" t="s">
        <v>394</v>
      </c>
      <c r="E200" s="43" t="s">
        <v>167</v>
      </c>
      <c r="F200" s="43">
        <v>2</v>
      </c>
      <c r="G200" s="43" t="s">
        <v>276</v>
      </c>
      <c r="H200" s="43" t="s">
        <v>383</v>
      </c>
      <c r="I200" s="43" t="s">
        <v>384</v>
      </c>
      <c r="J200" s="43"/>
      <c r="K200" s="43">
        <f>IF(Tabla1[[#This Row],[CANTIDAD ]]="","",Tabla1[[#This Row],[LLEGO REALMENTE]]-Tabla1[[#This Row],[CANTIDAD ]])</f>
        <v>-2</v>
      </c>
      <c r="L200" s="43" t="str">
        <f>IF(Tabla1[[#This Row],[DIFERENCIA]]=0,"CORECTO",IF(Tabla1[[#This Row],[DIFERENCIA]]&lt;0,"FALTA",IF(Tabla1[[#This Row],[DIFERENCIA]]&gt;0,"DEMAS")))</f>
        <v>FALTA</v>
      </c>
    </row>
    <row r="201" spans="2:12" x14ac:dyDescent="0.3">
      <c r="B201" s="43" t="s">
        <v>367</v>
      </c>
      <c r="C201" s="44">
        <v>45936</v>
      </c>
      <c r="D201" s="45" t="s">
        <v>396</v>
      </c>
      <c r="E201" s="43" t="s">
        <v>96</v>
      </c>
      <c r="F201" s="43">
        <v>2</v>
      </c>
      <c r="G201" s="43" t="s">
        <v>379</v>
      </c>
      <c r="H201" s="43" t="s">
        <v>204</v>
      </c>
      <c r="I201" s="43"/>
      <c r="J201" s="43"/>
      <c r="K201" s="43">
        <f>IF(Tabla1[[#This Row],[CANTIDAD ]]="","",Tabla1[[#This Row],[LLEGO REALMENTE]]-Tabla1[[#This Row],[CANTIDAD ]])</f>
        <v>-2</v>
      </c>
      <c r="L201" s="43" t="str">
        <f>IF(Tabla1[[#This Row],[DIFERENCIA]]=0,"CORECTO",IF(Tabla1[[#This Row],[DIFERENCIA]]&lt;0,"FALTA",IF(Tabla1[[#This Row],[DIFERENCIA]]&gt;0,"DEMAS")))</f>
        <v>FALTA</v>
      </c>
    </row>
    <row r="202" spans="2:12" x14ac:dyDescent="0.3">
      <c r="B202" s="43" t="s">
        <v>414</v>
      </c>
      <c r="C202" s="44">
        <v>45946</v>
      </c>
      <c r="D202" s="45" t="s">
        <v>415</v>
      </c>
      <c r="E202" s="43" t="s">
        <v>96</v>
      </c>
      <c r="F202" s="43">
        <v>3</v>
      </c>
      <c r="G202" s="43" t="s">
        <v>29</v>
      </c>
      <c r="H202" s="43" t="s">
        <v>122</v>
      </c>
      <c r="I202" s="43"/>
      <c r="J202" s="43"/>
      <c r="K202" s="43">
        <f>IF(Tabla1[[#This Row],[CANTIDAD ]]="","",Tabla1[[#This Row],[LLEGO REALMENTE]]-Tabla1[[#This Row],[CANTIDAD ]])</f>
        <v>-3</v>
      </c>
      <c r="L202" s="43" t="str">
        <f>IF(Tabla1[[#This Row],[DIFERENCIA]]=0,"CORECTO",IF(Tabla1[[#This Row],[DIFERENCIA]]&lt;0,"FALTA",IF(Tabla1[[#This Row],[DIFERENCIA]]&gt;0,"DEMAS")))</f>
        <v>FALTA</v>
      </c>
    </row>
    <row r="203" spans="2:12" x14ac:dyDescent="0.3">
      <c r="B203" s="43" t="s">
        <v>414</v>
      </c>
      <c r="C203" s="44">
        <v>45946</v>
      </c>
      <c r="D203" s="45" t="s">
        <v>368</v>
      </c>
      <c r="E203" s="43" t="s">
        <v>167</v>
      </c>
      <c r="F203" s="43">
        <v>1</v>
      </c>
      <c r="G203" s="43" t="s">
        <v>29</v>
      </c>
      <c r="H203" s="43" t="s">
        <v>122</v>
      </c>
      <c r="I203" s="43"/>
      <c r="J203" s="43"/>
      <c r="K203" s="43">
        <f>IF(Tabla1[[#This Row],[CANTIDAD ]]="","",Tabla1[[#This Row],[LLEGO REALMENTE]]-Tabla1[[#This Row],[CANTIDAD ]])</f>
        <v>-1</v>
      </c>
      <c r="L203" s="43" t="str">
        <f>IF(Tabla1[[#This Row],[DIFERENCIA]]=0,"CORECTO",IF(Tabla1[[#This Row],[DIFERENCIA]]&lt;0,"FALTA",IF(Tabla1[[#This Row],[DIFERENCIA]]&gt;0,"DEMAS")))</f>
        <v>FALTA</v>
      </c>
    </row>
    <row r="204" spans="2:12" x14ac:dyDescent="0.3">
      <c r="B204" s="43" t="s">
        <v>414</v>
      </c>
      <c r="C204" s="44">
        <v>45946</v>
      </c>
      <c r="D204" s="45" t="s">
        <v>369</v>
      </c>
      <c r="E204" s="43" t="s">
        <v>167</v>
      </c>
      <c r="F204" s="43">
        <v>1</v>
      </c>
      <c r="G204" s="43" t="s">
        <v>29</v>
      </c>
      <c r="H204" s="43" t="s">
        <v>122</v>
      </c>
      <c r="I204" s="43"/>
      <c r="J204" s="43"/>
      <c r="K204" s="43">
        <f>IF(Tabla1[[#This Row],[CANTIDAD ]]="","",Tabla1[[#This Row],[LLEGO REALMENTE]]-Tabla1[[#This Row],[CANTIDAD ]])</f>
        <v>-1</v>
      </c>
      <c r="L204" s="43" t="str">
        <f>IF(Tabla1[[#This Row],[DIFERENCIA]]=0,"CORECTO",IF(Tabla1[[#This Row],[DIFERENCIA]]&lt;0,"FALTA",IF(Tabla1[[#This Row],[DIFERENCIA]]&gt;0,"DEMAS")))</f>
        <v>FALTA</v>
      </c>
    </row>
    <row r="205" spans="2:12" x14ac:dyDescent="0.3">
      <c r="B205" s="43" t="s">
        <v>414</v>
      </c>
      <c r="C205" s="44">
        <v>45946</v>
      </c>
      <c r="D205" s="45" t="s">
        <v>370</v>
      </c>
      <c r="E205" s="43" t="s">
        <v>96</v>
      </c>
      <c r="F205" s="43">
        <v>3</v>
      </c>
      <c r="G205" s="43" t="s">
        <v>29</v>
      </c>
      <c r="H205" s="43" t="s">
        <v>122</v>
      </c>
      <c r="I205" s="43"/>
      <c r="J205" s="43"/>
      <c r="K205" s="43">
        <f>IF(Tabla1[[#This Row],[CANTIDAD ]]="","",Tabla1[[#This Row],[LLEGO REALMENTE]]-Tabla1[[#This Row],[CANTIDAD ]])</f>
        <v>-3</v>
      </c>
      <c r="L205" s="43" t="str">
        <f>IF(Tabla1[[#This Row],[DIFERENCIA]]=0,"CORECTO",IF(Tabla1[[#This Row],[DIFERENCIA]]&lt;0,"FALTA",IF(Tabla1[[#This Row],[DIFERENCIA]]&gt;0,"DEMAS")))</f>
        <v>FALTA</v>
      </c>
    </row>
    <row r="206" spans="2:12" x14ac:dyDescent="0.3">
      <c r="B206" s="43" t="s">
        <v>414</v>
      </c>
      <c r="C206" s="44">
        <v>45946</v>
      </c>
      <c r="D206" s="45" t="s">
        <v>176</v>
      </c>
      <c r="E206" s="43" t="s">
        <v>96</v>
      </c>
      <c r="F206" s="43">
        <v>4</v>
      </c>
      <c r="G206" s="43" t="s">
        <v>29</v>
      </c>
      <c r="H206" s="43" t="s">
        <v>122</v>
      </c>
      <c r="I206" s="43"/>
      <c r="J206" s="43"/>
      <c r="K206" s="43">
        <f>IF(Tabla1[[#This Row],[CANTIDAD ]]="","",Tabla1[[#This Row],[LLEGO REALMENTE]]-Tabla1[[#This Row],[CANTIDAD ]])</f>
        <v>-4</v>
      </c>
      <c r="L206" s="43" t="str">
        <f>IF(Tabla1[[#This Row],[DIFERENCIA]]=0,"CORECTO",IF(Tabla1[[#This Row],[DIFERENCIA]]&lt;0,"FALTA",IF(Tabla1[[#This Row],[DIFERENCIA]]&gt;0,"DEMAS")))</f>
        <v>FALTA</v>
      </c>
    </row>
    <row r="207" spans="2:12" ht="28.8" x14ac:dyDescent="0.3">
      <c r="B207" s="43" t="s">
        <v>414</v>
      </c>
      <c r="C207" s="44">
        <v>45946</v>
      </c>
      <c r="D207" s="45" t="s">
        <v>177</v>
      </c>
      <c r="E207" s="43" t="s">
        <v>96</v>
      </c>
      <c r="F207" s="43">
        <v>3</v>
      </c>
      <c r="G207" s="43" t="s">
        <v>29</v>
      </c>
      <c r="H207" s="43" t="s">
        <v>122</v>
      </c>
      <c r="I207" s="43"/>
      <c r="J207" s="43"/>
      <c r="K207" s="43">
        <f>IF(Tabla1[[#This Row],[CANTIDAD ]]="","",Tabla1[[#This Row],[LLEGO REALMENTE]]-Tabla1[[#This Row],[CANTIDAD ]])</f>
        <v>-3</v>
      </c>
      <c r="L207" s="43" t="str">
        <f>IF(Tabla1[[#This Row],[DIFERENCIA]]=0,"CORECTO",IF(Tabla1[[#This Row],[DIFERENCIA]]&lt;0,"FALTA",IF(Tabla1[[#This Row],[DIFERENCIA]]&gt;0,"DEMAS")))</f>
        <v>FALTA</v>
      </c>
    </row>
    <row r="208" spans="2:12" x14ac:dyDescent="0.3">
      <c r="B208" s="43" t="s">
        <v>414</v>
      </c>
      <c r="C208" s="44">
        <v>45946</v>
      </c>
      <c r="D208" s="45" t="s">
        <v>416</v>
      </c>
      <c r="E208" s="43" t="s">
        <v>96</v>
      </c>
      <c r="F208" s="43">
        <v>1</v>
      </c>
      <c r="G208" s="43" t="s">
        <v>29</v>
      </c>
      <c r="H208" s="43" t="s">
        <v>122</v>
      </c>
      <c r="I208" s="43"/>
      <c r="J208" s="43"/>
      <c r="K208" s="43">
        <f>IF(Tabla1[[#This Row],[CANTIDAD ]]="","",Tabla1[[#This Row],[LLEGO REALMENTE]]-Tabla1[[#This Row],[CANTIDAD ]])</f>
        <v>-1</v>
      </c>
      <c r="L208" s="43" t="str">
        <f>IF(Tabla1[[#This Row],[DIFERENCIA]]=0,"CORECTO",IF(Tabla1[[#This Row],[DIFERENCIA]]&lt;0,"FALTA",IF(Tabla1[[#This Row],[DIFERENCIA]]&gt;0,"DEMAS")))</f>
        <v>FALTA</v>
      </c>
    </row>
    <row r="209" spans="2:12" x14ac:dyDescent="0.3">
      <c r="B209" s="43" t="s">
        <v>414</v>
      </c>
      <c r="C209" s="44">
        <v>45946</v>
      </c>
      <c r="D209" s="45" t="s">
        <v>417</v>
      </c>
      <c r="E209" s="43" t="s">
        <v>96</v>
      </c>
      <c r="F209" s="43">
        <v>5</v>
      </c>
      <c r="G209" s="43" t="s">
        <v>29</v>
      </c>
      <c r="H209" s="43" t="s">
        <v>122</v>
      </c>
      <c r="I209" s="43"/>
      <c r="J209" s="43"/>
      <c r="K209" s="43">
        <f>IF(Tabla1[[#This Row],[CANTIDAD ]]="","",Tabla1[[#This Row],[LLEGO REALMENTE]]-Tabla1[[#This Row],[CANTIDAD ]])</f>
        <v>-5</v>
      </c>
      <c r="L209" s="43" t="str">
        <f>IF(Tabla1[[#This Row],[DIFERENCIA]]=0,"CORECTO",IF(Tabla1[[#This Row],[DIFERENCIA]]&lt;0,"FALTA",IF(Tabla1[[#This Row],[DIFERENCIA]]&gt;0,"DEMAS")))</f>
        <v>FALTA</v>
      </c>
    </row>
    <row r="210" spans="2:12" x14ac:dyDescent="0.3">
      <c r="B210" s="43" t="s">
        <v>414</v>
      </c>
      <c r="C210" s="44">
        <v>45946</v>
      </c>
      <c r="D210" s="45" t="s">
        <v>374</v>
      </c>
      <c r="E210" s="43" t="s">
        <v>167</v>
      </c>
      <c r="F210" s="43">
        <v>10</v>
      </c>
      <c r="G210" s="43" t="s">
        <v>29</v>
      </c>
      <c r="H210" s="43" t="s">
        <v>122</v>
      </c>
      <c r="I210" s="43"/>
      <c r="J210" s="43"/>
      <c r="K210" s="43">
        <f>IF(Tabla1[[#This Row],[CANTIDAD ]]="","",Tabla1[[#This Row],[LLEGO REALMENTE]]-Tabla1[[#This Row],[CANTIDAD ]])</f>
        <v>-10</v>
      </c>
      <c r="L210" s="43" t="str">
        <f>IF(Tabla1[[#This Row],[DIFERENCIA]]=0,"CORECTO",IF(Tabla1[[#This Row],[DIFERENCIA]]&lt;0,"FALTA",IF(Tabla1[[#This Row],[DIFERENCIA]]&gt;0,"DEMAS")))</f>
        <v>FALTA</v>
      </c>
    </row>
    <row r="211" spans="2:12" x14ac:dyDescent="0.3">
      <c r="B211" s="43" t="s">
        <v>414</v>
      </c>
      <c r="C211" s="44">
        <v>45946</v>
      </c>
      <c r="D211" s="45" t="s">
        <v>418</v>
      </c>
      <c r="E211" s="43" t="s">
        <v>342</v>
      </c>
      <c r="F211" s="43">
        <v>1</v>
      </c>
      <c r="G211" s="43" t="s">
        <v>29</v>
      </c>
      <c r="H211" s="43" t="s">
        <v>122</v>
      </c>
      <c r="I211" s="43"/>
      <c r="J211" s="43"/>
      <c r="K211" s="43">
        <f>IF(Tabla1[[#This Row],[CANTIDAD ]]="","",Tabla1[[#This Row],[LLEGO REALMENTE]]-Tabla1[[#This Row],[CANTIDAD ]])</f>
        <v>-1</v>
      </c>
      <c r="L211" s="43" t="str">
        <f>IF(Tabla1[[#This Row],[DIFERENCIA]]=0,"CORECTO",IF(Tabla1[[#This Row],[DIFERENCIA]]&lt;0,"FALTA",IF(Tabla1[[#This Row],[DIFERENCIA]]&gt;0,"DEMAS")))</f>
        <v>FALTA</v>
      </c>
    </row>
    <row r="212" spans="2:12" x14ac:dyDescent="0.3">
      <c r="B212" s="43" t="s">
        <v>414</v>
      </c>
      <c r="C212" s="44">
        <v>45946</v>
      </c>
      <c r="D212" s="45" t="s">
        <v>419</v>
      </c>
      <c r="E212" s="43" t="s">
        <v>96</v>
      </c>
      <c r="F212" s="43">
        <v>2</v>
      </c>
      <c r="G212" s="43" t="s">
        <v>29</v>
      </c>
      <c r="H212" s="43" t="s">
        <v>122</v>
      </c>
      <c r="I212" s="43"/>
      <c r="J212" s="43"/>
      <c r="K212" s="43">
        <f>IF(Tabla1[[#This Row],[CANTIDAD ]]="","",Tabla1[[#This Row],[LLEGO REALMENTE]]-Tabla1[[#This Row],[CANTIDAD ]])</f>
        <v>-2</v>
      </c>
      <c r="L212" s="43" t="str">
        <f>IF(Tabla1[[#This Row],[DIFERENCIA]]=0,"CORECTO",IF(Tabla1[[#This Row],[DIFERENCIA]]&lt;0,"FALTA",IF(Tabla1[[#This Row],[DIFERENCIA]]&gt;0,"DEMAS")))</f>
        <v>FALTA</v>
      </c>
    </row>
    <row r="213" spans="2:12" x14ac:dyDescent="0.3">
      <c r="B213" s="43" t="s">
        <v>414</v>
      </c>
      <c r="C213" s="44">
        <v>45946</v>
      </c>
      <c r="D213" s="45" t="s">
        <v>420</v>
      </c>
      <c r="E213" s="43" t="s">
        <v>167</v>
      </c>
      <c r="F213" s="43">
        <v>1</v>
      </c>
      <c r="G213" s="43" t="s">
        <v>29</v>
      </c>
      <c r="H213" s="43" t="s">
        <v>122</v>
      </c>
      <c r="I213" s="43"/>
      <c r="J213" s="43"/>
      <c r="K213" s="43">
        <f>IF(Tabla1[[#This Row],[CANTIDAD ]]="","",Tabla1[[#This Row],[LLEGO REALMENTE]]-Tabla1[[#This Row],[CANTIDAD ]])</f>
        <v>-1</v>
      </c>
      <c r="L213" s="43" t="str">
        <f>IF(Tabla1[[#This Row],[DIFERENCIA]]=0,"CORECTO",IF(Tabla1[[#This Row],[DIFERENCIA]]&lt;0,"FALTA",IF(Tabla1[[#This Row],[DIFERENCIA]]&gt;0,"DEMAS")))</f>
        <v>FALTA</v>
      </c>
    </row>
    <row r="214" spans="2:12" x14ac:dyDescent="0.3">
      <c r="B214" s="43" t="s">
        <v>414</v>
      </c>
      <c r="C214" s="44">
        <v>45946</v>
      </c>
      <c r="D214" s="45" t="s">
        <v>421</v>
      </c>
      <c r="E214" s="43" t="s">
        <v>102</v>
      </c>
      <c r="F214" s="43">
        <v>1</v>
      </c>
      <c r="G214" s="43" t="s">
        <v>379</v>
      </c>
      <c r="H214" s="43" t="s">
        <v>204</v>
      </c>
      <c r="I214" s="43"/>
      <c r="J214" s="43"/>
      <c r="K214" s="43">
        <f>IF(Tabla1[[#This Row],[CANTIDAD ]]="","",Tabla1[[#This Row],[LLEGO REALMENTE]]-Tabla1[[#This Row],[CANTIDAD ]])</f>
        <v>-1</v>
      </c>
      <c r="L214" s="43" t="str">
        <f>IF(Tabla1[[#This Row],[DIFERENCIA]]=0,"CORECTO",IF(Tabla1[[#This Row],[DIFERENCIA]]&lt;0,"FALTA",IF(Tabla1[[#This Row],[DIFERENCIA]]&gt;0,"DEMAS")))</f>
        <v>FALTA</v>
      </c>
    </row>
    <row r="215" spans="2:12" x14ac:dyDescent="0.3">
      <c r="B215" s="43" t="s">
        <v>414</v>
      </c>
      <c r="C215" s="44">
        <v>45946</v>
      </c>
      <c r="D215" s="45" t="s">
        <v>180</v>
      </c>
      <c r="E215" s="43" t="s">
        <v>96</v>
      </c>
      <c r="F215" s="43">
        <v>50</v>
      </c>
      <c r="G215" s="43" t="s">
        <v>379</v>
      </c>
      <c r="H215" s="43" t="s">
        <v>204</v>
      </c>
      <c r="I215" s="43"/>
      <c r="J215" s="43"/>
      <c r="K215" s="43">
        <f>IF(Tabla1[[#This Row],[CANTIDAD ]]="","",Tabla1[[#This Row],[LLEGO REALMENTE]]-Tabla1[[#This Row],[CANTIDAD ]])</f>
        <v>-50</v>
      </c>
      <c r="L215" s="43" t="str">
        <f>IF(Tabla1[[#This Row],[DIFERENCIA]]=0,"CORECTO",IF(Tabla1[[#This Row],[DIFERENCIA]]&lt;0,"FALTA",IF(Tabla1[[#This Row],[DIFERENCIA]]&gt;0,"DEMAS")))</f>
        <v>FALTA</v>
      </c>
    </row>
    <row r="216" spans="2:12" x14ac:dyDescent="0.3">
      <c r="B216" s="43" t="s">
        <v>414</v>
      </c>
      <c r="C216" s="44">
        <v>45946</v>
      </c>
      <c r="D216" s="45" t="s">
        <v>146</v>
      </c>
      <c r="E216" s="43" t="s">
        <v>96</v>
      </c>
      <c r="F216" s="43">
        <v>15</v>
      </c>
      <c r="G216" s="43" t="s">
        <v>73</v>
      </c>
      <c r="H216" s="43" t="s">
        <v>376</v>
      </c>
      <c r="I216" s="43"/>
      <c r="J216" s="43"/>
      <c r="K216" s="43">
        <f>IF(Tabla1[[#This Row],[CANTIDAD ]]="","",Tabla1[[#This Row],[LLEGO REALMENTE]]-Tabla1[[#This Row],[CANTIDAD ]])</f>
        <v>-15</v>
      </c>
      <c r="L216" s="43" t="str">
        <f>IF(Tabla1[[#This Row],[DIFERENCIA]]=0,"CORECTO",IF(Tabla1[[#This Row],[DIFERENCIA]]&lt;0,"FALTA",IF(Tabla1[[#This Row],[DIFERENCIA]]&gt;0,"DEMAS")))</f>
        <v>FALTA</v>
      </c>
    </row>
    <row r="217" spans="2:12" x14ac:dyDescent="0.3">
      <c r="B217" s="43" t="s">
        <v>414</v>
      </c>
      <c r="C217" s="44">
        <v>45946</v>
      </c>
      <c r="D217" s="45" t="s">
        <v>422</v>
      </c>
      <c r="E217" s="43" t="s">
        <v>167</v>
      </c>
      <c r="F217" s="43">
        <v>1</v>
      </c>
      <c r="G217" s="43" t="s">
        <v>29</v>
      </c>
      <c r="H217" s="43" t="s">
        <v>122</v>
      </c>
      <c r="I217" s="43"/>
      <c r="J217" s="43"/>
      <c r="K217" s="43">
        <f>IF(Tabla1[[#This Row],[CANTIDAD ]]="","",Tabla1[[#This Row],[LLEGO REALMENTE]]-Tabla1[[#This Row],[CANTIDAD ]])</f>
        <v>-1</v>
      </c>
      <c r="L217" s="43" t="str">
        <f>IF(Tabla1[[#This Row],[DIFERENCIA]]=0,"CORECTO",IF(Tabla1[[#This Row],[DIFERENCIA]]&lt;0,"FALTA",IF(Tabla1[[#This Row],[DIFERENCIA]]&gt;0,"DEMAS")))</f>
        <v>FALTA</v>
      </c>
    </row>
    <row r="218" spans="2:12" x14ac:dyDescent="0.3">
      <c r="B218" s="43" t="s">
        <v>414</v>
      </c>
      <c r="C218" s="44">
        <v>45946</v>
      </c>
      <c r="D218" s="45" t="s">
        <v>423</v>
      </c>
      <c r="E218" s="43" t="s">
        <v>102</v>
      </c>
      <c r="F218" s="43">
        <v>1</v>
      </c>
      <c r="G218" s="43" t="s">
        <v>379</v>
      </c>
      <c r="H218" s="43" t="s">
        <v>204</v>
      </c>
      <c r="I218" s="43"/>
      <c r="J218" s="43"/>
      <c r="K218" s="43">
        <f>IF(Tabla1[[#This Row],[CANTIDAD ]]="","",Tabla1[[#This Row],[LLEGO REALMENTE]]-Tabla1[[#This Row],[CANTIDAD ]])</f>
        <v>-1</v>
      </c>
      <c r="L218" s="43" t="str">
        <f>IF(Tabla1[[#This Row],[DIFERENCIA]]=0,"CORECTO",IF(Tabla1[[#This Row],[DIFERENCIA]]&lt;0,"FALTA",IF(Tabla1[[#This Row],[DIFERENCIA]]&gt;0,"DEMAS")))</f>
        <v>FALTA</v>
      </c>
    </row>
    <row r="219" spans="2:12" x14ac:dyDescent="0.3">
      <c r="B219" s="43" t="s">
        <v>414</v>
      </c>
      <c r="C219" s="44">
        <v>45946</v>
      </c>
      <c r="D219" s="45" t="s">
        <v>433</v>
      </c>
      <c r="E219" s="43" t="s">
        <v>102</v>
      </c>
      <c r="F219" s="43">
        <v>1</v>
      </c>
      <c r="G219" s="43" t="s">
        <v>379</v>
      </c>
      <c r="H219" s="43" t="s">
        <v>204</v>
      </c>
      <c r="I219" s="43"/>
      <c r="J219" s="43"/>
      <c r="K219" s="43">
        <f>IF(Tabla1[[#This Row],[CANTIDAD ]]="","",Tabla1[[#This Row],[LLEGO REALMENTE]]-Tabla1[[#This Row],[CANTIDAD ]])</f>
        <v>-1</v>
      </c>
      <c r="L219" s="43" t="str">
        <f>IF(Tabla1[[#This Row],[DIFERENCIA]]=0,"CORECTO",IF(Tabla1[[#This Row],[DIFERENCIA]]&lt;0,"FALTA",IF(Tabla1[[#This Row],[DIFERENCIA]]&gt;0,"DEMAS")))</f>
        <v>FALTA</v>
      </c>
    </row>
    <row r="220" spans="2:12" x14ac:dyDescent="0.3">
      <c r="B220" s="43" t="s">
        <v>414</v>
      </c>
      <c r="C220" s="44">
        <v>45946</v>
      </c>
      <c r="D220" s="45" t="s">
        <v>424</v>
      </c>
      <c r="E220" s="43" t="s">
        <v>96</v>
      </c>
      <c r="F220" s="43">
        <v>400</v>
      </c>
      <c r="G220" s="43" t="s">
        <v>379</v>
      </c>
      <c r="H220" s="43" t="s">
        <v>204</v>
      </c>
      <c r="I220" s="43"/>
      <c r="J220" s="43"/>
      <c r="K220" s="43">
        <f>IF(Tabla1[[#This Row],[CANTIDAD ]]="","",Tabla1[[#This Row],[LLEGO REALMENTE]]-Tabla1[[#This Row],[CANTIDAD ]])</f>
        <v>-400</v>
      </c>
      <c r="L220" s="43" t="str">
        <f>IF(Tabla1[[#This Row],[DIFERENCIA]]=0,"CORECTO",IF(Tabla1[[#This Row],[DIFERENCIA]]&lt;0,"FALTA",IF(Tabla1[[#This Row],[DIFERENCIA]]&gt;0,"DEMAS")))</f>
        <v>FALTA</v>
      </c>
    </row>
    <row r="221" spans="2:12" x14ac:dyDescent="0.3">
      <c r="B221" s="43" t="s">
        <v>414</v>
      </c>
      <c r="C221" s="44">
        <v>45946</v>
      </c>
      <c r="D221" s="45" t="s">
        <v>425</v>
      </c>
      <c r="E221" s="43" t="s">
        <v>96</v>
      </c>
      <c r="F221" s="43">
        <v>1</v>
      </c>
      <c r="G221" s="43" t="s">
        <v>426</v>
      </c>
      <c r="H221" s="43" t="s">
        <v>193</v>
      </c>
      <c r="I221" s="43" t="s">
        <v>434</v>
      </c>
      <c r="J221" s="43"/>
      <c r="K221" s="43">
        <f>IF(Tabla1[[#This Row],[CANTIDAD ]]="","",Tabla1[[#This Row],[LLEGO REALMENTE]]-Tabla1[[#This Row],[CANTIDAD ]])</f>
        <v>-1</v>
      </c>
      <c r="L221" s="43" t="str">
        <f>IF(Tabla1[[#This Row],[DIFERENCIA]]=0,"CORECTO",IF(Tabla1[[#This Row],[DIFERENCIA]]&lt;0,"FALTA",IF(Tabla1[[#This Row],[DIFERENCIA]]&gt;0,"DEMAS")))</f>
        <v>FALTA</v>
      </c>
    </row>
    <row r="222" spans="2:12" x14ac:dyDescent="0.3">
      <c r="B222" s="43" t="s">
        <v>414</v>
      </c>
      <c r="C222" s="44">
        <v>45946</v>
      </c>
      <c r="D222" s="45" t="s">
        <v>427</v>
      </c>
      <c r="E222" s="43" t="s">
        <v>96</v>
      </c>
      <c r="F222" s="43">
        <v>4</v>
      </c>
      <c r="G222" s="43" t="s">
        <v>379</v>
      </c>
      <c r="H222" s="43" t="s">
        <v>204</v>
      </c>
      <c r="I222" s="43"/>
      <c r="J222" s="43"/>
      <c r="K222" s="43">
        <f>IF(Tabla1[[#This Row],[CANTIDAD ]]="","",Tabla1[[#This Row],[LLEGO REALMENTE]]-Tabla1[[#This Row],[CANTIDAD ]])</f>
        <v>-4</v>
      </c>
      <c r="L222" s="43" t="str">
        <f>IF(Tabla1[[#This Row],[DIFERENCIA]]=0,"CORECTO",IF(Tabla1[[#This Row],[DIFERENCIA]]&lt;0,"FALTA",IF(Tabla1[[#This Row],[DIFERENCIA]]&gt;0,"DEMAS")))</f>
        <v>FALTA</v>
      </c>
    </row>
    <row r="223" spans="2:12" x14ac:dyDescent="0.3">
      <c r="B223" s="43" t="s">
        <v>414</v>
      </c>
      <c r="C223" s="44">
        <v>45946</v>
      </c>
      <c r="D223" s="45" t="s">
        <v>428</v>
      </c>
      <c r="E223" s="43" t="s">
        <v>96</v>
      </c>
      <c r="F223" s="43">
        <v>1</v>
      </c>
      <c r="G223" s="43" t="s">
        <v>379</v>
      </c>
      <c r="H223" s="43" t="s">
        <v>204</v>
      </c>
      <c r="I223" s="43"/>
      <c r="J223" s="43"/>
      <c r="K223" s="43">
        <f>IF(Tabla1[[#This Row],[CANTIDAD ]]="","",Tabla1[[#This Row],[LLEGO REALMENTE]]-Tabla1[[#This Row],[CANTIDAD ]])</f>
        <v>-1</v>
      </c>
      <c r="L223" s="43" t="str">
        <f>IF(Tabla1[[#This Row],[DIFERENCIA]]=0,"CORECTO",IF(Tabla1[[#This Row],[DIFERENCIA]]&lt;0,"FALTA",IF(Tabla1[[#This Row],[DIFERENCIA]]&gt;0,"DEMAS")))</f>
        <v>FALTA</v>
      </c>
    </row>
    <row r="224" spans="2:12" x14ac:dyDescent="0.3">
      <c r="B224" s="43" t="s">
        <v>414</v>
      </c>
      <c r="C224" s="44">
        <v>45946</v>
      </c>
      <c r="D224" s="45" t="s">
        <v>429</v>
      </c>
      <c r="E224" s="43" t="s">
        <v>96</v>
      </c>
      <c r="F224" s="43">
        <v>1</v>
      </c>
      <c r="G224" s="43" t="s">
        <v>379</v>
      </c>
      <c r="H224" s="43" t="s">
        <v>204</v>
      </c>
      <c r="I224" s="43"/>
      <c r="J224" s="43"/>
      <c r="K224" s="43">
        <f>IF(Tabla1[[#This Row],[CANTIDAD ]]="","",Tabla1[[#This Row],[LLEGO REALMENTE]]-Tabla1[[#This Row],[CANTIDAD ]])</f>
        <v>-1</v>
      </c>
      <c r="L224" s="43" t="str">
        <f>IF(Tabla1[[#This Row],[DIFERENCIA]]=0,"CORECTO",IF(Tabla1[[#This Row],[DIFERENCIA]]&lt;0,"FALTA",IF(Tabla1[[#This Row],[DIFERENCIA]]&gt;0,"DEMAS")))</f>
        <v>FALTA</v>
      </c>
    </row>
    <row r="225" spans="2:12" x14ac:dyDescent="0.3">
      <c r="B225" s="43" t="s">
        <v>414</v>
      </c>
      <c r="C225" s="44">
        <v>45946</v>
      </c>
      <c r="D225" s="45" t="s">
        <v>130</v>
      </c>
      <c r="E225" s="43" t="s">
        <v>342</v>
      </c>
      <c r="F225" s="43">
        <v>3</v>
      </c>
      <c r="G225" s="43" t="s">
        <v>329</v>
      </c>
      <c r="H225" s="43" t="s">
        <v>223</v>
      </c>
      <c r="I225" s="43"/>
      <c r="J225" s="43"/>
      <c r="K225" s="43">
        <f>IF(Tabla1[[#This Row],[CANTIDAD ]]="","",Tabla1[[#This Row],[LLEGO REALMENTE]]-Tabla1[[#This Row],[CANTIDAD ]])</f>
        <v>-3</v>
      </c>
      <c r="L225" s="43" t="str">
        <f>IF(Tabla1[[#This Row],[DIFERENCIA]]=0,"CORECTO",IF(Tabla1[[#This Row],[DIFERENCIA]]&lt;0,"FALTA",IF(Tabla1[[#This Row],[DIFERENCIA]]&gt;0,"DEMAS")))</f>
        <v>FALTA</v>
      </c>
    </row>
    <row r="226" spans="2:12" x14ac:dyDescent="0.3">
      <c r="B226" s="43" t="s">
        <v>414</v>
      </c>
      <c r="C226" s="44">
        <v>45946</v>
      </c>
      <c r="D226" s="45" t="s">
        <v>430</v>
      </c>
      <c r="E226" s="43" t="s">
        <v>96</v>
      </c>
      <c r="F226" s="43">
        <v>1</v>
      </c>
      <c r="G226" s="43" t="s">
        <v>329</v>
      </c>
      <c r="H226" s="43" t="s">
        <v>223</v>
      </c>
      <c r="I226" s="43"/>
      <c r="J226" s="43"/>
      <c r="K226" s="43">
        <f>IF(Tabla1[[#This Row],[CANTIDAD ]]="","",Tabla1[[#This Row],[LLEGO REALMENTE]]-Tabla1[[#This Row],[CANTIDAD ]])</f>
        <v>-1</v>
      </c>
      <c r="L226" s="43" t="str">
        <f>IF(Tabla1[[#This Row],[DIFERENCIA]]=0,"CORECTO",IF(Tabla1[[#This Row],[DIFERENCIA]]&lt;0,"FALTA",IF(Tabla1[[#This Row],[DIFERENCIA]]&gt;0,"DEMAS")))</f>
        <v>FALTA</v>
      </c>
    </row>
    <row r="227" spans="2:12" x14ac:dyDescent="0.3">
      <c r="B227" s="43" t="s">
        <v>414</v>
      </c>
      <c r="C227" s="44">
        <v>45946</v>
      </c>
      <c r="D227" s="45" t="s">
        <v>431</v>
      </c>
      <c r="E227" s="43" t="s">
        <v>102</v>
      </c>
      <c r="F227" s="43">
        <v>1</v>
      </c>
      <c r="G227" s="43" t="s">
        <v>329</v>
      </c>
      <c r="H227" s="43" t="s">
        <v>223</v>
      </c>
      <c r="I227" s="43"/>
      <c r="J227" s="43"/>
      <c r="K227" s="43">
        <f>IF(Tabla1[[#This Row],[CANTIDAD ]]="","",Tabla1[[#This Row],[LLEGO REALMENTE]]-Tabla1[[#This Row],[CANTIDAD ]])</f>
        <v>-1</v>
      </c>
      <c r="L227" s="43" t="str">
        <f>IF(Tabla1[[#This Row],[DIFERENCIA]]=0,"CORECTO",IF(Tabla1[[#This Row],[DIFERENCIA]]&lt;0,"FALTA",IF(Tabla1[[#This Row],[DIFERENCIA]]&gt;0,"DEMAS")))</f>
        <v>FALTA</v>
      </c>
    </row>
    <row r="228" spans="2:12" x14ac:dyDescent="0.3">
      <c r="B228" s="43" t="s">
        <v>414</v>
      </c>
      <c r="C228" s="44">
        <v>45946</v>
      </c>
      <c r="D228" s="45" t="s">
        <v>432</v>
      </c>
      <c r="E228" s="43" t="s">
        <v>96</v>
      </c>
      <c r="F228" s="43">
        <v>4</v>
      </c>
      <c r="G228" s="43" t="s">
        <v>329</v>
      </c>
      <c r="H228" s="43" t="s">
        <v>223</v>
      </c>
      <c r="I228" s="43"/>
      <c r="J228" s="43"/>
      <c r="K228" s="43">
        <f>IF(Tabla1[[#This Row],[CANTIDAD ]]="","",Tabla1[[#This Row],[LLEGO REALMENTE]]-Tabla1[[#This Row],[CANTIDAD ]])</f>
        <v>-4</v>
      </c>
      <c r="L228" s="43" t="str">
        <f>IF(Tabla1[[#This Row],[DIFERENCIA]]=0,"CORECTO",IF(Tabla1[[#This Row],[DIFERENCIA]]&lt;0,"FALTA",IF(Tabla1[[#This Row],[DIFERENCIA]]&gt;0,"DEMAS")))</f>
        <v>FALTA</v>
      </c>
    </row>
    <row r="229" spans="2:12" x14ac:dyDescent="0.3">
      <c r="B229" s="43" t="s">
        <v>441</v>
      </c>
      <c r="C229" s="44">
        <v>45953</v>
      </c>
      <c r="D229" s="45" t="s">
        <v>442</v>
      </c>
      <c r="E229" s="43" t="s">
        <v>96</v>
      </c>
      <c r="F229" s="43">
        <v>3</v>
      </c>
      <c r="G229" s="43" t="s">
        <v>379</v>
      </c>
      <c r="H229" s="43" t="s">
        <v>204</v>
      </c>
      <c r="I229" s="43"/>
      <c r="J229" s="43"/>
      <c r="K229" s="43">
        <f>IF(Tabla1[[#This Row],[CANTIDAD ]]="","",Tabla1[[#This Row],[LLEGO REALMENTE]]-Tabla1[[#This Row],[CANTIDAD ]])</f>
        <v>-3</v>
      </c>
      <c r="L229" s="43" t="str">
        <f>IF(Tabla1[[#This Row],[DIFERENCIA]]=0,"CORECTO",IF(Tabla1[[#This Row],[DIFERENCIA]]&lt;0,"FALTA",IF(Tabla1[[#This Row],[DIFERENCIA]]&gt;0,"DEMAS")))</f>
        <v>FALTA</v>
      </c>
    </row>
    <row r="230" spans="2:12" x14ac:dyDescent="0.3">
      <c r="B230" s="43" t="s">
        <v>441</v>
      </c>
      <c r="C230" s="44">
        <v>45953</v>
      </c>
      <c r="D230" s="45" t="s">
        <v>443</v>
      </c>
      <c r="E230" s="43" t="s">
        <v>342</v>
      </c>
      <c r="F230" s="43">
        <v>2</v>
      </c>
      <c r="G230" s="43" t="s">
        <v>29</v>
      </c>
      <c r="H230" s="43" t="s">
        <v>122</v>
      </c>
      <c r="I230" s="43"/>
      <c r="J230" s="43"/>
      <c r="K230" s="43">
        <f>IF(Tabla1[[#This Row],[CANTIDAD ]]="","",Tabla1[[#This Row],[LLEGO REALMENTE]]-Tabla1[[#This Row],[CANTIDAD ]])</f>
        <v>-2</v>
      </c>
      <c r="L230" s="43" t="str">
        <f>IF(Tabla1[[#This Row],[DIFERENCIA]]=0,"CORECTO",IF(Tabla1[[#This Row],[DIFERENCIA]]&lt;0,"FALTA",IF(Tabla1[[#This Row],[DIFERENCIA]]&gt;0,"DEMAS")))</f>
        <v>FALTA</v>
      </c>
    </row>
    <row r="231" spans="2:12" x14ac:dyDescent="0.3">
      <c r="B231" s="43" t="s">
        <v>441</v>
      </c>
      <c r="C231" s="44">
        <v>45953</v>
      </c>
      <c r="D231" s="45" t="s">
        <v>444</v>
      </c>
      <c r="E231" s="43" t="s">
        <v>96</v>
      </c>
      <c r="F231" s="43">
        <v>100</v>
      </c>
      <c r="G231" s="43" t="s">
        <v>379</v>
      </c>
      <c r="H231" s="43" t="s">
        <v>204</v>
      </c>
      <c r="I231" s="43"/>
      <c r="J231" s="43"/>
      <c r="K231" s="43">
        <f>IF(Tabla1[[#This Row],[CANTIDAD ]]="","",Tabla1[[#This Row],[LLEGO REALMENTE]]-Tabla1[[#This Row],[CANTIDAD ]])</f>
        <v>-100</v>
      </c>
      <c r="L231" s="43" t="str">
        <f>IF(Tabla1[[#This Row],[DIFERENCIA]]=0,"CORECTO",IF(Tabla1[[#This Row],[DIFERENCIA]]&lt;0,"FALTA",IF(Tabla1[[#This Row],[DIFERENCIA]]&gt;0,"DEMAS")))</f>
        <v>FALTA</v>
      </c>
    </row>
    <row r="232" spans="2:12" ht="28.8" x14ac:dyDescent="0.3">
      <c r="B232" s="43" t="s">
        <v>441</v>
      </c>
      <c r="C232" s="44">
        <v>45953</v>
      </c>
      <c r="D232" s="45" t="s">
        <v>445</v>
      </c>
      <c r="E232" s="43" t="s">
        <v>256</v>
      </c>
      <c r="F232" s="43">
        <v>4</v>
      </c>
      <c r="G232" s="43" t="s">
        <v>379</v>
      </c>
      <c r="H232" s="43" t="s">
        <v>204</v>
      </c>
      <c r="I232" s="43"/>
      <c r="J232" s="43"/>
      <c r="K232" s="43">
        <f>IF(Tabla1[[#This Row],[CANTIDAD ]]="","",Tabla1[[#This Row],[LLEGO REALMENTE]]-Tabla1[[#This Row],[CANTIDAD ]])</f>
        <v>-4</v>
      </c>
      <c r="L232" s="43" t="str">
        <f>IF(Tabla1[[#This Row],[DIFERENCIA]]=0,"CORECTO",IF(Tabla1[[#This Row],[DIFERENCIA]]&lt;0,"FALTA",IF(Tabla1[[#This Row],[DIFERENCIA]]&gt;0,"DEMAS")))</f>
        <v>FALTA</v>
      </c>
    </row>
    <row r="233" spans="2:12" x14ac:dyDescent="0.3">
      <c r="B233" s="43" t="s">
        <v>441</v>
      </c>
      <c r="C233" s="44">
        <v>45953</v>
      </c>
      <c r="D233" s="45" t="s">
        <v>446</v>
      </c>
      <c r="E233" s="43" t="s">
        <v>96</v>
      </c>
      <c r="F233" s="43">
        <v>470</v>
      </c>
      <c r="G233" s="43" t="s">
        <v>9</v>
      </c>
      <c r="H233" s="43" t="s">
        <v>469</v>
      </c>
      <c r="I233" s="43"/>
      <c r="J233" s="43"/>
      <c r="K233" s="43">
        <f>IF(Tabla1[[#This Row],[CANTIDAD ]]="","",Tabla1[[#This Row],[LLEGO REALMENTE]]-Tabla1[[#This Row],[CANTIDAD ]])</f>
        <v>-470</v>
      </c>
      <c r="L233" s="43" t="str">
        <f>IF(Tabla1[[#This Row],[DIFERENCIA]]=0,"CORECTO",IF(Tabla1[[#This Row],[DIFERENCIA]]&lt;0,"FALTA",IF(Tabla1[[#This Row],[DIFERENCIA]]&gt;0,"DEMAS")))</f>
        <v>FALTA</v>
      </c>
    </row>
    <row r="234" spans="2:12" x14ac:dyDescent="0.3">
      <c r="B234" s="43" t="s">
        <v>441</v>
      </c>
      <c r="C234" s="44">
        <v>45953</v>
      </c>
      <c r="D234" s="45" t="s">
        <v>447</v>
      </c>
      <c r="E234" s="43" t="s">
        <v>96</v>
      </c>
      <c r="F234" s="43">
        <v>300</v>
      </c>
      <c r="G234" s="43" t="s">
        <v>9</v>
      </c>
      <c r="H234" s="43" t="s">
        <v>469</v>
      </c>
      <c r="I234" s="43"/>
      <c r="J234" s="43"/>
      <c r="K234" s="43">
        <f>IF(Tabla1[[#This Row],[CANTIDAD ]]="","",Tabla1[[#This Row],[LLEGO REALMENTE]]-Tabla1[[#This Row],[CANTIDAD ]])</f>
        <v>-300</v>
      </c>
      <c r="L234" s="43" t="str">
        <f>IF(Tabla1[[#This Row],[DIFERENCIA]]=0,"CORECTO",IF(Tabla1[[#This Row],[DIFERENCIA]]&lt;0,"FALTA",IF(Tabla1[[#This Row],[DIFERENCIA]]&gt;0,"DEMAS")))</f>
        <v>FALTA</v>
      </c>
    </row>
    <row r="235" spans="2:12" x14ac:dyDescent="0.3">
      <c r="B235" s="43" t="s">
        <v>441</v>
      </c>
      <c r="C235" s="44">
        <v>45953</v>
      </c>
      <c r="D235" s="45" t="s">
        <v>448</v>
      </c>
      <c r="E235" s="43" t="s">
        <v>96</v>
      </c>
      <c r="F235" s="43">
        <v>6</v>
      </c>
      <c r="G235" s="43"/>
      <c r="H235" s="43"/>
      <c r="I235" s="43"/>
      <c r="J235" s="43"/>
      <c r="K235" s="43">
        <f>IF(Tabla1[[#This Row],[CANTIDAD ]]="","",Tabla1[[#This Row],[LLEGO REALMENTE]]-Tabla1[[#This Row],[CANTIDAD ]])</f>
        <v>-6</v>
      </c>
      <c r="L235" s="43" t="str">
        <f>IF(Tabla1[[#This Row],[DIFERENCIA]]=0,"CORECTO",IF(Tabla1[[#This Row],[DIFERENCIA]]&lt;0,"FALTA",IF(Tabla1[[#This Row],[DIFERENCIA]]&gt;0,"DEMAS")))</f>
        <v>FALTA</v>
      </c>
    </row>
    <row r="236" spans="2:12" x14ac:dyDescent="0.3">
      <c r="B236" s="43" t="s">
        <v>441</v>
      </c>
      <c r="C236" s="44">
        <v>45953</v>
      </c>
      <c r="D236" s="45" t="s">
        <v>449</v>
      </c>
      <c r="E236" s="43" t="s">
        <v>96</v>
      </c>
      <c r="F236" s="43">
        <v>100</v>
      </c>
      <c r="G236" s="43" t="s">
        <v>9</v>
      </c>
      <c r="H236" s="43" t="s">
        <v>469</v>
      </c>
      <c r="I236" s="43"/>
      <c r="J236" s="43"/>
      <c r="K236" s="43">
        <f>IF(Tabla1[[#This Row],[CANTIDAD ]]="","",Tabla1[[#This Row],[LLEGO REALMENTE]]-Tabla1[[#This Row],[CANTIDAD ]])</f>
        <v>-100</v>
      </c>
      <c r="L236" s="43" t="str">
        <f>IF(Tabla1[[#This Row],[DIFERENCIA]]=0,"CORECTO",IF(Tabla1[[#This Row],[DIFERENCIA]]&lt;0,"FALTA",IF(Tabla1[[#This Row],[DIFERENCIA]]&gt;0,"DEMAS")))</f>
        <v>FALTA</v>
      </c>
    </row>
    <row r="237" spans="2:12" x14ac:dyDescent="0.3">
      <c r="B237" s="43" t="s">
        <v>441</v>
      </c>
      <c r="C237" s="44">
        <v>45953</v>
      </c>
      <c r="D237" s="45" t="s">
        <v>450</v>
      </c>
      <c r="E237" s="43" t="s">
        <v>96</v>
      </c>
      <c r="F237" s="43">
        <v>2</v>
      </c>
      <c r="G237" s="43"/>
      <c r="H237" s="43"/>
      <c r="I237" s="43"/>
      <c r="J237" s="43"/>
      <c r="K237" s="43">
        <f>IF(Tabla1[[#This Row],[CANTIDAD ]]="","",Tabla1[[#This Row],[LLEGO REALMENTE]]-Tabla1[[#This Row],[CANTIDAD ]])</f>
        <v>-2</v>
      </c>
      <c r="L237" s="43" t="str">
        <f>IF(Tabla1[[#This Row],[DIFERENCIA]]=0,"CORECTO",IF(Tabla1[[#This Row],[DIFERENCIA]]&lt;0,"FALTA",IF(Tabla1[[#This Row],[DIFERENCIA]]&gt;0,"DEMAS")))</f>
        <v>FALTA</v>
      </c>
    </row>
    <row r="238" spans="2:12" x14ac:dyDescent="0.3">
      <c r="B238" s="43" t="s">
        <v>441</v>
      </c>
      <c r="C238" s="44">
        <v>45953</v>
      </c>
      <c r="D238" s="45" t="s">
        <v>451</v>
      </c>
      <c r="E238" s="43" t="s">
        <v>467</v>
      </c>
      <c r="F238" s="43">
        <v>2</v>
      </c>
      <c r="G238" s="43"/>
      <c r="H238" s="43"/>
      <c r="I238" s="43"/>
      <c r="J238" s="43"/>
      <c r="K238" s="43">
        <f>IF(Tabla1[[#This Row],[CANTIDAD ]]="","",Tabla1[[#This Row],[LLEGO REALMENTE]]-Tabla1[[#This Row],[CANTIDAD ]])</f>
        <v>-2</v>
      </c>
      <c r="L238" s="43" t="str">
        <f>IF(Tabla1[[#This Row],[DIFERENCIA]]=0,"CORECTO",IF(Tabla1[[#This Row],[DIFERENCIA]]&lt;0,"FALTA",IF(Tabla1[[#This Row],[DIFERENCIA]]&gt;0,"DEMAS")))</f>
        <v>FALTA</v>
      </c>
    </row>
    <row r="239" spans="2:12" x14ac:dyDescent="0.3">
      <c r="B239" s="43" t="s">
        <v>441</v>
      </c>
      <c r="C239" s="44">
        <v>45953</v>
      </c>
      <c r="D239" s="45" t="s">
        <v>452</v>
      </c>
      <c r="E239" s="43" t="s">
        <v>96</v>
      </c>
      <c r="F239" s="43">
        <v>1</v>
      </c>
      <c r="G239" s="43"/>
      <c r="H239" s="43"/>
      <c r="I239" s="43"/>
      <c r="J239" s="43"/>
      <c r="K239" s="43">
        <f>IF(Tabla1[[#This Row],[CANTIDAD ]]="","",Tabla1[[#This Row],[LLEGO REALMENTE]]-Tabla1[[#This Row],[CANTIDAD ]])</f>
        <v>-1</v>
      </c>
      <c r="L239" s="43" t="str">
        <f>IF(Tabla1[[#This Row],[DIFERENCIA]]=0,"CORECTO",IF(Tabla1[[#This Row],[DIFERENCIA]]&lt;0,"FALTA",IF(Tabla1[[#This Row],[DIFERENCIA]]&gt;0,"DEMAS")))</f>
        <v>FALTA</v>
      </c>
    </row>
    <row r="240" spans="2:12" x14ac:dyDescent="0.3">
      <c r="B240" s="43" t="s">
        <v>441</v>
      </c>
      <c r="C240" s="44">
        <v>45953</v>
      </c>
      <c r="D240" s="45" t="s">
        <v>453</v>
      </c>
      <c r="E240" s="43" t="s">
        <v>270</v>
      </c>
      <c r="F240" s="43">
        <v>400</v>
      </c>
      <c r="G240" s="43"/>
      <c r="H240" s="43"/>
      <c r="I240" s="43"/>
      <c r="J240" s="43"/>
      <c r="K240" s="43">
        <f>IF(Tabla1[[#This Row],[CANTIDAD ]]="","",Tabla1[[#This Row],[LLEGO REALMENTE]]-Tabla1[[#This Row],[CANTIDAD ]])</f>
        <v>-400</v>
      </c>
      <c r="L240" s="43" t="str">
        <f>IF(Tabla1[[#This Row],[DIFERENCIA]]=0,"CORECTO",IF(Tabla1[[#This Row],[DIFERENCIA]]&lt;0,"FALTA",IF(Tabla1[[#This Row],[DIFERENCIA]]&gt;0,"DEMAS")))</f>
        <v>FALTA</v>
      </c>
    </row>
    <row r="241" spans="2:12" x14ac:dyDescent="0.3">
      <c r="B241" s="43" t="s">
        <v>441</v>
      </c>
      <c r="C241" s="44">
        <v>45953</v>
      </c>
      <c r="D241" s="45" t="s">
        <v>454</v>
      </c>
      <c r="E241" s="43" t="s">
        <v>275</v>
      </c>
      <c r="F241" s="43">
        <v>60</v>
      </c>
      <c r="G241" s="43"/>
      <c r="H241" s="43"/>
      <c r="I241" s="43"/>
      <c r="J241" s="43"/>
      <c r="K241" s="43">
        <f>IF(Tabla1[[#This Row],[CANTIDAD ]]="","",Tabla1[[#This Row],[LLEGO REALMENTE]]-Tabla1[[#This Row],[CANTIDAD ]])</f>
        <v>-60</v>
      </c>
      <c r="L241" s="43" t="str">
        <f>IF(Tabla1[[#This Row],[DIFERENCIA]]=0,"CORECTO",IF(Tabla1[[#This Row],[DIFERENCIA]]&lt;0,"FALTA",IF(Tabla1[[#This Row],[DIFERENCIA]]&gt;0,"DEMAS")))</f>
        <v>FALTA</v>
      </c>
    </row>
    <row r="242" spans="2:12" x14ac:dyDescent="0.3">
      <c r="B242" s="43" t="s">
        <v>441</v>
      </c>
      <c r="C242" s="44">
        <v>45953</v>
      </c>
      <c r="D242" s="45" t="s">
        <v>455</v>
      </c>
      <c r="E242" s="43" t="s">
        <v>275</v>
      </c>
      <c r="F242" s="43">
        <v>60</v>
      </c>
      <c r="G242" s="43"/>
      <c r="H242" s="43"/>
      <c r="I242" s="43"/>
      <c r="J242" s="43"/>
      <c r="K242" s="43">
        <f>IF(Tabla1[[#This Row],[CANTIDAD ]]="","",Tabla1[[#This Row],[LLEGO REALMENTE]]-Tabla1[[#This Row],[CANTIDAD ]])</f>
        <v>-60</v>
      </c>
      <c r="L242" s="43" t="str">
        <f>IF(Tabla1[[#This Row],[DIFERENCIA]]=0,"CORECTO",IF(Tabla1[[#This Row],[DIFERENCIA]]&lt;0,"FALTA",IF(Tabla1[[#This Row],[DIFERENCIA]]&gt;0,"DEMAS")))</f>
        <v>FALTA</v>
      </c>
    </row>
    <row r="243" spans="2:12" x14ac:dyDescent="0.3">
      <c r="B243" s="43" t="s">
        <v>441</v>
      </c>
      <c r="C243" s="44">
        <v>45953</v>
      </c>
      <c r="D243" s="45" t="s">
        <v>456</v>
      </c>
      <c r="E243" s="43" t="s">
        <v>256</v>
      </c>
      <c r="F243" s="43">
        <v>2880</v>
      </c>
      <c r="G243" s="43"/>
      <c r="H243" s="43"/>
      <c r="I243" s="43"/>
      <c r="J243" s="43"/>
      <c r="K243" s="43">
        <f>IF(Tabla1[[#This Row],[CANTIDAD ]]="","",Tabla1[[#This Row],[LLEGO REALMENTE]]-Tabla1[[#This Row],[CANTIDAD ]])</f>
        <v>-2880</v>
      </c>
      <c r="L243" s="43" t="str">
        <f>IF(Tabla1[[#This Row],[DIFERENCIA]]=0,"CORECTO",IF(Tabla1[[#This Row],[DIFERENCIA]]&lt;0,"FALTA",IF(Tabla1[[#This Row],[DIFERENCIA]]&gt;0,"DEMAS")))</f>
        <v>FALTA</v>
      </c>
    </row>
    <row r="244" spans="2:12" x14ac:dyDescent="0.3">
      <c r="B244" s="43" t="s">
        <v>441</v>
      </c>
      <c r="C244" s="44">
        <v>45953</v>
      </c>
      <c r="D244" s="45" t="s">
        <v>457</v>
      </c>
      <c r="E244" s="43" t="s">
        <v>96</v>
      </c>
      <c r="F244" s="43">
        <v>60</v>
      </c>
      <c r="G244" s="43"/>
      <c r="H244" s="43"/>
      <c r="I244" s="43"/>
      <c r="J244" s="43"/>
      <c r="K244" s="43">
        <f>IF(Tabla1[[#This Row],[CANTIDAD ]]="","",Tabla1[[#This Row],[LLEGO REALMENTE]]-Tabla1[[#This Row],[CANTIDAD ]])</f>
        <v>-60</v>
      </c>
      <c r="L244" s="43" t="str">
        <f>IF(Tabla1[[#This Row],[DIFERENCIA]]=0,"CORECTO",IF(Tabla1[[#This Row],[DIFERENCIA]]&lt;0,"FALTA",IF(Tabla1[[#This Row],[DIFERENCIA]]&gt;0,"DEMAS")))</f>
        <v>FALTA</v>
      </c>
    </row>
    <row r="245" spans="2:12" x14ac:dyDescent="0.3">
      <c r="B245" s="43" t="s">
        <v>441</v>
      </c>
      <c r="C245" s="44">
        <v>45953</v>
      </c>
      <c r="D245" s="45" t="s">
        <v>458</v>
      </c>
      <c r="E245" s="43" t="s">
        <v>275</v>
      </c>
      <c r="F245" s="43">
        <v>60</v>
      </c>
      <c r="G245" s="43"/>
      <c r="H245" s="43"/>
      <c r="I245" s="43"/>
      <c r="J245" s="43"/>
      <c r="K245" s="43">
        <f>IF(Tabla1[[#This Row],[CANTIDAD ]]="","",Tabla1[[#This Row],[LLEGO REALMENTE]]-Tabla1[[#This Row],[CANTIDAD ]])</f>
        <v>-60</v>
      </c>
      <c r="L245" s="43" t="str">
        <f>IF(Tabla1[[#This Row],[DIFERENCIA]]=0,"CORECTO",IF(Tabla1[[#This Row],[DIFERENCIA]]&lt;0,"FALTA",IF(Tabla1[[#This Row],[DIFERENCIA]]&gt;0,"DEMAS")))</f>
        <v>FALTA</v>
      </c>
    </row>
    <row r="246" spans="2:12" ht="28.8" x14ac:dyDescent="0.3">
      <c r="B246" s="43" t="s">
        <v>441</v>
      </c>
      <c r="C246" s="44">
        <v>45953</v>
      </c>
      <c r="D246" s="45" t="s">
        <v>459</v>
      </c>
      <c r="E246" s="43" t="s">
        <v>96</v>
      </c>
      <c r="F246" s="43">
        <v>1</v>
      </c>
      <c r="G246" s="43" t="s">
        <v>379</v>
      </c>
      <c r="H246" s="43" t="s">
        <v>204</v>
      </c>
      <c r="I246" s="43"/>
      <c r="J246" s="43"/>
      <c r="K246" s="43">
        <f>IF(Tabla1[[#This Row],[CANTIDAD ]]="","",Tabla1[[#This Row],[LLEGO REALMENTE]]-Tabla1[[#This Row],[CANTIDAD ]])</f>
        <v>-1</v>
      </c>
      <c r="L246" s="43" t="str">
        <f>IF(Tabla1[[#This Row],[DIFERENCIA]]=0,"CORECTO",IF(Tabla1[[#This Row],[DIFERENCIA]]&lt;0,"FALTA",IF(Tabla1[[#This Row],[DIFERENCIA]]&gt;0,"DEMAS")))</f>
        <v>FALTA</v>
      </c>
    </row>
    <row r="247" spans="2:12" x14ac:dyDescent="0.3">
      <c r="B247" s="43" t="s">
        <v>441</v>
      </c>
      <c r="C247" s="44">
        <v>45953</v>
      </c>
      <c r="D247" s="45" t="s">
        <v>460</v>
      </c>
      <c r="E247" s="43" t="s">
        <v>468</v>
      </c>
      <c r="F247" s="43">
        <v>1071</v>
      </c>
      <c r="G247" s="43" t="s">
        <v>276</v>
      </c>
      <c r="H247" s="43" t="s">
        <v>122</v>
      </c>
      <c r="I247" s="43"/>
      <c r="J247" s="43"/>
      <c r="K247" s="43">
        <f>IF(Tabla1[[#This Row],[CANTIDAD ]]="","",Tabla1[[#This Row],[LLEGO REALMENTE]]-Tabla1[[#This Row],[CANTIDAD ]])</f>
        <v>-1071</v>
      </c>
      <c r="L247" s="43" t="str">
        <f>IF(Tabla1[[#This Row],[DIFERENCIA]]=0,"CORECTO",IF(Tabla1[[#This Row],[DIFERENCIA]]&lt;0,"FALTA",IF(Tabla1[[#This Row],[DIFERENCIA]]&gt;0,"DEMAS")))</f>
        <v>FALTA</v>
      </c>
    </row>
    <row r="248" spans="2:12" x14ac:dyDescent="0.3">
      <c r="B248" s="43" t="s">
        <v>441</v>
      </c>
      <c r="C248" s="44">
        <v>45953</v>
      </c>
      <c r="D248" s="45" t="s">
        <v>461</v>
      </c>
      <c r="E248" s="43" t="s">
        <v>270</v>
      </c>
      <c r="F248" s="43">
        <v>11926</v>
      </c>
      <c r="G248" s="43" t="s">
        <v>276</v>
      </c>
      <c r="H248" s="43" t="s">
        <v>122</v>
      </c>
      <c r="I248" s="43"/>
      <c r="J248" s="43"/>
      <c r="K248" s="43">
        <f>IF(Tabla1[[#This Row],[CANTIDAD ]]="","",Tabla1[[#This Row],[LLEGO REALMENTE]]-Tabla1[[#This Row],[CANTIDAD ]])</f>
        <v>-11926</v>
      </c>
      <c r="L248" s="43" t="str">
        <f>IF(Tabla1[[#This Row],[DIFERENCIA]]=0,"CORECTO",IF(Tabla1[[#This Row],[DIFERENCIA]]&lt;0,"FALTA",IF(Tabla1[[#This Row],[DIFERENCIA]]&gt;0,"DEMAS")))</f>
        <v>FALTA</v>
      </c>
    </row>
    <row r="249" spans="2:12" ht="43.2" x14ac:dyDescent="0.3">
      <c r="B249" s="43" t="s">
        <v>441</v>
      </c>
      <c r="C249" s="44">
        <v>45953</v>
      </c>
      <c r="D249" s="45" t="s">
        <v>462</v>
      </c>
      <c r="E249" s="43" t="s">
        <v>96</v>
      </c>
      <c r="F249" s="43">
        <v>1</v>
      </c>
      <c r="G249" s="43" t="s">
        <v>276</v>
      </c>
      <c r="H249" s="43" t="s">
        <v>122</v>
      </c>
      <c r="I249" s="43"/>
      <c r="J249" s="43"/>
      <c r="K249" s="43">
        <f>IF(Tabla1[[#This Row],[CANTIDAD ]]="","",Tabla1[[#This Row],[LLEGO REALMENTE]]-Tabla1[[#This Row],[CANTIDAD ]])</f>
        <v>-1</v>
      </c>
      <c r="L249" s="43" t="str">
        <f>IF(Tabla1[[#This Row],[DIFERENCIA]]=0,"CORECTO",IF(Tabla1[[#This Row],[DIFERENCIA]]&lt;0,"FALTA",IF(Tabla1[[#This Row],[DIFERENCIA]]&gt;0,"DEMAS")))</f>
        <v>FALTA</v>
      </c>
    </row>
    <row r="250" spans="2:12" x14ac:dyDescent="0.3">
      <c r="B250" s="43" t="s">
        <v>441</v>
      </c>
      <c r="C250" s="44">
        <v>45953</v>
      </c>
      <c r="D250" s="45" t="s">
        <v>463</v>
      </c>
      <c r="E250" s="43" t="s">
        <v>96</v>
      </c>
      <c r="F250" s="43">
        <v>1</v>
      </c>
      <c r="G250" s="43" t="s">
        <v>276</v>
      </c>
      <c r="H250" s="43" t="s">
        <v>122</v>
      </c>
      <c r="I250" s="43"/>
      <c r="J250" s="43"/>
      <c r="K250" s="43">
        <f>IF(Tabla1[[#This Row],[CANTIDAD ]]="","",Tabla1[[#This Row],[LLEGO REALMENTE]]-Tabla1[[#This Row],[CANTIDAD ]])</f>
        <v>-1</v>
      </c>
      <c r="L250" s="43" t="str">
        <f>IF(Tabla1[[#This Row],[DIFERENCIA]]=0,"CORECTO",IF(Tabla1[[#This Row],[DIFERENCIA]]&lt;0,"FALTA",IF(Tabla1[[#This Row],[DIFERENCIA]]&gt;0,"DEMAS")))</f>
        <v>FALTA</v>
      </c>
    </row>
    <row r="251" spans="2:12" ht="28.8" x14ac:dyDescent="0.3">
      <c r="B251" s="43" t="s">
        <v>441</v>
      </c>
      <c r="C251" s="44">
        <v>45953</v>
      </c>
      <c r="D251" s="45" t="s">
        <v>464</v>
      </c>
      <c r="E251" s="43" t="s">
        <v>96</v>
      </c>
      <c r="F251" s="43">
        <v>1</v>
      </c>
      <c r="G251" s="43" t="s">
        <v>276</v>
      </c>
      <c r="H251" s="43" t="s">
        <v>122</v>
      </c>
      <c r="I251" s="43"/>
      <c r="J251" s="43"/>
      <c r="K251" s="43">
        <f>IF(Tabla1[[#This Row],[CANTIDAD ]]="","",Tabla1[[#This Row],[LLEGO REALMENTE]]-Tabla1[[#This Row],[CANTIDAD ]])</f>
        <v>-1</v>
      </c>
      <c r="L251" s="43" t="str">
        <f>IF(Tabla1[[#This Row],[DIFERENCIA]]=0,"CORECTO",IF(Tabla1[[#This Row],[DIFERENCIA]]&lt;0,"FALTA",IF(Tabla1[[#This Row],[DIFERENCIA]]&gt;0,"DEMAS")))</f>
        <v>FALTA</v>
      </c>
    </row>
    <row r="252" spans="2:12" ht="28.8" x14ac:dyDescent="0.3">
      <c r="B252" s="43" t="s">
        <v>441</v>
      </c>
      <c r="C252" s="44">
        <v>45953</v>
      </c>
      <c r="D252" s="45" t="s">
        <v>391</v>
      </c>
      <c r="E252" s="43" t="s">
        <v>96</v>
      </c>
      <c r="F252" s="43">
        <v>1</v>
      </c>
      <c r="G252" s="43" t="s">
        <v>276</v>
      </c>
      <c r="H252" s="43" t="s">
        <v>122</v>
      </c>
      <c r="I252" s="43"/>
      <c r="J252" s="43"/>
      <c r="K252" s="43">
        <f>IF(Tabla1[[#This Row],[CANTIDAD ]]="","",Tabla1[[#This Row],[LLEGO REALMENTE]]-Tabla1[[#This Row],[CANTIDAD ]])</f>
        <v>-1</v>
      </c>
      <c r="L252" s="43" t="str">
        <f>IF(Tabla1[[#This Row],[DIFERENCIA]]=0,"CORECTO",IF(Tabla1[[#This Row],[DIFERENCIA]]&lt;0,"FALTA",IF(Tabla1[[#This Row],[DIFERENCIA]]&gt;0,"DEMAS")))</f>
        <v>FALTA</v>
      </c>
    </row>
    <row r="253" spans="2:12" x14ac:dyDescent="0.3">
      <c r="B253" s="43" t="s">
        <v>441</v>
      </c>
      <c r="C253" s="44">
        <v>45953</v>
      </c>
      <c r="D253" s="45" t="s">
        <v>465</v>
      </c>
      <c r="E253" s="43" t="s">
        <v>167</v>
      </c>
      <c r="F253" s="43">
        <v>1</v>
      </c>
      <c r="G253" s="43" t="s">
        <v>276</v>
      </c>
      <c r="H253" s="43" t="s">
        <v>122</v>
      </c>
      <c r="I253" s="43"/>
      <c r="J253" s="43"/>
      <c r="K253" s="43">
        <f>IF(Tabla1[[#This Row],[CANTIDAD ]]="","",Tabla1[[#This Row],[LLEGO REALMENTE]]-Tabla1[[#This Row],[CANTIDAD ]])</f>
        <v>-1</v>
      </c>
      <c r="L253" s="43" t="str">
        <f>IF(Tabla1[[#This Row],[DIFERENCIA]]=0,"CORECTO",IF(Tabla1[[#This Row],[DIFERENCIA]]&lt;0,"FALTA",IF(Tabla1[[#This Row],[DIFERENCIA]]&gt;0,"DEMAS")))</f>
        <v>FALTA</v>
      </c>
    </row>
    <row r="254" spans="2:12" x14ac:dyDescent="0.3">
      <c r="B254" s="43" t="s">
        <v>441</v>
      </c>
      <c r="C254" s="44">
        <v>45953</v>
      </c>
      <c r="D254" s="45" t="s">
        <v>466</v>
      </c>
      <c r="E254" s="43" t="s">
        <v>96</v>
      </c>
      <c r="F254" s="43">
        <v>60</v>
      </c>
      <c r="G254" s="43"/>
      <c r="H254" s="43"/>
      <c r="I254" s="43"/>
      <c r="J254" s="43"/>
      <c r="K254" s="43">
        <f>IF(Tabla1[[#This Row],[CANTIDAD ]]="","",Tabla1[[#This Row],[LLEGO REALMENTE]]-Tabla1[[#This Row],[CANTIDAD ]])</f>
        <v>-60</v>
      </c>
      <c r="L254" s="43" t="str">
        <f>IF(Tabla1[[#This Row],[DIFERENCIA]]=0,"CORECTO",IF(Tabla1[[#This Row],[DIFERENCIA]]&lt;0,"FALTA",IF(Tabla1[[#This Row],[DIFERENCIA]]&gt;0,"DEMAS")))</f>
        <v>FALTA</v>
      </c>
    </row>
    <row r="255" spans="2:12" x14ac:dyDescent="0.3">
      <c r="B255" s="43" t="s">
        <v>441</v>
      </c>
      <c r="C255" s="44">
        <v>45953</v>
      </c>
      <c r="D255" s="45" t="s">
        <v>431</v>
      </c>
      <c r="E255" s="43" t="s">
        <v>288</v>
      </c>
      <c r="F255" s="43">
        <v>2</v>
      </c>
      <c r="G255" s="43" t="s">
        <v>329</v>
      </c>
      <c r="H255" s="43" t="s">
        <v>324</v>
      </c>
      <c r="I255" s="43"/>
      <c r="J255" s="43"/>
      <c r="K255" s="43">
        <f>IF(Tabla1[[#This Row],[CANTIDAD ]]="","",Tabla1[[#This Row],[LLEGO REALMENTE]]-Tabla1[[#This Row],[CANTIDAD ]])</f>
        <v>-2</v>
      </c>
      <c r="L255" s="43" t="str">
        <f>IF(Tabla1[[#This Row],[DIFERENCIA]]=0,"CORECTO",IF(Tabla1[[#This Row],[DIFERENCIA]]&lt;0,"FALTA",IF(Tabla1[[#This Row],[DIFERENCIA]]&gt;0,"DEMAS")))</f>
        <v>FALTA</v>
      </c>
    </row>
    <row r="256" spans="2:12" x14ac:dyDescent="0.3">
      <c r="B256" s="43" t="s">
        <v>441</v>
      </c>
      <c r="C256" s="44">
        <v>45953</v>
      </c>
      <c r="D256" s="45" t="s">
        <v>359</v>
      </c>
      <c r="E256" s="43" t="s">
        <v>96</v>
      </c>
      <c r="F256" s="43">
        <v>6</v>
      </c>
      <c r="G256" s="43" t="s">
        <v>329</v>
      </c>
      <c r="H256" s="43" t="s">
        <v>324</v>
      </c>
      <c r="I256" s="43"/>
      <c r="J256" s="43"/>
      <c r="K256" s="43">
        <f>IF(Tabla1[[#This Row],[CANTIDAD ]]="","",Tabla1[[#This Row],[LLEGO REALMENTE]]-Tabla1[[#This Row],[CANTIDAD ]])</f>
        <v>-6</v>
      </c>
      <c r="L256" s="43" t="str">
        <f>IF(Tabla1[[#This Row],[DIFERENCIA]]=0,"CORECTO",IF(Tabla1[[#This Row],[DIFERENCIA]]&lt;0,"FALTA",IF(Tabla1[[#This Row],[DIFERENCIA]]&gt;0,"DEMAS")))</f>
        <v>FALTA</v>
      </c>
    </row>
    <row r="257" spans="2:12" x14ac:dyDescent="0.3">
      <c r="B257" s="43" t="s">
        <v>441</v>
      </c>
      <c r="C257" s="44">
        <v>45953</v>
      </c>
      <c r="D257" s="45" t="s">
        <v>470</v>
      </c>
      <c r="E257" s="43" t="s">
        <v>96</v>
      </c>
      <c r="F257" s="43">
        <v>12</v>
      </c>
      <c r="G257" s="43" t="s">
        <v>329</v>
      </c>
      <c r="H257" s="43" t="s">
        <v>324</v>
      </c>
      <c r="I257" s="43"/>
      <c r="J257" s="43"/>
      <c r="K257" s="43">
        <f>IF(Tabla1[[#This Row],[CANTIDAD ]]="","",Tabla1[[#This Row],[LLEGO REALMENTE]]-Tabla1[[#This Row],[CANTIDAD ]])</f>
        <v>-12</v>
      </c>
      <c r="L257" s="43" t="str">
        <f>IF(Tabla1[[#This Row],[DIFERENCIA]]=0,"CORECTO",IF(Tabla1[[#This Row],[DIFERENCIA]]&lt;0,"FALTA",IF(Tabla1[[#This Row],[DIFERENCIA]]&gt;0,"DEMAS")))</f>
        <v>FALTA</v>
      </c>
    </row>
    <row r="258" spans="2:12" x14ac:dyDescent="0.3">
      <c r="B258" s="43" t="s">
        <v>441</v>
      </c>
      <c r="C258" s="44">
        <v>45953</v>
      </c>
      <c r="D258" s="45" t="s">
        <v>471</v>
      </c>
      <c r="E258" s="43" t="s">
        <v>96</v>
      </c>
      <c r="F258" s="43">
        <v>24</v>
      </c>
      <c r="G258" s="43" t="s">
        <v>329</v>
      </c>
      <c r="H258" s="43" t="s">
        <v>324</v>
      </c>
      <c r="I258" s="43"/>
      <c r="J258" s="43"/>
      <c r="K258" s="43">
        <f>IF(Tabla1[[#This Row],[CANTIDAD ]]="","",Tabla1[[#This Row],[LLEGO REALMENTE]]-Tabla1[[#This Row],[CANTIDAD ]])</f>
        <v>-24</v>
      </c>
      <c r="L258" s="43" t="str">
        <f>IF(Tabla1[[#This Row],[DIFERENCIA]]=0,"CORECTO",IF(Tabla1[[#This Row],[DIFERENCIA]]&lt;0,"FALTA",IF(Tabla1[[#This Row],[DIFERENCIA]]&gt;0,"DEMAS")))</f>
        <v>FALTA</v>
      </c>
    </row>
    <row r="259" spans="2:12" x14ac:dyDescent="0.3">
      <c r="B259" s="43" t="s">
        <v>441</v>
      </c>
      <c r="C259" s="44">
        <v>45953</v>
      </c>
      <c r="D259" s="45" t="s">
        <v>472</v>
      </c>
      <c r="E259" s="43" t="s">
        <v>342</v>
      </c>
      <c r="F259" s="43">
        <v>5</v>
      </c>
      <c r="G259" s="43" t="s">
        <v>329</v>
      </c>
      <c r="H259" s="43" t="s">
        <v>324</v>
      </c>
      <c r="I259" s="43"/>
      <c r="J259" s="43"/>
      <c r="K259" s="43">
        <f>IF(Tabla1[[#This Row],[CANTIDAD ]]="","",Tabla1[[#This Row],[LLEGO REALMENTE]]-Tabla1[[#This Row],[CANTIDAD ]])</f>
        <v>-5</v>
      </c>
      <c r="L259" s="43" t="str">
        <f>IF(Tabla1[[#This Row],[DIFERENCIA]]=0,"CORECTO",IF(Tabla1[[#This Row],[DIFERENCIA]]&lt;0,"FALTA",IF(Tabla1[[#This Row],[DIFERENCIA]]&gt;0,"DEMAS")))</f>
        <v>FALTA</v>
      </c>
    </row>
    <row r="260" spans="2:12" x14ac:dyDescent="0.3">
      <c r="B260" s="43" t="s">
        <v>441</v>
      </c>
      <c r="C260" s="44">
        <v>45953</v>
      </c>
      <c r="D260" s="45" t="s">
        <v>473</v>
      </c>
      <c r="E260" s="43" t="s">
        <v>96</v>
      </c>
      <c r="F260" s="43">
        <v>2</v>
      </c>
      <c r="G260" s="43" t="s">
        <v>349</v>
      </c>
      <c r="H260" s="43" t="s">
        <v>474</v>
      </c>
      <c r="I260" s="43" t="s">
        <v>475</v>
      </c>
      <c r="J260" s="43"/>
      <c r="K260" s="43">
        <f>IF(Tabla1[[#This Row],[CANTIDAD ]]="","",Tabla1[[#This Row],[LLEGO REALMENTE]]-Tabla1[[#This Row],[CANTIDAD ]])</f>
        <v>-2</v>
      </c>
      <c r="L260" s="43" t="str">
        <f>IF(Tabla1[[#This Row],[DIFERENCIA]]=0,"CORECTO",IF(Tabla1[[#This Row],[DIFERENCIA]]&lt;0,"FALTA",IF(Tabla1[[#This Row],[DIFERENCIA]]&gt;0,"DEMAS")))</f>
        <v>FALTA</v>
      </c>
    </row>
    <row r="261" spans="2:12" x14ac:dyDescent="0.3">
      <c r="B261" s="43" t="s">
        <v>441</v>
      </c>
      <c r="C261" s="44">
        <v>45953</v>
      </c>
      <c r="D261" s="45" t="s">
        <v>476</v>
      </c>
      <c r="E261" s="43" t="s">
        <v>96</v>
      </c>
      <c r="F261" s="43">
        <v>30</v>
      </c>
      <c r="G261" s="43" t="s">
        <v>329</v>
      </c>
      <c r="H261" s="43" t="s">
        <v>324</v>
      </c>
      <c r="I261" s="43"/>
      <c r="J261" s="43"/>
      <c r="K261" s="43">
        <f>IF(Tabla1[[#This Row],[CANTIDAD ]]="","",Tabla1[[#This Row],[LLEGO REALMENTE]]-Tabla1[[#This Row],[CANTIDAD ]])</f>
        <v>-30</v>
      </c>
      <c r="L261" s="43" t="str">
        <f>IF(Tabla1[[#This Row],[DIFERENCIA]]=0,"CORECTO",IF(Tabla1[[#This Row],[DIFERENCIA]]&lt;0,"FALTA",IF(Tabla1[[#This Row],[DIFERENCIA]]&gt;0,"DEMAS")))</f>
        <v>FALTA</v>
      </c>
    </row>
    <row r="262" spans="2:12" x14ac:dyDescent="0.3">
      <c r="B262" s="43" t="s">
        <v>441</v>
      </c>
      <c r="C262" s="44">
        <v>45953</v>
      </c>
      <c r="D262" s="45" t="s">
        <v>477</v>
      </c>
      <c r="E262" s="43" t="s">
        <v>96</v>
      </c>
      <c r="F262" s="43">
        <v>20</v>
      </c>
      <c r="G262" s="43" t="s">
        <v>329</v>
      </c>
      <c r="H262" s="43" t="s">
        <v>324</v>
      </c>
      <c r="I262" s="43"/>
      <c r="J262" s="43"/>
      <c r="K262" s="43">
        <f>IF(Tabla1[[#This Row],[CANTIDAD ]]="","",Tabla1[[#This Row],[LLEGO REALMENTE]]-Tabla1[[#This Row],[CANTIDAD ]])</f>
        <v>-20</v>
      </c>
      <c r="L262" s="43" t="str">
        <f>IF(Tabla1[[#This Row],[DIFERENCIA]]=0,"CORECTO",IF(Tabla1[[#This Row],[DIFERENCIA]]&lt;0,"FALTA",IF(Tabla1[[#This Row],[DIFERENCIA]]&gt;0,"DEMAS")))</f>
        <v>FALTA</v>
      </c>
    </row>
    <row r="263" spans="2:12" x14ac:dyDescent="0.3">
      <c r="B263" s="43" t="s">
        <v>441</v>
      </c>
      <c r="C263" s="44">
        <v>45953</v>
      </c>
      <c r="D263" s="45" t="s">
        <v>478</v>
      </c>
      <c r="E263" s="43" t="s">
        <v>96</v>
      </c>
      <c r="F263" s="43">
        <v>10</v>
      </c>
      <c r="G263" s="43" t="s">
        <v>329</v>
      </c>
      <c r="H263" s="43" t="s">
        <v>324</v>
      </c>
      <c r="I263" s="43"/>
      <c r="J263" s="43"/>
      <c r="K263" s="43">
        <f>IF(Tabla1[[#This Row],[CANTIDAD ]]="","",Tabla1[[#This Row],[LLEGO REALMENTE]]-Tabla1[[#This Row],[CANTIDAD ]])</f>
        <v>-10</v>
      </c>
      <c r="L263" s="43" t="str">
        <f>IF(Tabla1[[#This Row],[DIFERENCIA]]=0,"CORECTO",IF(Tabla1[[#This Row],[DIFERENCIA]]&lt;0,"FALTA",IF(Tabla1[[#This Row],[DIFERENCIA]]&gt;0,"DEMAS")))</f>
        <v>FALTA</v>
      </c>
    </row>
    <row r="264" spans="2:12" x14ac:dyDescent="0.3">
      <c r="B264" s="43" t="s">
        <v>441</v>
      </c>
      <c r="C264" s="44">
        <v>45953</v>
      </c>
      <c r="D264" s="45" t="s">
        <v>479</v>
      </c>
      <c r="E264" s="43" t="s">
        <v>96</v>
      </c>
      <c r="F264" s="43">
        <v>20</v>
      </c>
      <c r="G264" s="43" t="s">
        <v>329</v>
      </c>
      <c r="H264" s="43" t="s">
        <v>324</v>
      </c>
      <c r="I264" s="43"/>
      <c r="J264" s="43"/>
      <c r="K264" s="43">
        <f>IF(Tabla1[[#This Row],[CANTIDAD ]]="","",Tabla1[[#This Row],[LLEGO REALMENTE]]-Tabla1[[#This Row],[CANTIDAD ]])</f>
        <v>-20</v>
      </c>
      <c r="L264" s="43" t="str">
        <f>IF(Tabla1[[#This Row],[DIFERENCIA]]=0,"CORECTO",IF(Tabla1[[#This Row],[DIFERENCIA]]&lt;0,"FALTA",IF(Tabla1[[#This Row],[DIFERENCIA]]&gt;0,"DEMAS")))</f>
        <v>FALTA</v>
      </c>
    </row>
    <row r="265" spans="2:12" x14ac:dyDescent="0.3">
      <c r="B265" s="43" t="s">
        <v>441</v>
      </c>
      <c r="C265" s="44">
        <v>45953</v>
      </c>
      <c r="D265" s="45" t="s">
        <v>480</v>
      </c>
      <c r="E265" s="43" t="s">
        <v>96</v>
      </c>
      <c r="F265" s="43">
        <v>16</v>
      </c>
      <c r="G265" s="43" t="s">
        <v>329</v>
      </c>
      <c r="H265" s="43" t="s">
        <v>324</v>
      </c>
      <c r="I265" s="43"/>
      <c r="J265" s="43"/>
      <c r="K265" s="43">
        <f>IF(Tabla1[[#This Row],[CANTIDAD ]]="","",Tabla1[[#This Row],[LLEGO REALMENTE]]-Tabla1[[#This Row],[CANTIDAD ]])</f>
        <v>-16</v>
      </c>
      <c r="L265" s="43" t="str">
        <f>IF(Tabla1[[#This Row],[DIFERENCIA]]=0,"CORECTO",IF(Tabla1[[#This Row],[DIFERENCIA]]&lt;0,"FALTA",IF(Tabla1[[#This Row],[DIFERENCIA]]&gt;0,"DEMAS")))</f>
        <v>FALTA</v>
      </c>
    </row>
    <row r="266" spans="2:12" x14ac:dyDescent="0.3">
      <c r="B266" s="43" t="s">
        <v>441</v>
      </c>
      <c r="C266" s="44">
        <v>45953</v>
      </c>
      <c r="D266" s="45" t="s">
        <v>481</v>
      </c>
      <c r="E266" s="43" t="s">
        <v>96</v>
      </c>
      <c r="F266" s="43">
        <v>6</v>
      </c>
      <c r="G266" s="43" t="s">
        <v>329</v>
      </c>
      <c r="H266" s="43" t="s">
        <v>324</v>
      </c>
      <c r="I266" s="43"/>
      <c r="J266" s="43"/>
      <c r="K266" s="43">
        <f>IF(Tabla1[[#This Row],[CANTIDAD ]]="","",Tabla1[[#This Row],[LLEGO REALMENTE]]-Tabla1[[#This Row],[CANTIDAD ]])</f>
        <v>-6</v>
      </c>
      <c r="L266" s="43" t="str">
        <f>IF(Tabla1[[#This Row],[DIFERENCIA]]=0,"CORECTO",IF(Tabla1[[#This Row],[DIFERENCIA]]&lt;0,"FALTA",IF(Tabla1[[#This Row],[DIFERENCIA]]&gt;0,"DEMAS")))</f>
        <v>FALTA</v>
      </c>
    </row>
    <row r="267" spans="2:12" x14ac:dyDescent="0.3">
      <c r="B267" s="43" t="s">
        <v>441</v>
      </c>
      <c r="C267" s="44">
        <v>45953</v>
      </c>
      <c r="D267" s="45" t="s">
        <v>482</v>
      </c>
      <c r="E267" s="43" t="s">
        <v>96</v>
      </c>
      <c r="F267" s="43">
        <v>40</v>
      </c>
      <c r="G267" s="43" t="s">
        <v>483</v>
      </c>
      <c r="H267" s="43" t="s">
        <v>324</v>
      </c>
      <c r="I267" s="43"/>
      <c r="J267" s="43"/>
      <c r="K267" s="43">
        <f>IF(Tabla1[[#This Row],[CANTIDAD ]]="","",Tabla1[[#This Row],[LLEGO REALMENTE]]-Tabla1[[#This Row],[CANTIDAD ]])</f>
        <v>-40</v>
      </c>
      <c r="L267" s="43" t="str">
        <f>IF(Tabla1[[#This Row],[DIFERENCIA]]=0,"CORECTO",IF(Tabla1[[#This Row],[DIFERENCIA]]&lt;0,"FALTA",IF(Tabla1[[#This Row],[DIFERENCIA]]&gt;0,"DEMAS")))</f>
        <v>FALTA</v>
      </c>
    </row>
    <row r="268" spans="2:12" x14ac:dyDescent="0.3">
      <c r="B268" s="43" t="s">
        <v>441</v>
      </c>
      <c r="C268" s="44">
        <v>45953</v>
      </c>
      <c r="D268" s="45" t="s">
        <v>484</v>
      </c>
      <c r="E268" s="43" t="s">
        <v>96</v>
      </c>
      <c r="F268" s="43">
        <v>200</v>
      </c>
      <c r="G268" s="43" t="s">
        <v>329</v>
      </c>
      <c r="H268" s="43" t="s">
        <v>324</v>
      </c>
      <c r="I268" s="43"/>
      <c r="J268" s="43"/>
      <c r="K268" s="43">
        <f>IF(Tabla1[[#This Row],[CANTIDAD ]]="","",Tabla1[[#This Row],[LLEGO REALMENTE]]-Tabla1[[#This Row],[CANTIDAD ]])</f>
        <v>-200</v>
      </c>
      <c r="L268" s="43" t="str">
        <f>IF(Tabla1[[#This Row],[DIFERENCIA]]=0,"CORECTO",IF(Tabla1[[#This Row],[DIFERENCIA]]&lt;0,"FALTA",IF(Tabla1[[#This Row],[DIFERENCIA]]&gt;0,"DEMAS")))</f>
        <v>FALTA</v>
      </c>
    </row>
    <row r="269" spans="2:12" x14ac:dyDescent="0.3">
      <c r="B269" s="43" t="s">
        <v>441</v>
      </c>
      <c r="C269" s="44">
        <v>45953</v>
      </c>
      <c r="D269" s="45" t="s">
        <v>485</v>
      </c>
      <c r="E269" s="43" t="s">
        <v>96</v>
      </c>
      <c r="F269" s="43">
        <v>15</v>
      </c>
      <c r="G269" s="43" t="s">
        <v>329</v>
      </c>
      <c r="H269" s="43" t="s">
        <v>324</v>
      </c>
      <c r="I269" s="43"/>
      <c r="J269" s="43"/>
      <c r="K269" s="43">
        <f>IF(Tabla1[[#This Row],[CANTIDAD ]]="","",Tabla1[[#This Row],[LLEGO REALMENTE]]-Tabla1[[#This Row],[CANTIDAD ]])</f>
        <v>-15</v>
      </c>
      <c r="L269" s="43" t="str">
        <f>IF(Tabla1[[#This Row],[DIFERENCIA]]=0,"CORECTO",IF(Tabla1[[#This Row],[DIFERENCIA]]&lt;0,"FALTA",IF(Tabla1[[#This Row],[DIFERENCIA]]&gt;0,"DEMAS")))</f>
        <v>FALTA</v>
      </c>
    </row>
    <row r="270" spans="2:12" x14ac:dyDescent="0.3">
      <c r="B270" s="43" t="s">
        <v>441</v>
      </c>
      <c r="C270" s="44">
        <v>45953</v>
      </c>
      <c r="D270" s="45" t="s">
        <v>486</v>
      </c>
      <c r="E270" s="43" t="s">
        <v>96</v>
      </c>
      <c r="F270" s="43">
        <v>60</v>
      </c>
      <c r="G270" s="43" t="s">
        <v>483</v>
      </c>
      <c r="H270" s="43" t="s">
        <v>324</v>
      </c>
      <c r="I270" s="43"/>
      <c r="J270" s="43"/>
      <c r="K270" s="43">
        <f>IF(Tabla1[[#This Row],[CANTIDAD ]]="","",Tabla1[[#This Row],[LLEGO REALMENTE]]-Tabla1[[#This Row],[CANTIDAD ]])</f>
        <v>-60</v>
      </c>
      <c r="L270" s="43" t="str">
        <f>IF(Tabla1[[#This Row],[DIFERENCIA]]=0,"CORECTO",IF(Tabla1[[#This Row],[DIFERENCIA]]&lt;0,"FALTA",IF(Tabla1[[#This Row],[DIFERENCIA]]&gt;0,"DEMAS")))</f>
        <v>FALTA</v>
      </c>
    </row>
    <row r="271" spans="2:12" x14ac:dyDescent="0.3">
      <c r="B271" s="43" t="s">
        <v>441</v>
      </c>
      <c r="C271" s="44">
        <v>45953</v>
      </c>
      <c r="D271" s="45" t="s">
        <v>487</v>
      </c>
      <c r="E271" s="43" t="s">
        <v>96</v>
      </c>
      <c r="F271" s="43">
        <v>6</v>
      </c>
      <c r="G271" s="43" t="s">
        <v>329</v>
      </c>
      <c r="H271" s="43" t="s">
        <v>324</v>
      </c>
      <c r="I271" s="43"/>
      <c r="J271" s="43"/>
      <c r="K271" s="43">
        <f>IF(Tabla1[[#This Row],[CANTIDAD ]]="","",Tabla1[[#This Row],[LLEGO REALMENTE]]-Tabla1[[#This Row],[CANTIDAD ]])</f>
        <v>-6</v>
      </c>
      <c r="L271" s="43" t="str">
        <f>IF(Tabla1[[#This Row],[DIFERENCIA]]=0,"CORECTO",IF(Tabla1[[#This Row],[DIFERENCIA]]&lt;0,"FALTA",IF(Tabla1[[#This Row],[DIFERENCIA]]&gt;0,"DEMAS")))</f>
        <v>FALTA</v>
      </c>
    </row>
    <row r="272" spans="2:12" x14ac:dyDescent="0.3">
      <c r="B272" s="43" t="s">
        <v>441</v>
      </c>
      <c r="C272" s="44">
        <v>45953</v>
      </c>
      <c r="D272" s="45" t="s">
        <v>488</v>
      </c>
      <c r="E272" s="43" t="s">
        <v>96</v>
      </c>
      <c r="F272" s="43">
        <v>5</v>
      </c>
      <c r="G272" s="43" t="s">
        <v>483</v>
      </c>
      <c r="H272" s="43" t="s">
        <v>324</v>
      </c>
      <c r="I272" s="43"/>
      <c r="J272" s="43"/>
      <c r="K272" s="43">
        <f>IF(Tabla1[[#This Row],[CANTIDAD ]]="","",Tabla1[[#This Row],[LLEGO REALMENTE]]-Tabla1[[#This Row],[CANTIDAD ]])</f>
        <v>-5</v>
      </c>
      <c r="L272" s="43" t="str">
        <f>IF(Tabla1[[#This Row],[DIFERENCIA]]=0,"CORECTO",IF(Tabla1[[#This Row],[DIFERENCIA]]&lt;0,"FALTA",IF(Tabla1[[#This Row],[DIFERENCIA]]&gt;0,"DEMAS")))</f>
        <v>FALTA</v>
      </c>
    </row>
    <row r="273" spans="2:12" x14ac:dyDescent="0.3">
      <c r="B273" s="43" t="s">
        <v>441</v>
      </c>
      <c r="C273" s="44">
        <v>45953</v>
      </c>
      <c r="D273" s="45" t="s">
        <v>493</v>
      </c>
      <c r="E273" s="43" t="s">
        <v>96</v>
      </c>
      <c r="F273" s="43">
        <v>2</v>
      </c>
      <c r="G273" s="43" t="s">
        <v>276</v>
      </c>
      <c r="H273" s="43" t="s">
        <v>383</v>
      </c>
      <c r="I273" s="43"/>
      <c r="J273" s="43"/>
      <c r="K273" s="43">
        <f>IF(Tabla1[[#This Row],[CANTIDAD ]]="","",Tabla1[[#This Row],[LLEGO REALMENTE]]-Tabla1[[#This Row],[CANTIDAD ]])</f>
        <v>-2</v>
      </c>
      <c r="L273" s="43" t="str">
        <f>IF(Tabla1[[#This Row],[DIFERENCIA]]=0,"CORECTO",IF(Tabla1[[#This Row],[DIFERENCIA]]&lt;0,"FALTA",IF(Tabla1[[#This Row],[DIFERENCIA]]&gt;0,"DEMAS")))</f>
        <v>FALTA</v>
      </c>
    </row>
    <row r="274" spans="2:12" x14ac:dyDescent="0.3">
      <c r="B274" s="43" t="s">
        <v>441</v>
      </c>
      <c r="C274" s="44">
        <v>45953</v>
      </c>
      <c r="D274" s="45" t="s">
        <v>489</v>
      </c>
      <c r="E274" s="43" t="s">
        <v>96</v>
      </c>
      <c r="F274" s="43">
        <v>2</v>
      </c>
      <c r="G274" s="43" t="s">
        <v>329</v>
      </c>
      <c r="H274" s="43" t="s">
        <v>324</v>
      </c>
      <c r="I274" s="43"/>
      <c r="J274" s="43"/>
      <c r="K274" s="43">
        <f>IF(Tabla1[[#This Row],[CANTIDAD ]]="","",Tabla1[[#This Row],[LLEGO REALMENTE]]-Tabla1[[#This Row],[CANTIDAD ]])</f>
        <v>-2</v>
      </c>
      <c r="L274" s="43" t="str">
        <f>IF(Tabla1[[#This Row],[DIFERENCIA]]=0,"CORECTO",IF(Tabla1[[#This Row],[DIFERENCIA]]&lt;0,"FALTA",IF(Tabla1[[#This Row],[DIFERENCIA]]&gt;0,"DEMAS")))</f>
        <v>FALTA</v>
      </c>
    </row>
    <row r="275" spans="2:12" x14ac:dyDescent="0.3">
      <c r="B275" s="43" t="s">
        <v>441</v>
      </c>
      <c r="C275" s="44">
        <v>45953</v>
      </c>
      <c r="D275" s="45" t="s">
        <v>490</v>
      </c>
      <c r="E275" s="43" t="s">
        <v>96</v>
      </c>
      <c r="F275" s="43">
        <v>6</v>
      </c>
      <c r="G275" s="43" t="s">
        <v>329</v>
      </c>
      <c r="H275" s="43" t="s">
        <v>324</v>
      </c>
      <c r="I275" s="43"/>
      <c r="J275" s="43"/>
      <c r="K275" s="43">
        <f>IF(Tabla1[[#This Row],[CANTIDAD ]]="","",Tabla1[[#This Row],[LLEGO REALMENTE]]-Tabla1[[#This Row],[CANTIDAD ]])</f>
        <v>-6</v>
      </c>
      <c r="L275" s="43" t="str">
        <f>IF(Tabla1[[#This Row],[DIFERENCIA]]=0,"CORECTO",IF(Tabla1[[#This Row],[DIFERENCIA]]&lt;0,"FALTA",IF(Tabla1[[#This Row],[DIFERENCIA]]&gt;0,"DEMAS")))</f>
        <v>FALTA</v>
      </c>
    </row>
    <row r="276" spans="2:12" x14ac:dyDescent="0.3">
      <c r="B276" s="43" t="s">
        <v>441</v>
      </c>
      <c r="C276" s="44">
        <v>45953</v>
      </c>
      <c r="D276" s="45" t="s">
        <v>491</v>
      </c>
      <c r="E276" s="43" t="s">
        <v>96</v>
      </c>
      <c r="F276" s="43">
        <v>1</v>
      </c>
      <c r="G276" s="43" t="s">
        <v>329</v>
      </c>
      <c r="H276" s="43" t="s">
        <v>324</v>
      </c>
      <c r="I276" s="43"/>
      <c r="J276" s="43"/>
      <c r="K276" s="43">
        <f>IF(Tabla1[[#This Row],[CANTIDAD ]]="","",Tabla1[[#This Row],[LLEGO REALMENTE]]-Tabla1[[#This Row],[CANTIDAD ]])</f>
        <v>-1</v>
      </c>
      <c r="L276" s="43" t="str">
        <f>IF(Tabla1[[#This Row],[DIFERENCIA]]=0,"CORECTO",IF(Tabla1[[#This Row],[DIFERENCIA]]&lt;0,"FALTA",IF(Tabla1[[#This Row],[DIFERENCIA]]&gt;0,"DEMAS")))</f>
        <v>FALTA</v>
      </c>
    </row>
    <row r="277" spans="2:12" x14ac:dyDescent="0.3">
      <c r="B277" s="43" t="s">
        <v>441</v>
      </c>
      <c r="C277" s="44">
        <v>45953</v>
      </c>
      <c r="D277" s="45" t="s">
        <v>432</v>
      </c>
      <c r="E277" s="43" t="s">
        <v>96</v>
      </c>
      <c r="F277" s="43">
        <v>10</v>
      </c>
      <c r="G277" s="43" t="s">
        <v>483</v>
      </c>
      <c r="H277" s="43" t="s">
        <v>324</v>
      </c>
      <c r="I277" s="43"/>
      <c r="J277" s="43"/>
      <c r="K277" s="43">
        <f>IF(Tabla1[[#This Row],[CANTIDAD ]]="","",Tabla1[[#This Row],[LLEGO REALMENTE]]-Tabla1[[#This Row],[CANTIDAD ]])</f>
        <v>-10</v>
      </c>
      <c r="L277" s="43" t="str">
        <f>IF(Tabla1[[#This Row],[DIFERENCIA]]=0,"CORECTO",IF(Tabla1[[#This Row],[DIFERENCIA]]&lt;0,"FALTA",IF(Tabla1[[#This Row],[DIFERENCIA]]&gt;0,"DEMAS")))</f>
        <v>FALTA</v>
      </c>
    </row>
    <row r="278" spans="2:12" x14ac:dyDescent="0.3">
      <c r="B278" s="43" t="s">
        <v>441</v>
      </c>
      <c r="C278" s="44">
        <v>45953</v>
      </c>
      <c r="D278" s="45" t="s">
        <v>492</v>
      </c>
      <c r="E278" s="43" t="s">
        <v>96</v>
      </c>
      <c r="F278" s="43">
        <v>100</v>
      </c>
      <c r="G278" s="43" t="s">
        <v>329</v>
      </c>
      <c r="H278" s="43" t="s">
        <v>324</v>
      </c>
      <c r="I278" s="43"/>
      <c r="J278" s="43"/>
      <c r="K278" s="43">
        <f>IF(Tabla1[[#This Row],[CANTIDAD ]]="","",Tabla1[[#This Row],[LLEGO REALMENTE]]-Tabla1[[#This Row],[CANTIDAD ]])</f>
        <v>-100</v>
      </c>
      <c r="L278" s="43" t="str">
        <f>IF(Tabla1[[#This Row],[DIFERENCIA]]=0,"CORECTO",IF(Tabla1[[#This Row],[DIFERENCIA]]&lt;0,"FALTA",IF(Tabla1[[#This Row],[DIFERENCIA]]&gt;0,"DEMAS")))</f>
        <v>FALTA</v>
      </c>
    </row>
    <row r="279" spans="2:12" x14ac:dyDescent="0.3">
      <c r="B279" s="43" t="s">
        <v>441</v>
      </c>
      <c r="C279" s="44">
        <v>45953</v>
      </c>
      <c r="D279" s="45" t="s">
        <v>7</v>
      </c>
      <c r="E279" s="43" t="s">
        <v>96</v>
      </c>
      <c r="F279" s="43">
        <v>5</v>
      </c>
      <c r="G279" s="43" t="s">
        <v>329</v>
      </c>
      <c r="H279" s="43" t="s">
        <v>324</v>
      </c>
      <c r="I279" s="43"/>
      <c r="J279" s="43"/>
      <c r="K279" s="43">
        <f>IF(Tabla1[[#This Row],[CANTIDAD ]]="","",Tabla1[[#This Row],[LLEGO REALMENTE]]-Tabla1[[#This Row],[CANTIDAD ]])</f>
        <v>-5</v>
      </c>
      <c r="L279" s="43" t="str">
        <f>IF(Tabla1[[#This Row],[DIFERENCIA]]=0,"CORECTO",IF(Tabla1[[#This Row],[DIFERENCIA]]&lt;0,"FALTA",IF(Tabla1[[#This Row],[DIFERENCIA]]&gt;0,"DEMAS")))</f>
        <v>FALTA</v>
      </c>
    </row>
    <row r="280" spans="2:12" x14ac:dyDescent="0.3">
      <c r="B280" s="43" t="s">
        <v>441</v>
      </c>
      <c r="C280" s="44">
        <v>45953</v>
      </c>
      <c r="D280" s="45" t="s">
        <v>494</v>
      </c>
      <c r="E280" s="43" t="s">
        <v>96</v>
      </c>
      <c r="F280" s="43">
        <v>3</v>
      </c>
      <c r="G280" s="43" t="s">
        <v>329</v>
      </c>
      <c r="H280" s="43" t="s">
        <v>324</v>
      </c>
      <c r="I280" s="43"/>
      <c r="J280" s="43"/>
      <c r="K280" s="43">
        <f>IF(Tabla1[[#This Row],[CANTIDAD ]]="","",Tabla1[[#This Row],[LLEGO REALMENTE]]-Tabla1[[#This Row],[CANTIDAD ]])</f>
        <v>-3</v>
      </c>
      <c r="L280" s="43" t="str">
        <f>IF(Tabla1[[#This Row],[DIFERENCIA]]=0,"CORECTO",IF(Tabla1[[#This Row],[DIFERENCIA]]&lt;0,"FALTA",IF(Tabla1[[#This Row],[DIFERENCIA]]&gt;0,"DEMAS")))</f>
        <v>FALTA</v>
      </c>
    </row>
    <row r="281" spans="2:12" x14ac:dyDescent="0.3">
      <c r="B281" s="43" t="s">
        <v>441</v>
      </c>
      <c r="C281" s="44">
        <v>45953</v>
      </c>
      <c r="D281" s="45" t="s">
        <v>495</v>
      </c>
      <c r="E281" s="43" t="s">
        <v>96</v>
      </c>
      <c r="F281" s="43">
        <v>3</v>
      </c>
      <c r="G281" s="43" t="s">
        <v>483</v>
      </c>
      <c r="H281" s="43" t="s">
        <v>324</v>
      </c>
      <c r="I281" s="43"/>
      <c r="J281" s="43"/>
      <c r="K281" s="43">
        <f>IF(Tabla1[[#This Row],[CANTIDAD ]]="","",Tabla1[[#This Row],[LLEGO REALMENTE]]-Tabla1[[#This Row],[CANTIDAD ]])</f>
        <v>-3</v>
      </c>
      <c r="L281" s="43" t="str">
        <f>IF(Tabla1[[#This Row],[DIFERENCIA]]=0,"CORECTO",IF(Tabla1[[#This Row],[DIFERENCIA]]&lt;0,"FALTA",IF(Tabla1[[#This Row],[DIFERENCIA]]&gt;0,"DEMAS")))</f>
        <v>FALTA</v>
      </c>
    </row>
    <row r="282" spans="2:12" x14ac:dyDescent="0.3">
      <c r="B282" s="43" t="s">
        <v>441</v>
      </c>
      <c r="C282" s="44">
        <v>45953</v>
      </c>
      <c r="D282" s="45" t="s">
        <v>496</v>
      </c>
      <c r="E282" s="43" t="s">
        <v>96</v>
      </c>
      <c r="F282" s="43">
        <v>3</v>
      </c>
      <c r="G282" s="43" t="s">
        <v>483</v>
      </c>
      <c r="H282" s="43" t="s">
        <v>324</v>
      </c>
      <c r="I282" s="43"/>
      <c r="J282" s="43"/>
      <c r="K282" s="43">
        <f>IF(Tabla1[[#This Row],[CANTIDAD ]]="","",Tabla1[[#This Row],[LLEGO REALMENTE]]-Tabla1[[#This Row],[CANTIDAD ]])</f>
        <v>-3</v>
      </c>
      <c r="L282" s="43" t="str">
        <f>IF(Tabla1[[#This Row],[DIFERENCIA]]=0,"CORECTO",IF(Tabla1[[#This Row],[DIFERENCIA]]&lt;0,"FALTA",IF(Tabla1[[#This Row],[DIFERENCIA]]&gt;0,"DEMAS")))</f>
        <v>FALTA</v>
      </c>
    </row>
    <row r="283" spans="2:12" x14ac:dyDescent="0.3">
      <c r="B283" s="43" t="s">
        <v>441</v>
      </c>
      <c r="C283" s="44">
        <v>45953</v>
      </c>
      <c r="D283" s="45" t="s">
        <v>497</v>
      </c>
      <c r="E283" s="43" t="s">
        <v>96</v>
      </c>
      <c r="F283" s="43">
        <v>6</v>
      </c>
      <c r="G283" s="43" t="s">
        <v>329</v>
      </c>
      <c r="H283" s="43" t="s">
        <v>324</v>
      </c>
      <c r="I283" s="43"/>
      <c r="J283" s="43"/>
      <c r="K283" s="43">
        <f>IF(Tabla1[[#This Row],[CANTIDAD ]]="","",Tabla1[[#This Row],[LLEGO REALMENTE]]-Tabla1[[#This Row],[CANTIDAD ]])</f>
        <v>-6</v>
      </c>
      <c r="L283" s="43" t="str">
        <f>IF(Tabla1[[#This Row],[DIFERENCIA]]=0,"CORECTO",IF(Tabla1[[#This Row],[DIFERENCIA]]&lt;0,"FALTA",IF(Tabla1[[#This Row],[DIFERENCIA]]&gt;0,"DEMAS")))</f>
        <v>FALTA</v>
      </c>
    </row>
    <row r="284" spans="2:12" x14ac:dyDescent="0.3">
      <c r="B284" s="43" t="s">
        <v>441</v>
      </c>
      <c r="C284" s="44">
        <v>45953</v>
      </c>
      <c r="D284" s="45" t="s">
        <v>498</v>
      </c>
      <c r="E284" s="43" t="s">
        <v>342</v>
      </c>
      <c r="F284" s="43">
        <v>2</v>
      </c>
      <c r="G284" s="43" t="s">
        <v>329</v>
      </c>
      <c r="H284" s="43" t="s">
        <v>324</v>
      </c>
      <c r="I284" s="43"/>
      <c r="J284" s="43"/>
      <c r="K284" s="43">
        <f>IF(Tabla1[[#This Row],[CANTIDAD ]]="","",Tabla1[[#This Row],[LLEGO REALMENTE]]-Tabla1[[#This Row],[CANTIDAD ]])</f>
        <v>-2</v>
      </c>
      <c r="L284" s="43" t="str">
        <f>IF(Tabla1[[#This Row],[DIFERENCIA]]=0,"CORECTO",IF(Tabla1[[#This Row],[DIFERENCIA]]&lt;0,"FALTA",IF(Tabla1[[#This Row],[DIFERENCIA]]&gt;0,"DEMAS")))</f>
        <v>FALTA</v>
      </c>
    </row>
    <row r="285" spans="2:12" x14ac:dyDescent="0.3">
      <c r="B285" s="43" t="s">
        <v>441</v>
      </c>
      <c r="C285" s="44">
        <v>45953</v>
      </c>
      <c r="D285" s="45" t="s">
        <v>499</v>
      </c>
      <c r="E285" s="43" t="s">
        <v>342</v>
      </c>
      <c r="F285" s="43">
        <v>2</v>
      </c>
      <c r="G285" s="43" t="s">
        <v>329</v>
      </c>
      <c r="H285" s="43" t="s">
        <v>324</v>
      </c>
      <c r="I285" s="43"/>
      <c r="J285" s="43"/>
      <c r="K285" s="43">
        <f>IF(Tabla1[[#This Row],[CANTIDAD ]]="","",Tabla1[[#This Row],[LLEGO REALMENTE]]-Tabla1[[#This Row],[CANTIDAD ]])</f>
        <v>-2</v>
      </c>
      <c r="L285" s="43" t="str">
        <f>IF(Tabla1[[#This Row],[DIFERENCIA]]=0,"CORECTO",IF(Tabla1[[#This Row],[DIFERENCIA]]&lt;0,"FALTA",IF(Tabla1[[#This Row],[DIFERENCIA]]&gt;0,"DEMAS")))</f>
        <v>FALTA</v>
      </c>
    </row>
    <row r="286" spans="2:12" x14ac:dyDescent="0.3">
      <c r="B286" s="43" t="s">
        <v>441</v>
      </c>
      <c r="C286" s="44">
        <v>45953</v>
      </c>
      <c r="D286" s="45" t="s">
        <v>500</v>
      </c>
      <c r="E286" s="43" t="s">
        <v>342</v>
      </c>
      <c r="F286" s="43">
        <v>1</v>
      </c>
      <c r="G286" s="43" t="s">
        <v>483</v>
      </c>
      <c r="H286" s="43" t="s">
        <v>324</v>
      </c>
      <c r="I286" s="43"/>
      <c r="J286" s="43"/>
      <c r="K286" s="43">
        <f>IF(Tabla1[[#This Row],[CANTIDAD ]]="","",Tabla1[[#This Row],[LLEGO REALMENTE]]-Tabla1[[#This Row],[CANTIDAD ]])</f>
        <v>-1</v>
      </c>
      <c r="L286" s="43" t="str">
        <f>IF(Tabla1[[#This Row],[DIFERENCIA]]=0,"CORECTO",IF(Tabla1[[#This Row],[DIFERENCIA]]&lt;0,"FALTA",IF(Tabla1[[#This Row],[DIFERENCIA]]&gt;0,"DEMAS")))</f>
        <v>FALTA</v>
      </c>
    </row>
    <row r="287" spans="2:12" x14ac:dyDescent="0.3">
      <c r="B287" s="43" t="s">
        <v>441</v>
      </c>
      <c r="C287" s="44">
        <v>45953</v>
      </c>
      <c r="D287" s="45" t="s">
        <v>501</v>
      </c>
      <c r="E287" s="43" t="s">
        <v>342</v>
      </c>
      <c r="F287" s="43">
        <v>2</v>
      </c>
      <c r="G287" s="43" t="s">
        <v>483</v>
      </c>
      <c r="H287" s="43" t="s">
        <v>324</v>
      </c>
      <c r="I287" s="43"/>
      <c r="J287" s="43"/>
      <c r="K287" s="43">
        <f>IF(Tabla1[[#This Row],[CANTIDAD ]]="","",Tabla1[[#This Row],[LLEGO REALMENTE]]-Tabla1[[#This Row],[CANTIDAD ]])</f>
        <v>-2</v>
      </c>
      <c r="L287" s="43" t="str">
        <f>IF(Tabla1[[#This Row],[DIFERENCIA]]=0,"CORECTO",IF(Tabla1[[#This Row],[DIFERENCIA]]&lt;0,"FALTA",IF(Tabla1[[#This Row],[DIFERENCIA]]&gt;0,"DEMAS")))</f>
        <v>FALTA</v>
      </c>
    </row>
    <row r="288" spans="2:12" x14ac:dyDescent="0.3">
      <c r="B288" s="43" t="s">
        <v>441</v>
      </c>
      <c r="C288" s="44">
        <v>45953</v>
      </c>
      <c r="D288" s="45" t="s">
        <v>502</v>
      </c>
      <c r="E288" s="43" t="s">
        <v>342</v>
      </c>
      <c r="F288" s="43">
        <v>10</v>
      </c>
      <c r="G288" s="43" t="s">
        <v>483</v>
      </c>
      <c r="H288" s="43" t="s">
        <v>324</v>
      </c>
      <c r="I288" s="43"/>
      <c r="J288" s="43"/>
      <c r="K288" s="43">
        <f>IF(Tabla1[[#This Row],[CANTIDAD ]]="","",Tabla1[[#This Row],[LLEGO REALMENTE]]-Tabla1[[#This Row],[CANTIDAD ]])</f>
        <v>-10</v>
      </c>
      <c r="L288" s="43" t="str">
        <f>IF(Tabla1[[#This Row],[DIFERENCIA]]=0,"CORECTO",IF(Tabla1[[#This Row],[DIFERENCIA]]&lt;0,"FALTA",IF(Tabla1[[#This Row],[DIFERENCIA]]&gt;0,"DEMAS")))</f>
        <v>FALTA</v>
      </c>
    </row>
    <row r="289" spans="2:12" x14ac:dyDescent="0.3">
      <c r="B289" s="43" t="s">
        <v>503</v>
      </c>
      <c r="C289" s="44">
        <v>45222</v>
      </c>
      <c r="D289" s="45" t="s">
        <v>504</v>
      </c>
      <c r="E289" s="43" t="s">
        <v>96</v>
      </c>
      <c r="F289" s="43">
        <v>1</v>
      </c>
      <c r="G289" s="43" t="s">
        <v>329</v>
      </c>
      <c r="H289" s="43" t="s">
        <v>324</v>
      </c>
      <c r="I289" s="43"/>
      <c r="J289" s="43"/>
      <c r="K289" s="43">
        <f>IF(Tabla1[[#This Row],[CANTIDAD ]]="","",Tabla1[[#This Row],[LLEGO REALMENTE]]-Tabla1[[#This Row],[CANTIDAD ]])</f>
        <v>-1</v>
      </c>
      <c r="L289" s="43" t="str">
        <f>IF(Tabla1[[#This Row],[DIFERENCIA]]=0,"CORECTO",IF(Tabla1[[#This Row],[DIFERENCIA]]&lt;0,"FALTA",IF(Tabla1[[#This Row],[DIFERENCIA]]&gt;0,"DEMAS")))</f>
        <v>FALTA</v>
      </c>
    </row>
    <row r="290" spans="2:12" x14ac:dyDescent="0.3">
      <c r="B290" s="43" t="s">
        <v>441</v>
      </c>
      <c r="C290" s="44">
        <v>44492</v>
      </c>
      <c r="D290" s="45" t="s">
        <v>505</v>
      </c>
      <c r="E290" s="43" t="s">
        <v>96</v>
      </c>
      <c r="F290" s="43">
        <v>50</v>
      </c>
      <c r="G290" s="43"/>
      <c r="H290" s="43" t="s">
        <v>97</v>
      </c>
      <c r="I290" s="43"/>
      <c r="J290" s="43"/>
      <c r="K290" s="43">
        <f>IF(Tabla1[[#This Row],[CANTIDAD ]]="","",Tabla1[[#This Row],[LLEGO REALMENTE]]-Tabla1[[#This Row],[CANTIDAD ]])</f>
        <v>-50</v>
      </c>
      <c r="L290" s="43" t="str">
        <f>IF(Tabla1[[#This Row],[DIFERENCIA]]=0,"CORECTO",IF(Tabla1[[#This Row],[DIFERENCIA]]&lt;0,"FALTA",IF(Tabla1[[#This Row],[DIFERENCIA]]&gt;0,"DEMAS")))</f>
        <v>FALTA</v>
      </c>
    </row>
    <row r="291" spans="2:12" x14ac:dyDescent="0.3">
      <c r="B291" s="43" t="s">
        <v>441</v>
      </c>
      <c r="C291" s="44">
        <v>43761</v>
      </c>
      <c r="D291" s="45" t="s">
        <v>506</v>
      </c>
      <c r="E291" s="43" t="s">
        <v>96</v>
      </c>
      <c r="F291" s="43">
        <v>100</v>
      </c>
      <c r="G291" s="43"/>
      <c r="H291" s="43" t="s">
        <v>97</v>
      </c>
      <c r="I291" s="43"/>
      <c r="J291" s="43"/>
      <c r="K291" s="43">
        <f>IF(Tabla1[[#This Row],[CANTIDAD ]]="","",Tabla1[[#This Row],[LLEGO REALMENTE]]-Tabla1[[#This Row],[CANTIDAD ]])</f>
        <v>-100</v>
      </c>
      <c r="L291" s="43" t="str">
        <f>IF(Tabla1[[#This Row],[DIFERENCIA]]=0,"CORECTO",IF(Tabla1[[#This Row],[DIFERENCIA]]&lt;0,"FALTA",IF(Tabla1[[#This Row],[DIFERENCIA]]&gt;0,"DEMAS")))</f>
        <v>FALTA</v>
      </c>
    </row>
    <row r="292" spans="2:12" x14ac:dyDescent="0.3">
      <c r="B292" s="43" t="s">
        <v>441</v>
      </c>
      <c r="C292" s="44">
        <v>43031</v>
      </c>
      <c r="D292" s="45" t="s">
        <v>507</v>
      </c>
      <c r="E292" s="43" t="s">
        <v>96</v>
      </c>
      <c r="F292" s="43">
        <v>30</v>
      </c>
      <c r="G292" s="43"/>
      <c r="H292" s="43" t="s">
        <v>97</v>
      </c>
      <c r="I292" s="43"/>
      <c r="J292" s="43"/>
      <c r="K292" s="43">
        <f>IF(Tabla1[[#This Row],[CANTIDAD ]]="","",Tabla1[[#This Row],[LLEGO REALMENTE]]-Tabla1[[#This Row],[CANTIDAD ]])</f>
        <v>-30</v>
      </c>
      <c r="L292" s="43" t="str">
        <f>IF(Tabla1[[#This Row],[DIFERENCIA]]=0,"CORECTO",IF(Tabla1[[#This Row],[DIFERENCIA]]&lt;0,"FALTA",IF(Tabla1[[#This Row],[DIFERENCIA]]&gt;0,"DEMAS")))</f>
        <v>FALTA</v>
      </c>
    </row>
    <row r="293" spans="2:12" x14ac:dyDescent="0.3">
      <c r="B293" s="43" t="s">
        <v>441</v>
      </c>
      <c r="C293" s="44">
        <v>42300</v>
      </c>
      <c r="D293" s="45" t="s">
        <v>508</v>
      </c>
      <c r="E293" s="43" t="s">
        <v>96</v>
      </c>
      <c r="F293" s="43">
        <v>80</v>
      </c>
      <c r="G293" s="43"/>
      <c r="H293" s="43" t="s">
        <v>97</v>
      </c>
      <c r="I293" s="43"/>
      <c r="J293" s="43"/>
      <c r="K293" s="43">
        <f>IF(Tabla1[[#This Row],[CANTIDAD ]]="","",Tabla1[[#This Row],[LLEGO REALMENTE]]-Tabla1[[#This Row],[CANTIDAD ]])</f>
        <v>-80</v>
      </c>
      <c r="L293" s="43" t="str">
        <f>IF(Tabla1[[#This Row],[DIFERENCIA]]=0,"CORECTO",IF(Tabla1[[#This Row],[DIFERENCIA]]&lt;0,"FALTA",IF(Tabla1[[#This Row],[DIFERENCIA]]&gt;0,"DEMAS")))</f>
        <v>FALTA</v>
      </c>
    </row>
    <row r="294" spans="2:12" x14ac:dyDescent="0.3">
      <c r="B294" s="43" t="s">
        <v>441</v>
      </c>
      <c r="C294" s="44">
        <v>41570</v>
      </c>
      <c r="D294" s="45" t="s">
        <v>509</v>
      </c>
      <c r="E294" s="43" t="s">
        <v>510</v>
      </c>
      <c r="F294" s="43">
        <v>6</v>
      </c>
      <c r="G294" s="43"/>
      <c r="H294" s="43" t="s">
        <v>97</v>
      </c>
      <c r="I294" s="43"/>
      <c r="J294" s="43"/>
      <c r="K294" s="43">
        <f>IF(Tabla1[[#This Row],[CANTIDAD ]]="","",Tabla1[[#This Row],[LLEGO REALMENTE]]-Tabla1[[#This Row],[CANTIDAD ]])</f>
        <v>-6</v>
      </c>
      <c r="L294" s="43" t="str">
        <f>IF(Tabla1[[#This Row],[DIFERENCIA]]=0,"CORECTO",IF(Tabla1[[#This Row],[DIFERENCIA]]&lt;0,"FALTA",IF(Tabla1[[#This Row],[DIFERENCIA]]&gt;0,"DEMAS")))</f>
        <v>FALTA</v>
      </c>
    </row>
    <row r="295" spans="2:12" x14ac:dyDescent="0.3">
      <c r="B295" s="43" t="s">
        <v>441</v>
      </c>
      <c r="C295" s="44">
        <v>40839</v>
      </c>
      <c r="D295" s="45" t="s">
        <v>511</v>
      </c>
      <c r="E295" s="43" t="s">
        <v>96</v>
      </c>
      <c r="F295" s="43">
        <v>8</v>
      </c>
      <c r="G295" s="43"/>
      <c r="H295" s="43" t="s">
        <v>97</v>
      </c>
      <c r="I295" s="43"/>
      <c r="J295" s="43"/>
      <c r="K295" s="43">
        <f>IF(Tabla1[[#This Row],[CANTIDAD ]]="","",Tabla1[[#This Row],[LLEGO REALMENTE]]-Tabla1[[#This Row],[CANTIDAD ]])</f>
        <v>-8</v>
      </c>
      <c r="L295" s="43" t="str">
        <f>IF(Tabla1[[#This Row],[DIFERENCIA]]=0,"CORECTO",IF(Tabla1[[#This Row],[DIFERENCIA]]&lt;0,"FALTA",IF(Tabla1[[#This Row],[DIFERENCIA]]&gt;0,"DEMAS")))</f>
        <v>FALTA</v>
      </c>
    </row>
    <row r="296" spans="2:12" x14ac:dyDescent="0.3">
      <c r="B296" s="43" t="s">
        <v>441</v>
      </c>
      <c r="C296" s="44">
        <v>40109</v>
      </c>
      <c r="D296" s="45" t="s">
        <v>512</v>
      </c>
      <c r="E296" s="43" t="s">
        <v>96</v>
      </c>
      <c r="F296" s="43">
        <v>4</v>
      </c>
      <c r="G296" s="43"/>
      <c r="H296" s="43" t="s">
        <v>97</v>
      </c>
      <c r="I296" s="43"/>
      <c r="J296" s="43"/>
      <c r="K296" s="43">
        <f>IF(Tabla1[[#This Row],[CANTIDAD ]]="","",Tabla1[[#This Row],[LLEGO REALMENTE]]-Tabla1[[#This Row],[CANTIDAD ]])</f>
        <v>-4</v>
      </c>
      <c r="L296" s="43" t="str">
        <f>IF(Tabla1[[#This Row],[DIFERENCIA]]=0,"CORECTO",IF(Tabla1[[#This Row],[DIFERENCIA]]&lt;0,"FALTA",IF(Tabla1[[#This Row],[DIFERENCIA]]&gt;0,"DEMAS")))</f>
        <v>FALTA</v>
      </c>
    </row>
    <row r="297" spans="2:12" x14ac:dyDescent="0.3">
      <c r="B297" s="43" t="s">
        <v>518</v>
      </c>
      <c r="C297" s="44">
        <v>45967</v>
      </c>
      <c r="D297" s="45" t="s">
        <v>130</v>
      </c>
      <c r="E297" s="43" t="s">
        <v>96</v>
      </c>
      <c r="F297" s="43">
        <v>48</v>
      </c>
      <c r="G297" s="43" t="s">
        <v>349</v>
      </c>
      <c r="H297" s="43" t="s">
        <v>350</v>
      </c>
      <c r="I297" s="43"/>
      <c r="J297" s="43"/>
      <c r="K297" s="43">
        <f>IF(Tabla1[[#This Row],[CANTIDAD ]]="","",Tabla1[[#This Row],[LLEGO REALMENTE]]-Tabla1[[#This Row],[CANTIDAD ]])</f>
        <v>-48</v>
      </c>
      <c r="L297" s="43" t="str">
        <f>IF(Tabla1[[#This Row],[DIFERENCIA]]=0,"CORECTO",IF(Tabla1[[#This Row],[DIFERENCIA]]&lt;0,"FALTA",IF(Tabla1[[#This Row],[DIFERENCIA]]&gt;0,"DEMAS")))</f>
        <v>FALTA</v>
      </c>
    </row>
    <row r="298" spans="2:12" x14ac:dyDescent="0.3">
      <c r="B298" s="43" t="s">
        <v>518</v>
      </c>
      <c r="C298" s="44">
        <v>45967</v>
      </c>
      <c r="D298" s="45" t="s">
        <v>519</v>
      </c>
      <c r="E298" s="43" t="s">
        <v>96</v>
      </c>
      <c r="F298" s="43">
        <v>6</v>
      </c>
      <c r="G298" s="43" t="s">
        <v>9</v>
      </c>
      <c r="H298" s="43" t="s">
        <v>97</v>
      </c>
      <c r="I298" s="43"/>
      <c r="J298" s="43"/>
      <c r="K298" s="43">
        <f>IF(Tabla1[[#This Row],[CANTIDAD ]]="","",Tabla1[[#This Row],[LLEGO REALMENTE]]-Tabla1[[#This Row],[CANTIDAD ]])</f>
        <v>-6</v>
      </c>
      <c r="L298" s="43" t="str">
        <f>IF(Tabla1[[#This Row],[DIFERENCIA]]=0,"CORECTO",IF(Tabla1[[#This Row],[DIFERENCIA]]&lt;0,"FALTA",IF(Tabla1[[#This Row],[DIFERENCIA]]&gt;0,"DEMAS")))</f>
        <v>FALTA</v>
      </c>
    </row>
    <row r="299" spans="2:12" x14ac:dyDescent="0.3">
      <c r="B299" s="43" t="s">
        <v>518</v>
      </c>
      <c r="C299" s="44">
        <v>45967</v>
      </c>
      <c r="D299" s="45" t="s">
        <v>520</v>
      </c>
      <c r="E299" s="43" t="s">
        <v>96</v>
      </c>
      <c r="F299" s="43">
        <v>200</v>
      </c>
      <c r="G299" s="43" t="s">
        <v>9</v>
      </c>
      <c r="H299" s="43" t="s">
        <v>204</v>
      </c>
      <c r="I299" s="43"/>
      <c r="J299" s="43"/>
      <c r="K299" s="43">
        <f>IF(Tabla1[[#This Row],[CANTIDAD ]]="","",Tabla1[[#This Row],[LLEGO REALMENTE]]-Tabla1[[#This Row],[CANTIDAD ]])</f>
        <v>-200</v>
      </c>
      <c r="L299" s="43" t="str">
        <f>IF(Tabla1[[#This Row],[DIFERENCIA]]=0,"CORECTO",IF(Tabla1[[#This Row],[DIFERENCIA]]&lt;0,"FALTA",IF(Tabla1[[#This Row],[DIFERENCIA]]&gt;0,"DEMAS")))</f>
        <v>FALTA</v>
      </c>
    </row>
    <row r="300" spans="2:12" x14ac:dyDescent="0.3">
      <c r="B300" s="43" t="s">
        <v>518</v>
      </c>
      <c r="C300" s="44">
        <v>45967</v>
      </c>
      <c r="D300" s="45" t="s">
        <v>521</v>
      </c>
      <c r="E300" s="43" t="s">
        <v>522</v>
      </c>
      <c r="F300" s="43">
        <v>15</v>
      </c>
      <c r="G300" s="43" t="s">
        <v>523</v>
      </c>
      <c r="H300" s="43" t="s">
        <v>524</v>
      </c>
      <c r="I300" s="43"/>
      <c r="J300" s="43"/>
      <c r="K300" s="43">
        <f>IF(Tabla1[[#This Row],[CANTIDAD ]]="","",Tabla1[[#This Row],[LLEGO REALMENTE]]-Tabla1[[#This Row],[CANTIDAD ]])</f>
        <v>-15</v>
      </c>
      <c r="L300" s="43" t="str">
        <f>IF(Tabla1[[#This Row],[DIFERENCIA]]=0,"CORECTO",IF(Tabla1[[#This Row],[DIFERENCIA]]&lt;0,"FALTA",IF(Tabla1[[#This Row],[DIFERENCIA]]&gt;0,"DEMAS")))</f>
        <v>FALTA</v>
      </c>
    </row>
    <row r="301" spans="2:12" x14ac:dyDescent="0.3">
      <c r="B301" s="43" t="s">
        <v>518</v>
      </c>
      <c r="C301" s="44">
        <v>45967</v>
      </c>
      <c r="D301" s="45" t="s">
        <v>525</v>
      </c>
      <c r="E301" s="43" t="s">
        <v>96</v>
      </c>
      <c r="F301" s="43">
        <v>2</v>
      </c>
      <c r="G301" s="43" t="s">
        <v>523</v>
      </c>
      <c r="H301" s="43" t="s">
        <v>524</v>
      </c>
      <c r="I301" s="43"/>
      <c r="J301" s="43"/>
      <c r="K301" s="43">
        <f>IF(Tabla1[[#This Row],[CANTIDAD ]]="","",Tabla1[[#This Row],[LLEGO REALMENTE]]-Tabla1[[#This Row],[CANTIDAD ]])</f>
        <v>-2</v>
      </c>
      <c r="L301" s="43" t="str">
        <f>IF(Tabla1[[#This Row],[DIFERENCIA]]=0,"CORECTO",IF(Tabla1[[#This Row],[DIFERENCIA]]&lt;0,"FALTA",IF(Tabla1[[#This Row],[DIFERENCIA]]&gt;0,"DEMAS")))</f>
        <v>FALTA</v>
      </c>
    </row>
    <row r="302" spans="2:12" x14ac:dyDescent="0.3">
      <c r="B302" s="43" t="s">
        <v>518</v>
      </c>
      <c r="C302" s="44">
        <v>45967</v>
      </c>
      <c r="D302" s="45" t="s">
        <v>526</v>
      </c>
      <c r="E302" s="43" t="s">
        <v>527</v>
      </c>
      <c r="F302" s="43">
        <v>1</v>
      </c>
      <c r="G302" s="43" t="s">
        <v>523</v>
      </c>
      <c r="H302" s="43" t="s">
        <v>524</v>
      </c>
      <c r="I302" s="43"/>
      <c r="J302" s="43"/>
      <c r="K302" s="43">
        <f>IF(Tabla1[[#This Row],[CANTIDAD ]]="","",Tabla1[[#This Row],[LLEGO REALMENTE]]-Tabla1[[#This Row],[CANTIDAD ]])</f>
        <v>-1</v>
      </c>
      <c r="L302" s="43" t="str">
        <f>IF(Tabla1[[#This Row],[DIFERENCIA]]=0,"CORECTO",IF(Tabla1[[#This Row],[DIFERENCIA]]&lt;0,"FALTA",IF(Tabla1[[#This Row],[DIFERENCIA]]&gt;0,"DEMAS")))</f>
        <v>FALTA</v>
      </c>
    </row>
    <row r="303" spans="2:12" x14ac:dyDescent="0.3">
      <c r="B303" s="43" t="s">
        <v>518</v>
      </c>
      <c r="C303" s="44">
        <v>45967</v>
      </c>
      <c r="D303" s="45" t="s">
        <v>528</v>
      </c>
      <c r="E303" s="43" t="s">
        <v>96</v>
      </c>
      <c r="F303" s="43">
        <v>6</v>
      </c>
      <c r="G303" s="43"/>
      <c r="H303" s="43" t="s">
        <v>529</v>
      </c>
      <c r="I303" s="43"/>
      <c r="J303" s="43"/>
      <c r="K303" s="43">
        <f>IF(Tabla1[[#This Row],[CANTIDAD ]]="","",Tabla1[[#This Row],[LLEGO REALMENTE]]-Tabla1[[#This Row],[CANTIDAD ]])</f>
        <v>-6</v>
      </c>
      <c r="L303" s="43" t="str">
        <f>IF(Tabla1[[#This Row],[DIFERENCIA]]=0,"CORECTO",IF(Tabla1[[#This Row],[DIFERENCIA]]&lt;0,"FALTA",IF(Tabla1[[#This Row],[DIFERENCIA]]&gt;0,"DEMAS")))</f>
        <v>FALTA</v>
      </c>
    </row>
    <row r="304" spans="2:12" x14ac:dyDescent="0.3">
      <c r="B304" s="43" t="s">
        <v>518</v>
      </c>
      <c r="C304" s="44">
        <v>45967</v>
      </c>
      <c r="D304" s="45" t="s">
        <v>530</v>
      </c>
      <c r="E304" s="43" t="s">
        <v>96</v>
      </c>
      <c r="F304" s="43">
        <v>1</v>
      </c>
      <c r="G304" s="43" t="s">
        <v>349</v>
      </c>
      <c r="H304" s="43" t="s">
        <v>531</v>
      </c>
      <c r="I304" s="43"/>
      <c r="J304" s="43"/>
      <c r="K304" s="43">
        <f>IF(Tabla1[[#This Row],[CANTIDAD ]]="","",Tabla1[[#This Row],[LLEGO REALMENTE]]-Tabla1[[#This Row],[CANTIDAD ]])</f>
        <v>-1</v>
      </c>
      <c r="L304" s="43" t="str">
        <f>IF(Tabla1[[#This Row],[DIFERENCIA]]=0,"CORECTO",IF(Tabla1[[#This Row],[DIFERENCIA]]&lt;0,"FALTA",IF(Tabla1[[#This Row],[DIFERENCIA]]&gt;0,"DEMAS")))</f>
        <v>FALTA</v>
      </c>
    </row>
    <row r="305" spans="2:12" x14ac:dyDescent="0.3">
      <c r="B305" s="43" t="s">
        <v>518</v>
      </c>
      <c r="C305" s="44">
        <v>45967</v>
      </c>
      <c r="D305" s="45" t="s">
        <v>532</v>
      </c>
      <c r="E305" s="43" t="s">
        <v>342</v>
      </c>
      <c r="F305" s="43">
        <v>2</v>
      </c>
      <c r="G305" s="43" t="s">
        <v>329</v>
      </c>
      <c r="H305" s="43" t="s">
        <v>223</v>
      </c>
      <c r="I305" s="43"/>
      <c r="J305" s="43"/>
      <c r="K305" s="43">
        <f>IF(Tabla1[[#This Row],[CANTIDAD ]]="","",Tabla1[[#This Row],[LLEGO REALMENTE]]-Tabla1[[#This Row],[CANTIDAD ]])</f>
        <v>-2</v>
      </c>
      <c r="L305" s="43" t="str">
        <f>IF(Tabla1[[#This Row],[DIFERENCIA]]=0,"CORECTO",IF(Tabla1[[#This Row],[DIFERENCIA]]&lt;0,"FALTA",IF(Tabla1[[#This Row],[DIFERENCIA]]&gt;0,"DEMAS")))</f>
        <v>FALTA</v>
      </c>
    </row>
    <row r="306" spans="2:12" ht="18" customHeight="1" x14ac:dyDescent="0.3">
      <c r="B306" s="43" t="s">
        <v>518</v>
      </c>
      <c r="C306" s="44">
        <v>45967</v>
      </c>
      <c r="D306" s="45" t="s">
        <v>126</v>
      </c>
      <c r="E306" s="43" t="s">
        <v>342</v>
      </c>
      <c r="F306" s="43">
        <v>2</v>
      </c>
      <c r="G306" s="43" t="s">
        <v>329</v>
      </c>
      <c r="H306" s="43" t="s">
        <v>223</v>
      </c>
      <c r="I306" s="43"/>
      <c r="J306" s="43"/>
      <c r="K306" s="43">
        <f>IF(Tabla1[[#This Row],[CANTIDAD ]]="","",Tabla1[[#This Row],[LLEGO REALMENTE]]-Tabla1[[#This Row],[CANTIDAD ]])</f>
        <v>-2</v>
      </c>
      <c r="L306" s="43" t="str">
        <f>IF(Tabla1[[#This Row],[DIFERENCIA]]=0,"CORECTO",IF(Tabla1[[#This Row],[DIFERENCIA]]&lt;0,"FALTA",IF(Tabla1[[#This Row],[DIFERENCIA]]&gt;0,"DEMAS")))</f>
        <v>FALTA</v>
      </c>
    </row>
    <row r="307" spans="2:12" x14ac:dyDescent="0.3">
      <c r="B307" s="43" t="s">
        <v>518</v>
      </c>
      <c r="C307" s="44">
        <v>45967</v>
      </c>
      <c r="D307" s="45" t="s">
        <v>533</v>
      </c>
      <c r="E307" s="43" t="s">
        <v>102</v>
      </c>
      <c r="F307" s="43">
        <v>1</v>
      </c>
      <c r="G307" s="43" t="s">
        <v>426</v>
      </c>
      <c r="H307" s="43" t="s">
        <v>204</v>
      </c>
      <c r="I307" s="43"/>
      <c r="J307" s="43"/>
      <c r="K307" s="43">
        <f>IF(Tabla1[[#This Row],[CANTIDAD ]]="","",Tabla1[[#This Row],[LLEGO REALMENTE]]-Tabla1[[#This Row],[CANTIDAD ]])</f>
        <v>-1</v>
      </c>
      <c r="L307" s="43" t="str">
        <f>IF(Tabla1[[#This Row],[DIFERENCIA]]=0,"CORECTO",IF(Tabla1[[#This Row],[DIFERENCIA]]&lt;0,"FALTA",IF(Tabla1[[#This Row],[DIFERENCIA]]&gt;0,"DEMAS")))</f>
        <v>FALTA</v>
      </c>
    </row>
    <row r="308" spans="2:12" x14ac:dyDescent="0.3">
      <c r="B308" s="43" t="s">
        <v>518</v>
      </c>
      <c r="C308" s="44">
        <v>45967</v>
      </c>
      <c r="D308" s="45" t="s">
        <v>490</v>
      </c>
      <c r="E308" s="43" t="s">
        <v>96</v>
      </c>
      <c r="F308" s="43">
        <v>3</v>
      </c>
      <c r="G308" s="43" t="s">
        <v>426</v>
      </c>
      <c r="H308" s="43" t="s">
        <v>204</v>
      </c>
      <c r="I308" s="43"/>
      <c r="J308" s="43"/>
      <c r="K308" s="43">
        <f>IF(Tabla1[[#This Row],[CANTIDAD ]]="","",Tabla1[[#This Row],[LLEGO REALMENTE]]-Tabla1[[#This Row],[CANTIDAD ]])</f>
        <v>-3</v>
      </c>
      <c r="L308" s="43" t="str">
        <f>IF(Tabla1[[#This Row],[DIFERENCIA]]=0,"CORECTO",IF(Tabla1[[#This Row],[DIFERENCIA]]&lt;0,"FALTA",IF(Tabla1[[#This Row],[DIFERENCIA]]&gt;0,"DEMAS")))</f>
        <v>FALTA</v>
      </c>
    </row>
    <row r="309" spans="2:12" x14ac:dyDescent="0.3">
      <c r="B309" s="43" t="s">
        <v>518</v>
      </c>
      <c r="C309" s="44">
        <v>45967</v>
      </c>
      <c r="D309" s="45" t="s">
        <v>534</v>
      </c>
      <c r="E309" s="43" t="s">
        <v>96</v>
      </c>
      <c r="F309" s="43">
        <v>12</v>
      </c>
      <c r="G309" s="43" t="s">
        <v>29</v>
      </c>
      <c r="H309" s="43" t="s">
        <v>122</v>
      </c>
      <c r="I309" s="43"/>
      <c r="J309" s="43"/>
      <c r="K309" s="43">
        <f>IF(Tabla1[[#This Row],[CANTIDAD ]]="","",Tabla1[[#This Row],[LLEGO REALMENTE]]-Tabla1[[#This Row],[CANTIDAD ]])</f>
        <v>-12</v>
      </c>
      <c r="L309" s="43" t="str">
        <f>IF(Tabla1[[#This Row],[DIFERENCIA]]=0,"CORECTO",IF(Tabla1[[#This Row],[DIFERENCIA]]&lt;0,"FALTA",IF(Tabla1[[#This Row],[DIFERENCIA]]&gt;0,"DEMAS")))</f>
        <v>FALTA</v>
      </c>
    </row>
    <row r="310" spans="2:12" x14ac:dyDescent="0.3">
      <c r="B310" s="43" t="s">
        <v>518</v>
      </c>
      <c r="C310" s="44">
        <v>45967</v>
      </c>
      <c r="D310" s="45" t="s">
        <v>535</v>
      </c>
      <c r="E310" s="43" t="s">
        <v>96</v>
      </c>
      <c r="F310" s="43">
        <v>100</v>
      </c>
      <c r="G310" s="43" t="s">
        <v>29</v>
      </c>
      <c r="H310" s="43" t="s">
        <v>122</v>
      </c>
      <c r="I310" s="43"/>
      <c r="J310" s="43"/>
      <c r="K310" s="43">
        <f>IF(Tabla1[[#This Row],[CANTIDAD ]]="","",Tabla1[[#This Row],[LLEGO REALMENTE]]-Tabla1[[#This Row],[CANTIDAD ]])</f>
        <v>-100</v>
      </c>
      <c r="L310" s="43" t="str">
        <f>IF(Tabla1[[#This Row],[DIFERENCIA]]=0,"CORECTO",IF(Tabla1[[#This Row],[DIFERENCIA]]&lt;0,"FALTA",IF(Tabla1[[#This Row],[DIFERENCIA]]&gt;0,"DEMAS")))</f>
        <v>FALTA</v>
      </c>
    </row>
    <row r="311" spans="2:12" x14ac:dyDescent="0.3">
      <c r="B311" s="43" t="s">
        <v>518</v>
      </c>
      <c r="C311" s="44">
        <v>45967</v>
      </c>
      <c r="D311" s="45" t="s">
        <v>536</v>
      </c>
      <c r="E311" s="43" t="s">
        <v>96</v>
      </c>
      <c r="F311" s="43">
        <v>6</v>
      </c>
      <c r="G311" s="43" t="s">
        <v>9</v>
      </c>
      <c r="H311" s="43" t="s">
        <v>97</v>
      </c>
      <c r="I311" s="43"/>
      <c r="J311" s="43"/>
      <c r="K311" s="43">
        <f>IF(Tabla1[[#This Row],[CANTIDAD ]]="","",Tabla1[[#This Row],[LLEGO REALMENTE]]-Tabla1[[#This Row],[CANTIDAD ]])</f>
        <v>-6</v>
      </c>
      <c r="L311" s="43" t="str">
        <f>IF(Tabla1[[#This Row],[DIFERENCIA]]=0,"CORECTO",IF(Tabla1[[#This Row],[DIFERENCIA]]&lt;0,"FALTA",IF(Tabla1[[#This Row],[DIFERENCIA]]&gt;0,"DEMAS")))</f>
        <v>FALTA</v>
      </c>
    </row>
    <row r="312" spans="2:12" x14ac:dyDescent="0.3">
      <c r="B312" s="43" t="s">
        <v>518</v>
      </c>
      <c r="C312" s="44">
        <v>45967</v>
      </c>
      <c r="D312" s="45" t="s">
        <v>537</v>
      </c>
      <c r="E312" s="43" t="s">
        <v>96</v>
      </c>
      <c r="F312" s="43">
        <v>10</v>
      </c>
      <c r="G312" s="43" t="s">
        <v>9</v>
      </c>
      <c r="H312" s="43" t="s">
        <v>97</v>
      </c>
      <c r="I312" s="43"/>
      <c r="J312" s="43"/>
      <c r="K312" s="43">
        <f>IF(Tabla1[[#This Row],[CANTIDAD ]]="","",Tabla1[[#This Row],[LLEGO REALMENTE]]-Tabla1[[#This Row],[CANTIDAD ]])</f>
        <v>-10</v>
      </c>
      <c r="L312" s="43" t="str">
        <f>IF(Tabla1[[#This Row],[DIFERENCIA]]=0,"CORECTO",IF(Tabla1[[#This Row],[DIFERENCIA]]&lt;0,"FALTA",IF(Tabla1[[#This Row],[DIFERENCIA]]&gt;0,"DEMAS")))</f>
        <v>FALTA</v>
      </c>
    </row>
    <row r="313" spans="2:12" x14ac:dyDescent="0.3">
      <c r="B313" s="43" t="s">
        <v>518</v>
      </c>
      <c r="C313" s="44">
        <v>45967</v>
      </c>
      <c r="D313" s="45" t="s">
        <v>538</v>
      </c>
      <c r="E313" s="43" t="s">
        <v>96</v>
      </c>
      <c r="F313" s="43">
        <v>10</v>
      </c>
      <c r="G313" s="43" t="s">
        <v>9</v>
      </c>
      <c r="H313" s="43" t="s">
        <v>97</v>
      </c>
      <c r="I313" s="43"/>
      <c r="J313" s="43"/>
      <c r="K313" s="43">
        <f>IF(Tabla1[[#This Row],[CANTIDAD ]]="","",Tabla1[[#This Row],[LLEGO REALMENTE]]-Tabla1[[#This Row],[CANTIDAD ]])</f>
        <v>-10</v>
      </c>
      <c r="L313" s="43" t="str">
        <f>IF(Tabla1[[#This Row],[DIFERENCIA]]=0,"CORECTO",IF(Tabla1[[#This Row],[DIFERENCIA]]&lt;0,"FALTA",IF(Tabla1[[#This Row],[DIFERENCIA]]&gt;0,"DEMAS")))</f>
        <v>FALTA</v>
      </c>
    </row>
    <row r="314" spans="2:12" x14ac:dyDescent="0.3">
      <c r="B314" s="43" t="s">
        <v>518</v>
      </c>
      <c r="C314" s="44">
        <v>45967</v>
      </c>
      <c r="D314" s="45" t="s">
        <v>540</v>
      </c>
      <c r="E314" s="43" t="s">
        <v>96</v>
      </c>
      <c r="F314" s="43">
        <v>6</v>
      </c>
      <c r="G314" s="43" t="s">
        <v>9</v>
      </c>
      <c r="H314" s="43" t="s">
        <v>97</v>
      </c>
      <c r="I314" s="43" t="s">
        <v>475</v>
      </c>
      <c r="J314" s="43"/>
      <c r="K314" s="43">
        <f>IF(Tabla1[[#This Row],[CANTIDAD ]]="","",Tabla1[[#This Row],[LLEGO REALMENTE]]-Tabla1[[#This Row],[CANTIDAD ]])</f>
        <v>-6</v>
      </c>
      <c r="L314" s="43" t="str">
        <f>IF(Tabla1[[#This Row],[DIFERENCIA]]=0,"CORECTO",IF(Tabla1[[#This Row],[DIFERENCIA]]&lt;0,"FALTA",IF(Tabla1[[#This Row],[DIFERENCIA]]&gt;0,"DEMAS")))</f>
        <v>FALTA</v>
      </c>
    </row>
    <row r="315" spans="2:12" x14ac:dyDescent="0.3">
      <c r="B315" s="43" t="s">
        <v>518</v>
      </c>
      <c r="C315" s="44">
        <v>45967</v>
      </c>
      <c r="D315" s="45" t="s">
        <v>539</v>
      </c>
      <c r="E315" s="43" t="s">
        <v>96</v>
      </c>
      <c r="F315" s="43">
        <v>60</v>
      </c>
      <c r="G315" s="43" t="s">
        <v>329</v>
      </c>
      <c r="H315" s="43" t="s">
        <v>223</v>
      </c>
      <c r="I315" s="43"/>
      <c r="J315" s="43"/>
      <c r="K315" s="43">
        <f>IF(Tabla1[[#This Row],[CANTIDAD ]]="","",Tabla1[[#This Row],[LLEGO REALMENTE]]-Tabla1[[#This Row],[CANTIDAD ]])</f>
        <v>-60</v>
      </c>
      <c r="L315" s="43" t="str">
        <f>IF(Tabla1[[#This Row],[DIFERENCIA]]=0,"CORECTO",IF(Tabla1[[#This Row],[DIFERENCIA]]&lt;0,"FALTA",IF(Tabla1[[#This Row],[DIFERENCIA]]&gt;0,"DEMAS")))</f>
        <v>FALTA</v>
      </c>
    </row>
    <row r="316" spans="2:12" x14ac:dyDescent="0.3">
      <c r="B316" s="156" t="s">
        <v>518</v>
      </c>
      <c r="C316" s="44">
        <v>45967</v>
      </c>
      <c r="D316" s="45" t="s">
        <v>479</v>
      </c>
      <c r="E316" s="43" t="s">
        <v>96</v>
      </c>
      <c r="F316" s="43">
        <v>10</v>
      </c>
      <c r="G316" s="43" t="s">
        <v>329</v>
      </c>
      <c r="H316" s="43" t="s">
        <v>223</v>
      </c>
      <c r="I316" s="43"/>
      <c r="J316" s="43"/>
      <c r="K316" s="156">
        <f>IF(Tabla1[[#This Row],[CANTIDAD ]]="","",Tabla1[[#This Row],[LLEGO REALMENTE]]-Tabla1[[#This Row],[CANTIDAD ]])</f>
        <v>-10</v>
      </c>
      <c r="L316" s="156" t="str">
        <f>IF(Tabla1[[#This Row],[DIFERENCIA]]=0,"CORECTO",IF(Tabla1[[#This Row],[DIFERENCIA]]&lt;0,"FALTA",IF(Tabla1[[#This Row],[DIFERENCIA]]&gt;0,"DEMAS")))</f>
        <v>FALTA</v>
      </c>
    </row>
    <row r="317" spans="2:12" x14ac:dyDescent="0.3">
      <c r="B317" s="156" t="s">
        <v>518</v>
      </c>
      <c r="C317" s="44">
        <v>45967</v>
      </c>
      <c r="D317" s="45" t="s">
        <v>480</v>
      </c>
      <c r="E317" s="43" t="s">
        <v>96</v>
      </c>
      <c r="F317" s="43">
        <v>10</v>
      </c>
      <c r="G317" s="43" t="s">
        <v>329</v>
      </c>
      <c r="H317" s="43" t="s">
        <v>223</v>
      </c>
      <c r="I317" s="43"/>
      <c r="J317" s="43"/>
      <c r="K317" s="156">
        <f>IF(Tabla1[[#This Row],[CANTIDAD ]]="","",Tabla1[[#This Row],[LLEGO REALMENTE]]-Tabla1[[#This Row],[CANTIDAD ]])</f>
        <v>-10</v>
      </c>
      <c r="L317" s="156" t="str">
        <f>IF(Tabla1[[#This Row],[DIFERENCIA]]=0,"CORECTO",IF(Tabla1[[#This Row],[DIFERENCIA]]&lt;0,"FALTA",IF(Tabla1[[#This Row],[DIFERENCIA]]&gt;0,"DEMAS")))</f>
        <v>FALTA</v>
      </c>
    </row>
    <row r="318" spans="2:12" x14ac:dyDescent="0.3">
      <c r="B318" s="156" t="s">
        <v>518</v>
      </c>
      <c r="C318" s="44">
        <v>45967</v>
      </c>
      <c r="D318" s="45" t="s">
        <v>482</v>
      </c>
      <c r="E318" s="43" t="s">
        <v>96</v>
      </c>
      <c r="F318" s="43">
        <v>30</v>
      </c>
      <c r="G318" s="43" t="s">
        <v>329</v>
      </c>
      <c r="H318" s="43" t="s">
        <v>223</v>
      </c>
      <c r="I318" s="43"/>
      <c r="J318" s="43"/>
      <c r="K318" s="156">
        <f>IF(Tabla1[[#This Row],[CANTIDAD ]]="","",Tabla1[[#This Row],[LLEGO REALMENTE]]-Tabla1[[#This Row],[CANTIDAD ]])</f>
        <v>-30</v>
      </c>
      <c r="L318" s="156" t="str">
        <f>IF(Tabla1[[#This Row],[DIFERENCIA]]=0,"CORECTO",IF(Tabla1[[#This Row],[DIFERENCIA]]&lt;0,"FALTA",IF(Tabla1[[#This Row],[DIFERENCIA]]&gt;0,"DEMAS")))</f>
        <v>FALTA</v>
      </c>
    </row>
    <row r="319" spans="2:12" x14ac:dyDescent="0.3">
      <c r="B319" s="156" t="s">
        <v>518</v>
      </c>
      <c r="C319" s="44">
        <v>45967</v>
      </c>
      <c r="D319" s="45" t="s">
        <v>359</v>
      </c>
      <c r="E319" s="43" t="s">
        <v>96</v>
      </c>
      <c r="F319" s="43">
        <v>6</v>
      </c>
      <c r="G319" s="43" t="s">
        <v>329</v>
      </c>
      <c r="H319" s="43" t="s">
        <v>223</v>
      </c>
      <c r="I319" s="43"/>
      <c r="J319" s="43"/>
      <c r="K319" s="156">
        <f>IF(Tabla1[[#This Row],[CANTIDAD ]]="","",Tabla1[[#This Row],[LLEGO REALMENTE]]-Tabla1[[#This Row],[CANTIDAD ]])</f>
        <v>-6</v>
      </c>
      <c r="L319" s="156" t="str">
        <f>IF(Tabla1[[#This Row],[DIFERENCIA]]=0,"CORECTO",IF(Tabla1[[#This Row],[DIFERENCIA]]&lt;0,"FALTA",IF(Tabla1[[#This Row],[DIFERENCIA]]&gt;0,"DEMAS")))</f>
        <v>FALTA</v>
      </c>
    </row>
    <row r="320" spans="2:12" x14ac:dyDescent="0.3">
      <c r="B320" s="156" t="s">
        <v>518</v>
      </c>
      <c r="C320" s="44">
        <v>45967</v>
      </c>
      <c r="D320" s="45" t="s">
        <v>472</v>
      </c>
      <c r="E320" s="43" t="s">
        <v>96</v>
      </c>
      <c r="F320" s="43">
        <v>12</v>
      </c>
      <c r="G320" s="43" t="s">
        <v>329</v>
      </c>
      <c r="H320" s="43" t="s">
        <v>223</v>
      </c>
      <c r="I320" s="43"/>
      <c r="J320" s="43"/>
      <c r="K320" s="156">
        <f>IF(Tabla1[[#This Row],[CANTIDAD ]]="","",Tabla1[[#This Row],[LLEGO REALMENTE]]-Tabla1[[#This Row],[CANTIDAD ]])</f>
        <v>-12</v>
      </c>
      <c r="L320" s="156" t="str">
        <f>IF(Tabla1[[#This Row],[DIFERENCIA]]=0,"CORECTO",IF(Tabla1[[#This Row],[DIFERENCIA]]&lt;0,"FALTA",IF(Tabla1[[#This Row],[DIFERENCIA]]&gt;0,"DEMAS")))</f>
        <v>FALTA</v>
      </c>
    </row>
    <row r="321" spans="2:12" x14ac:dyDescent="0.3">
      <c r="B321" s="156" t="s">
        <v>518</v>
      </c>
      <c r="C321" s="44">
        <v>45967</v>
      </c>
      <c r="D321" s="45" t="s">
        <v>541</v>
      </c>
      <c r="E321" s="43" t="s">
        <v>96</v>
      </c>
      <c r="F321" s="43">
        <v>4</v>
      </c>
      <c r="G321" s="43" t="s">
        <v>329</v>
      </c>
      <c r="H321" s="43" t="s">
        <v>223</v>
      </c>
      <c r="I321" s="43"/>
      <c r="J321" s="43"/>
      <c r="K321" s="156">
        <f>IF(Tabla1[[#This Row],[CANTIDAD ]]="","",Tabla1[[#This Row],[LLEGO REALMENTE]]-Tabla1[[#This Row],[CANTIDAD ]])</f>
        <v>-4</v>
      </c>
      <c r="L321" s="156" t="str">
        <f>IF(Tabla1[[#This Row],[DIFERENCIA]]=0,"CORECTO",IF(Tabla1[[#This Row],[DIFERENCIA]]&lt;0,"FALTA",IF(Tabla1[[#This Row],[DIFERENCIA]]&gt;0,"DEMAS")))</f>
        <v>FALTA</v>
      </c>
    </row>
    <row r="322" spans="2:12" x14ac:dyDescent="0.3">
      <c r="B322" s="156" t="s">
        <v>518</v>
      </c>
      <c r="C322" s="44">
        <v>45967</v>
      </c>
      <c r="D322" s="45" t="s">
        <v>454</v>
      </c>
      <c r="E322" s="43" t="s">
        <v>542</v>
      </c>
      <c r="F322" s="43">
        <v>6</v>
      </c>
      <c r="G322" s="43" t="s">
        <v>426</v>
      </c>
      <c r="H322" s="43" t="s">
        <v>204</v>
      </c>
      <c r="I322" s="43"/>
      <c r="J322" s="43"/>
      <c r="K322" s="156">
        <f>IF(Tabla1[[#This Row],[CANTIDAD ]]="","",Tabla1[[#This Row],[LLEGO REALMENTE]]-Tabla1[[#This Row],[CANTIDAD ]])</f>
        <v>-6</v>
      </c>
      <c r="L322" s="156" t="str">
        <f>IF(Tabla1[[#This Row],[DIFERENCIA]]=0,"CORECTO",IF(Tabla1[[#This Row],[DIFERENCIA]]&lt;0,"FALTA",IF(Tabla1[[#This Row],[DIFERENCIA]]&gt;0,"DEMAS")))</f>
        <v>FALTA</v>
      </c>
    </row>
    <row r="323" spans="2:12" x14ac:dyDescent="0.3">
      <c r="B323" s="156" t="s">
        <v>518</v>
      </c>
      <c r="C323" s="44">
        <v>45967</v>
      </c>
      <c r="D323" s="45" t="s">
        <v>455</v>
      </c>
      <c r="E323" s="43" t="s">
        <v>542</v>
      </c>
      <c r="F323" s="43">
        <v>8</v>
      </c>
      <c r="G323" s="43" t="s">
        <v>426</v>
      </c>
      <c r="H323" s="43" t="s">
        <v>204</v>
      </c>
      <c r="I323" s="43"/>
      <c r="J323" s="43"/>
      <c r="K323" s="156">
        <f>IF(Tabla1[[#This Row],[CANTIDAD ]]="","",Tabla1[[#This Row],[LLEGO REALMENTE]]-Tabla1[[#This Row],[CANTIDAD ]])</f>
        <v>-8</v>
      </c>
      <c r="L323" s="156" t="str">
        <f>IF(Tabla1[[#This Row],[DIFERENCIA]]=0,"CORECTO",IF(Tabla1[[#This Row],[DIFERENCIA]]&lt;0,"FALTA",IF(Tabla1[[#This Row],[DIFERENCIA]]&gt;0,"DEMAS")))</f>
        <v>FALTA</v>
      </c>
    </row>
    <row r="324" spans="2:12" x14ac:dyDescent="0.3">
      <c r="B324" s="156" t="s">
        <v>518</v>
      </c>
      <c r="C324" s="44">
        <v>45967</v>
      </c>
      <c r="D324" s="45" t="s">
        <v>497</v>
      </c>
      <c r="E324" s="43" t="s">
        <v>96</v>
      </c>
      <c r="F324" s="43">
        <v>6</v>
      </c>
      <c r="G324" s="43" t="s">
        <v>29</v>
      </c>
      <c r="H324" s="43" t="s">
        <v>122</v>
      </c>
      <c r="I324" s="43"/>
      <c r="J324" s="43"/>
      <c r="K324" s="156">
        <f>IF(Tabla1[[#This Row],[CANTIDAD ]]="","",Tabla1[[#This Row],[LLEGO REALMENTE]]-Tabla1[[#This Row],[CANTIDAD ]])</f>
        <v>-6</v>
      </c>
      <c r="L324" s="156" t="str">
        <f>IF(Tabla1[[#This Row],[DIFERENCIA]]=0,"CORECTO",IF(Tabla1[[#This Row],[DIFERENCIA]]&lt;0,"FALTA",IF(Tabla1[[#This Row],[DIFERENCIA]]&gt;0,"DEMAS")))</f>
        <v>FALTA</v>
      </c>
    </row>
    <row r="325" spans="2:12" x14ac:dyDescent="0.3">
      <c r="B325" s="156" t="s">
        <v>518</v>
      </c>
      <c r="C325" s="44">
        <v>45967</v>
      </c>
      <c r="D325" s="45" t="s">
        <v>543</v>
      </c>
      <c r="E325" s="43" t="s">
        <v>96</v>
      </c>
      <c r="F325" s="43">
        <v>2</v>
      </c>
      <c r="G325" s="43" t="s">
        <v>329</v>
      </c>
      <c r="H325" s="43" t="s">
        <v>324</v>
      </c>
      <c r="I325" s="43"/>
      <c r="J325" s="43"/>
      <c r="K325" s="156">
        <f>IF(Tabla1[[#This Row],[CANTIDAD ]]="","",Tabla1[[#This Row],[LLEGO REALMENTE]]-Tabla1[[#This Row],[CANTIDAD ]])</f>
        <v>-2</v>
      </c>
      <c r="L325" s="156" t="str">
        <f>IF(Tabla1[[#This Row],[DIFERENCIA]]=0,"CORECTO",IF(Tabla1[[#This Row],[DIFERENCIA]]&lt;0,"FALTA",IF(Tabla1[[#This Row],[DIFERENCIA]]&gt;0,"DEMAS")))</f>
        <v>FALTA</v>
      </c>
    </row>
    <row r="326" spans="2:12" x14ac:dyDescent="0.3">
      <c r="B326" s="156"/>
      <c r="C326" s="43"/>
      <c r="D326" s="45"/>
      <c r="E326" s="43"/>
      <c r="F326" s="43"/>
      <c r="G326" s="43"/>
      <c r="H326" s="43"/>
      <c r="I326" s="43"/>
      <c r="J326" s="43"/>
      <c r="K326" s="156" t="str">
        <f>IF(Tabla1[[#This Row],[CANTIDAD ]]="","",Tabla1[[#This Row],[LLEGO REALMENTE]]-Tabla1[[#This Row],[CANTIDAD ]])</f>
        <v/>
      </c>
      <c r="L326" s="156" t="str">
        <f>IF(Tabla1[[#This Row],[DIFERENCIA]]=0,"CORECTO",IF(Tabla1[[#This Row],[DIFERENCIA]]&lt;0,"FALTA",IF(Tabla1[[#This Row],[DIFERENCIA]]&gt;0,"DEMAS")))</f>
        <v>DEMAS</v>
      </c>
    </row>
  </sheetData>
  <phoneticPr fontId="21" type="noConversion"/>
  <pageMargins left="0.7" right="0.7" top="0.75" bottom="0.75" header="0.3" footer="0.3"/>
  <pageSetup orientation="portrait" horizontalDpi="4294967293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36691-2DA2-4B9A-BDD5-DD6ED7F9E0CD}">
  <sheetPr codeName="Hoja3">
    <pageSetUpPr fitToPage="1"/>
  </sheetPr>
  <dimension ref="A1:M79"/>
  <sheetViews>
    <sheetView showGridLines="0" topLeftCell="A2" zoomScaleNormal="100" workbookViewId="0">
      <selection activeCell="B10" sqref="B10"/>
    </sheetView>
  </sheetViews>
  <sheetFormatPr baseColWidth="10" defaultColWidth="10.77734375" defaultRowHeight="14.4" x14ac:dyDescent="0.3"/>
  <cols>
    <col min="1" max="1" width="4.88671875" customWidth="1"/>
    <col min="2" max="2" width="11.88671875" customWidth="1"/>
    <col min="3" max="3" width="12.109375" customWidth="1"/>
    <col min="4" max="4" width="11.77734375" customWidth="1"/>
    <col min="5" max="5" width="14.33203125" customWidth="1"/>
    <col min="7" max="7" width="9.88671875" customWidth="1"/>
    <col min="8" max="8" width="10.6640625" customWidth="1"/>
    <col min="9" max="9" width="12.77734375" customWidth="1"/>
    <col min="10" max="13" width="8" customWidth="1"/>
  </cols>
  <sheetData>
    <row r="1" spans="1:13" ht="30.6" customHeight="1" x14ac:dyDescent="0.3">
      <c r="A1" s="130" t="e" vm="1">
        <v>#VALUE!</v>
      </c>
      <c r="B1" s="131"/>
      <c r="C1" s="132"/>
      <c r="D1" s="139" t="s">
        <v>218</v>
      </c>
      <c r="E1" s="140"/>
      <c r="F1" s="140"/>
      <c r="G1" s="140"/>
      <c r="H1" s="140"/>
      <c r="I1" s="140"/>
      <c r="J1" s="140"/>
      <c r="K1" s="140"/>
      <c r="L1" s="140"/>
      <c r="M1" s="140"/>
    </row>
    <row r="2" spans="1:13" ht="30.6" customHeight="1" x14ac:dyDescent="0.3">
      <c r="A2" s="133"/>
      <c r="B2" s="134"/>
      <c r="C2" s="135"/>
      <c r="D2" s="139"/>
      <c r="E2" s="140"/>
      <c r="F2" s="140"/>
      <c r="G2" s="140"/>
      <c r="H2" s="140"/>
      <c r="I2" s="140"/>
      <c r="J2" s="140"/>
      <c r="K2" s="140"/>
      <c r="L2" s="140"/>
      <c r="M2" s="140"/>
    </row>
    <row r="3" spans="1:13" ht="30.6" customHeight="1" thickBot="1" x14ac:dyDescent="0.35">
      <c r="A3" s="136"/>
      <c r="B3" s="137"/>
      <c r="C3" s="138"/>
      <c r="D3" s="139"/>
      <c r="E3" s="140"/>
      <c r="F3" s="140"/>
      <c r="G3" s="140"/>
      <c r="H3" s="140"/>
      <c r="I3" s="140"/>
      <c r="J3" s="140"/>
      <c r="K3" s="140"/>
      <c r="L3" s="140"/>
      <c r="M3" s="140"/>
    </row>
    <row r="4" spans="1:13" ht="30.6" customHeight="1" thickBot="1" x14ac:dyDescent="0.35">
      <c r="A4" s="29"/>
      <c r="B4" s="140" t="s">
        <v>219</v>
      </c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29"/>
    </row>
    <row r="5" spans="1:13" ht="21" customHeight="1" thickBot="1" x14ac:dyDescent="0.35">
      <c r="A5" s="29"/>
      <c r="B5" s="152" t="s">
        <v>86</v>
      </c>
      <c r="C5" s="153"/>
      <c r="D5" s="30">
        <f>IFERROR(VLOOKUP(H5,Tabla1[],2,0),"")</f>
        <v>45912</v>
      </c>
      <c r="E5" s="29"/>
      <c r="F5" s="152" t="s">
        <v>85</v>
      </c>
      <c r="G5" s="153"/>
      <c r="H5" s="46" t="s">
        <v>95</v>
      </c>
      <c r="I5" s="47"/>
      <c r="J5" s="29"/>
      <c r="K5" s="29"/>
      <c r="L5" s="29"/>
      <c r="M5" s="29"/>
    </row>
    <row r="6" spans="1:13" ht="21" customHeight="1" thickBot="1" x14ac:dyDescent="0.35">
      <c r="A6" s="29"/>
      <c r="B6" s="31"/>
      <c r="C6" s="31"/>
      <c r="D6" s="32"/>
      <c r="E6" s="29"/>
      <c r="F6" s="31"/>
      <c r="G6" s="31"/>
      <c r="H6" s="29"/>
      <c r="I6" s="29"/>
      <c r="J6" s="29"/>
      <c r="K6" s="29"/>
      <c r="L6" s="29"/>
      <c r="M6" s="29"/>
    </row>
    <row r="7" spans="1:13" ht="21" customHeight="1" thickBot="1" x14ac:dyDescent="0.35">
      <c r="A7" s="29"/>
      <c r="B7" s="152" t="s">
        <v>220</v>
      </c>
      <c r="C7" s="153"/>
      <c r="D7" s="33" t="s">
        <v>221</v>
      </c>
      <c r="E7" s="29"/>
      <c r="F7" s="152" t="s">
        <v>222</v>
      </c>
      <c r="G7" s="153"/>
      <c r="H7" s="154" t="s">
        <v>223</v>
      </c>
      <c r="I7" s="155"/>
      <c r="J7" s="29"/>
      <c r="K7" s="29"/>
      <c r="L7" s="29"/>
      <c r="M7" s="29"/>
    </row>
    <row r="8" spans="1:13" ht="21" customHeight="1" thickBot="1" x14ac:dyDescent="0.35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</row>
    <row r="9" spans="1:13" ht="27.6" customHeight="1" thickBot="1" x14ac:dyDescent="0.35">
      <c r="A9" s="42" t="s">
        <v>224</v>
      </c>
      <c r="B9" s="49" t="s">
        <v>225</v>
      </c>
      <c r="C9" s="50"/>
      <c r="D9" s="50"/>
      <c r="E9" s="51"/>
      <c r="F9" s="42" t="s">
        <v>226</v>
      </c>
      <c r="G9" s="42" t="s">
        <v>3</v>
      </c>
      <c r="H9" s="42" t="s">
        <v>5</v>
      </c>
      <c r="I9" s="42" t="s">
        <v>6</v>
      </c>
      <c r="J9" s="149" t="s">
        <v>227</v>
      </c>
      <c r="K9" s="150"/>
      <c r="L9" s="150"/>
      <c r="M9" s="151"/>
    </row>
    <row r="10" spans="1:13" ht="30" customHeight="1" x14ac:dyDescent="0.3">
      <c r="A10" s="6">
        <v>1</v>
      </c>
      <c r="B10" s="48" t="e" cm="1">
        <f t="array" ref="B10">_xlfn.XLOOKUP($H$5&amp;"-"&amp;A10,'REQUERIMIENTO TABLA'!#REF!,'REQUERIMIENTO TABLA'!D8:I326)</f>
        <v>#REF!</v>
      </c>
      <c r="C10" s="48"/>
      <c r="D10" s="48"/>
      <c r="E10" s="48"/>
      <c r="F10" s="8"/>
      <c r="G10" s="24"/>
      <c r="H10" s="36"/>
      <c r="I10" s="37"/>
      <c r="J10" s="147"/>
      <c r="K10" s="147"/>
      <c r="L10" s="147"/>
      <c r="M10" s="148"/>
    </row>
    <row r="11" spans="1:13" ht="30" customHeight="1" x14ac:dyDescent="0.3">
      <c r="A11" s="10">
        <v>2</v>
      </c>
      <c r="B11" s="145"/>
      <c r="C11" s="145"/>
      <c r="D11" s="145"/>
      <c r="E11" s="145"/>
      <c r="F11" s="3"/>
      <c r="G11" s="15"/>
      <c r="H11" s="34"/>
      <c r="I11" s="35"/>
      <c r="J11" s="141"/>
      <c r="K11" s="141"/>
      <c r="L11" s="141"/>
      <c r="M11" s="142"/>
    </row>
    <row r="12" spans="1:13" ht="30" customHeight="1" x14ac:dyDescent="0.3">
      <c r="A12" s="10">
        <v>3</v>
      </c>
      <c r="B12" s="145"/>
      <c r="C12" s="145"/>
      <c r="D12" s="145"/>
      <c r="E12" s="145"/>
      <c r="F12" s="3"/>
      <c r="G12" s="15"/>
      <c r="H12" s="34"/>
      <c r="I12" s="35"/>
      <c r="J12" s="141"/>
      <c r="K12" s="141"/>
      <c r="L12" s="141"/>
      <c r="M12" s="142"/>
    </row>
    <row r="13" spans="1:13" ht="30" customHeight="1" x14ac:dyDescent="0.3">
      <c r="A13" s="10">
        <v>4</v>
      </c>
      <c r="B13" s="145"/>
      <c r="C13" s="145"/>
      <c r="D13" s="145"/>
      <c r="E13" s="145"/>
      <c r="F13" s="3"/>
      <c r="G13" s="15"/>
      <c r="H13" s="34"/>
      <c r="I13" s="35"/>
      <c r="J13" s="141"/>
      <c r="K13" s="141"/>
      <c r="L13" s="141"/>
      <c r="M13" s="142"/>
    </row>
    <row r="14" spans="1:13" ht="30" customHeight="1" x14ac:dyDescent="0.3">
      <c r="A14" s="10">
        <v>5</v>
      </c>
      <c r="B14" s="145"/>
      <c r="C14" s="145"/>
      <c r="D14" s="145"/>
      <c r="E14" s="145"/>
      <c r="F14" s="3"/>
      <c r="G14" s="15"/>
      <c r="H14" s="34"/>
      <c r="I14" s="35"/>
      <c r="J14" s="141"/>
      <c r="K14" s="141"/>
      <c r="L14" s="141"/>
      <c r="M14" s="142"/>
    </row>
    <row r="15" spans="1:13" ht="30" customHeight="1" x14ac:dyDescent="0.3">
      <c r="A15" s="10">
        <v>6</v>
      </c>
      <c r="B15" s="145"/>
      <c r="C15" s="145"/>
      <c r="D15" s="145"/>
      <c r="E15" s="145"/>
      <c r="F15" s="3"/>
      <c r="G15" s="15"/>
      <c r="H15" s="34"/>
      <c r="I15" s="35"/>
      <c r="J15" s="141"/>
      <c r="K15" s="141"/>
      <c r="L15" s="141"/>
      <c r="M15" s="142"/>
    </row>
    <row r="16" spans="1:13" ht="30" customHeight="1" x14ac:dyDescent="0.3">
      <c r="A16" s="10">
        <v>7</v>
      </c>
      <c r="B16" s="145"/>
      <c r="C16" s="145"/>
      <c r="D16" s="145"/>
      <c r="E16" s="145"/>
      <c r="F16" s="3"/>
      <c r="G16" s="15"/>
      <c r="H16" s="34"/>
      <c r="I16" s="35"/>
      <c r="J16" s="141"/>
      <c r="K16" s="141"/>
      <c r="L16" s="141"/>
      <c r="M16" s="142"/>
    </row>
    <row r="17" spans="1:13" ht="30" customHeight="1" x14ac:dyDescent="0.3">
      <c r="A17" s="10">
        <v>8</v>
      </c>
      <c r="B17" s="145"/>
      <c r="C17" s="145"/>
      <c r="D17" s="145"/>
      <c r="E17" s="145"/>
      <c r="F17" s="3"/>
      <c r="G17" s="15"/>
      <c r="H17" s="34"/>
      <c r="I17" s="35"/>
      <c r="J17" s="141"/>
      <c r="K17" s="141"/>
      <c r="L17" s="141"/>
      <c r="M17" s="142"/>
    </row>
    <row r="18" spans="1:13" ht="30" customHeight="1" x14ac:dyDescent="0.3">
      <c r="A18" s="10">
        <v>9</v>
      </c>
      <c r="B18" s="145"/>
      <c r="C18" s="145"/>
      <c r="D18" s="145"/>
      <c r="E18" s="145"/>
      <c r="F18" s="3"/>
      <c r="G18" s="15"/>
      <c r="H18" s="34"/>
      <c r="I18" s="35"/>
      <c r="J18" s="141"/>
      <c r="K18" s="141"/>
      <c r="L18" s="141"/>
      <c r="M18" s="142"/>
    </row>
    <row r="19" spans="1:13" ht="30" customHeight="1" x14ac:dyDescent="0.3">
      <c r="A19" s="10">
        <v>10</v>
      </c>
      <c r="B19" s="145"/>
      <c r="C19" s="145"/>
      <c r="D19" s="145"/>
      <c r="E19" s="145"/>
      <c r="F19" s="3"/>
      <c r="G19" s="15"/>
      <c r="H19" s="34"/>
      <c r="I19" s="35"/>
      <c r="J19" s="141"/>
      <c r="K19" s="141"/>
      <c r="L19" s="141"/>
      <c r="M19" s="142"/>
    </row>
    <row r="20" spans="1:13" ht="30" customHeight="1" x14ac:dyDescent="0.3">
      <c r="A20" s="10">
        <v>11</v>
      </c>
      <c r="B20" s="145"/>
      <c r="C20" s="145"/>
      <c r="D20" s="145"/>
      <c r="E20" s="145"/>
      <c r="F20" s="3"/>
      <c r="G20" s="15"/>
      <c r="H20" s="34"/>
      <c r="I20" s="35"/>
      <c r="J20" s="141"/>
      <c r="K20" s="141"/>
      <c r="L20" s="141"/>
      <c r="M20" s="142"/>
    </row>
    <row r="21" spans="1:13" ht="30" customHeight="1" x14ac:dyDescent="0.3">
      <c r="A21" s="10">
        <v>12</v>
      </c>
      <c r="B21" s="145"/>
      <c r="C21" s="145"/>
      <c r="D21" s="145"/>
      <c r="E21" s="145"/>
      <c r="F21" s="3"/>
      <c r="G21" s="15"/>
      <c r="H21" s="34"/>
      <c r="I21" s="35"/>
      <c r="J21" s="141"/>
      <c r="K21" s="141"/>
      <c r="L21" s="141"/>
      <c r="M21" s="142"/>
    </row>
    <row r="22" spans="1:13" ht="30" customHeight="1" x14ac:dyDescent="0.3">
      <c r="A22" s="10">
        <v>13</v>
      </c>
      <c r="B22" s="145"/>
      <c r="C22" s="145"/>
      <c r="D22" s="145"/>
      <c r="E22" s="145"/>
      <c r="F22" s="3"/>
      <c r="G22" s="15"/>
      <c r="H22" s="34"/>
      <c r="I22" s="35"/>
      <c r="J22" s="141"/>
      <c r="K22" s="141"/>
      <c r="L22" s="141"/>
      <c r="M22" s="142"/>
    </row>
    <row r="23" spans="1:13" ht="30" customHeight="1" x14ac:dyDescent="0.3">
      <c r="A23" s="10">
        <v>14</v>
      </c>
      <c r="B23" s="145"/>
      <c r="C23" s="145"/>
      <c r="D23" s="145"/>
      <c r="E23" s="145"/>
      <c r="F23" s="3"/>
      <c r="G23" s="15"/>
      <c r="H23" s="34"/>
      <c r="I23" s="35"/>
      <c r="J23" s="141"/>
      <c r="K23" s="141"/>
      <c r="L23" s="141"/>
      <c r="M23" s="142"/>
    </row>
    <row r="24" spans="1:13" ht="30" customHeight="1" x14ac:dyDescent="0.3">
      <c r="A24" s="10">
        <v>15</v>
      </c>
      <c r="B24" s="145"/>
      <c r="C24" s="145"/>
      <c r="D24" s="145"/>
      <c r="E24" s="145"/>
      <c r="F24" s="3"/>
      <c r="G24" s="15"/>
      <c r="H24" s="34"/>
      <c r="I24" s="35"/>
      <c r="J24" s="141"/>
      <c r="K24" s="141"/>
      <c r="L24" s="141"/>
      <c r="M24" s="142"/>
    </row>
    <row r="25" spans="1:13" ht="30" customHeight="1" x14ac:dyDescent="0.3">
      <c r="A25" s="10">
        <v>16</v>
      </c>
      <c r="B25" s="145"/>
      <c r="C25" s="145"/>
      <c r="D25" s="145"/>
      <c r="E25" s="145"/>
      <c r="F25" s="3"/>
      <c r="G25" s="15"/>
      <c r="H25" s="34"/>
      <c r="I25" s="35"/>
      <c r="J25" s="141"/>
      <c r="K25" s="141"/>
      <c r="L25" s="141"/>
      <c r="M25" s="142"/>
    </row>
    <row r="26" spans="1:13" ht="30" customHeight="1" x14ac:dyDescent="0.3">
      <c r="A26" s="10">
        <v>17</v>
      </c>
      <c r="B26" s="145"/>
      <c r="C26" s="145"/>
      <c r="D26" s="145"/>
      <c r="E26" s="145"/>
      <c r="F26" s="3"/>
      <c r="G26" s="15"/>
      <c r="H26" s="34"/>
      <c r="I26" s="35"/>
      <c r="J26" s="141"/>
      <c r="K26" s="141"/>
      <c r="L26" s="141"/>
      <c r="M26" s="142"/>
    </row>
    <row r="27" spans="1:13" ht="30" customHeight="1" x14ac:dyDescent="0.3">
      <c r="A27" s="10">
        <v>18</v>
      </c>
      <c r="B27" s="145"/>
      <c r="C27" s="145"/>
      <c r="D27" s="145"/>
      <c r="E27" s="145"/>
      <c r="F27" s="3"/>
      <c r="G27" s="15"/>
      <c r="H27" s="34"/>
      <c r="I27" s="35"/>
      <c r="J27" s="141"/>
      <c r="K27" s="141"/>
      <c r="L27" s="141"/>
      <c r="M27" s="142"/>
    </row>
    <row r="28" spans="1:13" ht="30" customHeight="1" x14ac:dyDescent="0.3">
      <c r="A28" s="10">
        <v>19</v>
      </c>
      <c r="B28" s="145"/>
      <c r="C28" s="145"/>
      <c r="D28" s="145"/>
      <c r="E28" s="145"/>
      <c r="F28" s="3"/>
      <c r="G28" s="15"/>
      <c r="H28" s="34"/>
      <c r="I28" s="35"/>
      <c r="J28" s="141"/>
      <c r="K28" s="141"/>
      <c r="L28" s="141"/>
      <c r="M28" s="142"/>
    </row>
    <row r="29" spans="1:13" ht="30" customHeight="1" x14ac:dyDescent="0.3">
      <c r="A29" s="10">
        <v>20</v>
      </c>
      <c r="B29" s="145"/>
      <c r="C29" s="145"/>
      <c r="D29" s="145"/>
      <c r="E29" s="145"/>
      <c r="F29" s="3"/>
      <c r="G29" s="15"/>
      <c r="H29" s="34"/>
      <c r="I29" s="35"/>
      <c r="J29" s="141"/>
      <c r="K29" s="141"/>
      <c r="L29" s="141"/>
      <c r="M29" s="142"/>
    </row>
    <row r="30" spans="1:13" ht="30" customHeight="1" x14ac:dyDescent="0.3">
      <c r="A30" s="10">
        <v>21</v>
      </c>
      <c r="B30" s="145"/>
      <c r="C30" s="145"/>
      <c r="D30" s="145"/>
      <c r="E30" s="145"/>
      <c r="F30" s="3"/>
      <c r="G30" s="15"/>
      <c r="H30" s="34"/>
      <c r="I30" s="35"/>
      <c r="J30" s="141"/>
      <c r="K30" s="141"/>
      <c r="L30" s="141"/>
      <c r="M30" s="142"/>
    </row>
    <row r="31" spans="1:13" ht="30" customHeight="1" x14ac:dyDescent="0.3">
      <c r="A31" s="10">
        <v>22</v>
      </c>
      <c r="B31" s="145"/>
      <c r="C31" s="145"/>
      <c r="D31" s="145"/>
      <c r="E31" s="145"/>
      <c r="F31" s="3"/>
      <c r="G31" s="15"/>
      <c r="H31" s="34"/>
      <c r="I31" s="35"/>
      <c r="J31" s="141"/>
      <c r="K31" s="141"/>
      <c r="L31" s="141"/>
      <c r="M31" s="142"/>
    </row>
    <row r="32" spans="1:13" ht="30" customHeight="1" x14ac:dyDescent="0.3">
      <c r="A32" s="10">
        <v>23</v>
      </c>
      <c r="B32" s="145"/>
      <c r="C32" s="145"/>
      <c r="D32" s="145"/>
      <c r="E32" s="145"/>
      <c r="F32" s="3"/>
      <c r="G32" s="15"/>
      <c r="H32" s="34"/>
      <c r="I32" s="35"/>
      <c r="J32" s="141"/>
      <c r="K32" s="141"/>
      <c r="L32" s="141"/>
      <c r="M32" s="142"/>
    </row>
    <row r="33" spans="1:13" ht="30" customHeight="1" x14ac:dyDescent="0.3">
      <c r="A33" s="10">
        <v>24</v>
      </c>
      <c r="B33" s="145"/>
      <c r="C33" s="145"/>
      <c r="D33" s="145"/>
      <c r="E33" s="145"/>
      <c r="F33" s="3"/>
      <c r="G33" s="15"/>
      <c r="H33" s="34"/>
      <c r="I33" s="35"/>
      <c r="J33" s="141"/>
      <c r="K33" s="141"/>
      <c r="L33" s="141"/>
      <c r="M33" s="142"/>
    </row>
    <row r="34" spans="1:13" ht="30" customHeight="1" x14ac:dyDescent="0.3">
      <c r="A34" s="10">
        <v>25</v>
      </c>
      <c r="B34" s="145"/>
      <c r="C34" s="145"/>
      <c r="D34" s="145"/>
      <c r="E34" s="145"/>
      <c r="F34" s="3"/>
      <c r="G34" s="15"/>
      <c r="H34" s="34"/>
      <c r="I34" s="35"/>
      <c r="J34" s="141"/>
      <c r="K34" s="141"/>
      <c r="L34" s="141"/>
      <c r="M34" s="142"/>
    </row>
    <row r="35" spans="1:13" ht="30" customHeight="1" x14ac:dyDescent="0.3">
      <c r="A35" s="10">
        <v>26</v>
      </c>
      <c r="B35" s="145"/>
      <c r="C35" s="145"/>
      <c r="D35" s="145"/>
      <c r="E35" s="145"/>
      <c r="F35" s="3"/>
      <c r="G35" s="15"/>
      <c r="H35" s="34"/>
      <c r="I35" s="35"/>
      <c r="J35" s="141"/>
      <c r="K35" s="141"/>
      <c r="L35" s="141"/>
      <c r="M35" s="142"/>
    </row>
    <row r="36" spans="1:13" ht="30" customHeight="1" x14ac:dyDescent="0.3">
      <c r="A36" s="10">
        <v>27</v>
      </c>
      <c r="B36" s="145"/>
      <c r="C36" s="145"/>
      <c r="D36" s="145"/>
      <c r="E36" s="145"/>
      <c r="F36" s="3"/>
      <c r="G36" s="15"/>
      <c r="H36" s="34"/>
      <c r="I36" s="35"/>
      <c r="J36" s="141"/>
      <c r="K36" s="141"/>
      <c r="L36" s="141"/>
      <c r="M36" s="142"/>
    </row>
    <row r="37" spans="1:13" ht="30" customHeight="1" x14ac:dyDescent="0.3">
      <c r="A37" s="10">
        <v>28</v>
      </c>
      <c r="B37" s="145"/>
      <c r="C37" s="145"/>
      <c r="D37" s="145"/>
      <c r="E37" s="145"/>
      <c r="F37" s="3"/>
      <c r="G37" s="15"/>
      <c r="H37" s="34"/>
      <c r="I37" s="35"/>
      <c r="J37" s="141"/>
      <c r="K37" s="141"/>
      <c r="L37" s="141"/>
      <c r="M37" s="142"/>
    </row>
    <row r="38" spans="1:13" ht="30" customHeight="1" x14ac:dyDescent="0.3">
      <c r="A38" s="10">
        <v>29</v>
      </c>
      <c r="B38" s="145"/>
      <c r="C38" s="145"/>
      <c r="D38" s="145"/>
      <c r="E38" s="145"/>
      <c r="F38" s="3"/>
      <c r="G38" s="15"/>
      <c r="H38" s="34"/>
      <c r="I38" s="35"/>
      <c r="J38" s="141"/>
      <c r="K38" s="141"/>
      <c r="L38" s="141"/>
      <c r="M38" s="142"/>
    </row>
    <row r="39" spans="1:13" ht="30" customHeight="1" x14ac:dyDescent="0.3">
      <c r="A39" s="10">
        <v>30</v>
      </c>
      <c r="B39" s="145"/>
      <c r="C39" s="145"/>
      <c r="D39" s="145"/>
      <c r="E39" s="145"/>
      <c r="F39" s="3"/>
      <c r="G39" s="15"/>
      <c r="H39" s="34"/>
      <c r="I39" s="35"/>
      <c r="J39" s="141"/>
      <c r="K39" s="141"/>
      <c r="L39" s="141"/>
      <c r="M39" s="142"/>
    </row>
    <row r="40" spans="1:13" ht="30" customHeight="1" x14ac:dyDescent="0.3">
      <c r="A40" s="10">
        <v>31</v>
      </c>
      <c r="B40" s="145"/>
      <c r="C40" s="145"/>
      <c r="D40" s="145"/>
      <c r="E40" s="145"/>
      <c r="F40" s="3"/>
      <c r="G40" s="15"/>
      <c r="H40" s="34"/>
      <c r="I40" s="35"/>
      <c r="J40" s="141"/>
      <c r="K40" s="141"/>
      <c r="L40" s="141"/>
      <c r="M40" s="142"/>
    </row>
    <row r="41" spans="1:13" ht="30" customHeight="1" x14ac:dyDescent="0.3">
      <c r="A41" s="10">
        <v>32</v>
      </c>
      <c r="B41" s="145"/>
      <c r="C41" s="145"/>
      <c r="D41" s="145"/>
      <c r="E41" s="145"/>
      <c r="F41" s="3"/>
      <c r="G41" s="15"/>
      <c r="H41" s="34"/>
      <c r="I41" s="35"/>
      <c r="J41" s="141"/>
      <c r="K41" s="141"/>
      <c r="L41" s="141"/>
      <c r="M41" s="142"/>
    </row>
    <row r="42" spans="1:13" ht="30" customHeight="1" x14ac:dyDescent="0.3">
      <c r="A42" s="10">
        <v>33</v>
      </c>
      <c r="B42" s="145"/>
      <c r="C42" s="145"/>
      <c r="D42" s="145"/>
      <c r="E42" s="145"/>
      <c r="F42" s="3"/>
      <c r="G42" s="15"/>
      <c r="H42" s="34"/>
      <c r="I42" s="35"/>
      <c r="J42" s="141"/>
      <c r="K42" s="141"/>
      <c r="L42" s="141"/>
      <c r="M42" s="142"/>
    </row>
    <row r="43" spans="1:13" ht="30" customHeight="1" x14ac:dyDescent="0.3">
      <c r="A43" s="10">
        <v>34</v>
      </c>
      <c r="B43" s="145"/>
      <c r="C43" s="145"/>
      <c r="D43" s="145"/>
      <c r="E43" s="145"/>
      <c r="F43" s="3"/>
      <c r="G43" s="15"/>
      <c r="H43" s="34"/>
      <c r="I43" s="35"/>
      <c r="J43" s="141"/>
      <c r="K43" s="141"/>
      <c r="L43" s="141"/>
      <c r="M43" s="142"/>
    </row>
    <row r="44" spans="1:13" ht="30" customHeight="1" x14ac:dyDescent="0.3">
      <c r="A44" s="10">
        <v>35</v>
      </c>
      <c r="B44" s="145"/>
      <c r="C44" s="145"/>
      <c r="D44" s="145"/>
      <c r="E44" s="145"/>
      <c r="F44" s="3"/>
      <c r="G44" s="15"/>
      <c r="H44" s="34"/>
      <c r="I44" s="35"/>
      <c r="J44" s="141"/>
      <c r="K44" s="141"/>
      <c r="L44" s="141"/>
      <c r="M44" s="142"/>
    </row>
    <row r="45" spans="1:13" ht="30" customHeight="1" x14ac:dyDescent="0.3">
      <c r="A45" s="10">
        <v>36</v>
      </c>
      <c r="B45" s="145"/>
      <c r="C45" s="145"/>
      <c r="D45" s="145"/>
      <c r="E45" s="145"/>
      <c r="F45" s="3"/>
      <c r="G45" s="15"/>
      <c r="H45" s="34"/>
      <c r="I45" s="35"/>
      <c r="J45" s="141"/>
      <c r="K45" s="141"/>
      <c r="L45" s="141"/>
      <c r="M45" s="142"/>
    </row>
    <row r="46" spans="1:13" ht="30" customHeight="1" x14ac:dyDescent="0.3">
      <c r="A46" s="10">
        <v>37</v>
      </c>
      <c r="B46" s="145"/>
      <c r="C46" s="145"/>
      <c r="D46" s="145"/>
      <c r="E46" s="145"/>
      <c r="F46" s="3"/>
      <c r="G46" s="17"/>
      <c r="H46" s="34"/>
      <c r="I46" s="35"/>
      <c r="J46" s="141"/>
      <c r="K46" s="141"/>
      <c r="L46" s="141"/>
      <c r="M46" s="142"/>
    </row>
    <row r="47" spans="1:13" ht="30" customHeight="1" x14ac:dyDescent="0.3">
      <c r="A47" s="10">
        <v>38</v>
      </c>
      <c r="B47" s="145"/>
      <c r="C47" s="145"/>
      <c r="D47" s="145"/>
      <c r="E47" s="145"/>
      <c r="F47" s="3"/>
      <c r="G47" s="17"/>
      <c r="H47" s="34"/>
      <c r="I47" s="35"/>
      <c r="J47" s="141"/>
      <c r="K47" s="141"/>
      <c r="L47" s="141"/>
      <c r="M47" s="142"/>
    </row>
    <row r="48" spans="1:13" ht="30" customHeight="1" x14ac:dyDescent="0.3">
      <c r="A48" s="10">
        <v>39</v>
      </c>
      <c r="B48" s="145"/>
      <c r="C48" s="145"/>
      <c r="D48" s="145"/>
      <c r="E48" s="145"/>
      <c r="F48" s="3"/>
      <c r="G48" s="17"/>
      <c r="H48" s="34"/>
      <c r="I48" s="35"/>
      <c r="J48" s="141"/>
      <c r="K48" s="141"/>
      <c r="L48" s="141"/>
      <c r="M48" s="142"/>
    </row>
    <row r="49" spans="1:13" ht="30" customHeight="1" x14ac:dyDescent="0.3">
      <c r="A49" s="10">
        <v>40</v>
      </c>
      <c r="B49" s="145"/>
      <c r="C49" s="145"/>
      <c r="D49" s="145"/>
      <c r="E49" s="145"/>
      <c r="F49" s="3"/>
      <c r="G49" s="17"/>
      <c r="H49" s="34"/>
      <c r="I49" s="35"/>
      <c r="J49" s="141"/>
      <c r="K49" s="141"/>
      <c r="L49" s="141"/>
      <c r="M49" s="142"/>
    </row>
    <row r="50" spans="1:13" ht="30" customHeight="1" x14ac:dyDescent="0.3">
      <c r="A50" s="10">
        <v>41</v>
      </c>
      <c r="B50" s="145"/>
      <c r="C50" s="145"/>
      <c r="D50" s="145"/>
      <c r="E50" s="145"/>
      <c r="F50" s="3"/>
      <c r="G50" s="17"/>
      <c r="H50" s="34"/>
      <c r="I50" s="35"/>
      <c r="J50" s="141"/>
      <c r="K50" s="141"/>
      <c r="L50" s="141"/>
      <c r="M50" s="142"/>
    </row>
    <row r="51" spans="1:13" ht="30" customHeight="1" x14ac:dyDescent="0.3">
      <c r="A51" s="10">
        <v>42</v>
      </c>
      <c r="B51" s="145"/>
      <c r="C51" s="145"/>
      <c r="D51" s="145"/>
      <c r="E51" s="145"/>
      <c r="F51" s="3"/>
      <c r="G51" s="17"/>
      <c r="H51" s="34"/>
      <c r="I51" s="35"/>
      <c r="J51" s="141"/>
      <c r="K51" s="141"/>
      <c r="L51" s="141"/>
      <c r="M51" s="142"/>
    </row>
    <row r="52" spans="1:13" ht="30" customHeight="1" x14ac:dyDescent="0.3">
      <c r="A52" s="10">
        <v>43</v>
      </c>
      <c r="B52" s="145"/>
      <c r="C52" s="145"/>
      <c r="D52" s="145"/>
      <c r="E52" s="145"/>
      <c r="F52" s="3"/>
      <c r="G52" s="17"/>
      <c r="H52" s="34"/>
      <c r="I52" s="35"/>
      <c r="J52" s="141"/>
      <c r="K52" s="141"/>
      <c r="L52" s="141"/>
      <c r="M52" s="142"/>
    </row>
    <row r="53" spans="1:13" ht="30" customHeight="1" x14ac:dyDescent="0.3">
      <c r="A53" s="10">
        <v>44</v>
      </c>
      <c r="B53" s="145"/>
      <c r="C53" s="145"/>
      <c r="D53" s="145"/>
      <c r="E53" s="145"/>
      <c r="F53" s="3"/>
      <c r="G53" s="17"/>
      <c r="H53" s="34"/>
      <c r="I53" s="35"/>
      <c r="J53" s="141"/>
      <c r="K53" s="141"/>
      <c r="L53" s="141"/>
      <c r="M53" s="142"/>
    </row>
    <row r="54" spans="1:13" ht="30" customHeight="1" x14ac:dyDescent="0.3">
      <c r="A54" s="10">
        <v>45</v>
      </c>
      <c r="B54" s="145"/>
      <c r="C54" s="145"/>
      <c r="D54" s="145"/>
      <c r="E54" s="145"/>
      <c r="F54" s="3"/>
      <c r="G54" s="17"/>
      <c r="H54" s="34"/>
      <c r="I54" s="35"/>
      <c r="J54" s="141"/>
      <c r="K54" s="141"/>
      <c r="L54" s="141"/>
      <c r="M54" s="142"/>
    </row>
    <row r="55" spans="1:13" ht="30" customHeight="1" x14ac:dyDescent="0.3">
      <c r="A55" s="10">
        <v>46</v>
      </c>
      <c r="B55" s="145"/>
      <c r="C55" s="145"/>
      <c r="D55" s="145"/>
      <c r="E55" s="145"/>
      <c r="F55" s="3"/>
      <c r="G55" s="17"/>
      <c r="H55" s="34"/>
      <c r="I55" s="35"/>
      <c r="J55" s="141"/>
      <c r="K55" s="141"/>
      <c r="L55" s="141"/>
      <c r="M55" s="142"/>
    </row>
    <row r="56" spans="1:13" ht="30" customHeight="1" x14ac:dyDescent="0.3">
      <c r="A56" s="10">
        <v>47</v>
      </c>
      <c r="B56" s="145"/>
      <c r="C56" s="145"/>
      <c r="D56" s="145"/>
      <c r="E56" s="145"/>
      <c r="F56" s="3"/>
      <c r="G56" s="17"/>
      <c r="H56" s="34"/>
      <c r="I56" s="35"/>
      <c r="J56" s="141"/>
      <c r="K56" s="141"/>
      <c r="L56" s="141"/>
      <c r="M56" s="142"/>
    </row>
    <row r="57" spans="1:13" ht="30" customHeight="1" x14ac:dyDescent="0.3">
      <c r="A57" s="10">
        <v>48</v>
      </c>
      <c r="B57" s="145"/>
      <c r="C57" s="145"/>
      <c r="D57" s="145"/>
      <c r="E57" s="145"/>
      <c r="F57" s="3"/>
      <c r="G57" s="17"/>
      <c r="H57" s="34"/>
      <c r="I57" s="35"/>
      <c r="J57" s="141"/>
      <c r="K57" s="141"/>
      <c r="L57" s="141"/>
      <c r="M57" s="142"/>
    </row>
    <row r="58" spans="1:13" ht="30" customHeight="1" x14ac:dyDescent="0.3">
      <c r="A58" s="10">
        <v>49</v>
      </c>
      <c r="B58" s="145"/>
      <c r="C58" s="145"/>
      <c r="D58" s="145"/>
      <c r="E58" s="145"/>
      <c r="F58" s="3"/>
      <c r="G58" s="17"/>
      <c r="H58" s="34"/>
      <c r="I58" s="35"/>
      <c r="J58" s="141"/>
      <c r="K58" s="141"/>
      <c r="L58" s="141"/>
      <c r="M58" s="142"/>
    </row>
    <row r="59" spans="1:13" ht="30" customHeight="1" x14ac:dyDescent="0.3">
      <c r="A59" s="10">
        <v>50</v>
      </c>
      <c r="B59" s="145"/>
      <c r="C59" s="145"/>
      <c r="D59" s="145"/>
      <c r="E59" s="145"/>
      <c r="F59" s="3"/>
      <c r="G59" s="17"/>
      <c r="H59" s="34"/>
      <c r="I59" s="35"/>
      <c r="J59" s="141"/>
      <c r="K59" s="141"/>
      <c r="L59" s="141"/>
      <c r="M59" s="142"/>
    </row>
    <row r="60" spans="1:13" ht="30" customHeight="1" x14ac:dyDescent="0.3">
      <c r="A60" s="10">
        <v>51</v>
      </c>
      <c r="B60" s="145"/>
      <c r="C60" s="145"/>
      <c r="D60" s="145"/>
      <c r="E60" s="145"/>
      <c r="F60" s="3"/>
      <c r="G60" s="17"/>
      <c r="H60" s="34"/>
      <c r="I60" s="35"/>
      <c r="J60" s="141"/>
      <c r="K60" s="141"/>
      <c r="L60" s="141"/>
      <c r="M60" s="142"/>
    </row>
    <row r="61" spans="1:13" ht="30" customHeight="1" x14ac:dyDescent="0.3">
      <c r="A61" s="10">
        <v>52</v>
      </c>
      <c r="B61" s="145"/>
      <c r="C61" s="145"/>
      <c r="D61" s="145"/>
      <c r="E61" s="145"/>
      <c r="F61" s="3"/>
      <c r="G61" s="17"/>
      <c r="H61" s="34"/>
      <c r="I61" s="35"/>
      <c r="J61" s="141"/>
      <c r="K61" s="141"/>
      <c r="L61" s="141"/>
      <c r="M61" s="142"/>
    </row>
    <row r="62" spans="1:13" ht="30" customHeight="1" x14ac:dyDescent="0.3">
      <c r="A62" s="10">
        <v>53</v>
      </c>
      <c r="B62" s="145"/>
      <c r="C62" s="145"/>
      <c r="D62" s="145"/>
      <c r="E62" s="145"/>
      <c r="F62" s="3"/>
      <c r="G62" s="17"/>
      <c r="H62" s="34"/>
      <c r="I62" s="35"/>
      <c r="J62" s="141"/>
      <c r="K62" s="141"/>
      <c r="L62" s="141"/>
      <c r="M62" s="142"/>
    </row>
    <row r="63" spans="1:13" ht="30" customHeight="1" x14ac:dyDescent="0.3">
      <c r="A63" s="10">
        <v>54</v>
      </c>
      <c r="B63" s="145"/>
      <c r="C63" s="145"/>
      <c r="D63" s="145"/>
      <c r="E63" s="145"/>
      <c r="F63" s="3"/>
      <c r="G63" s="17"/>
      <c r="H63" s="34"/>
      <c r="I63" s="35"/>
      <c r="J63" s="141"/>
      <c r="K63" s="141"/>
      <c r="L63" s="141"/>
      <c r="M63" s="142"/>
    </row>
    <row r="64" spans="1:13" ht="30" customHeight="1" x14ac:dyDescent="0.3">
      <c r="A64" s="10">
        <v>55</v>
      </c>
      <c r="B64" s="145"/>
      <c r="C64" s="145"/>
      <c r="D64" s="145"/>
      <c r="E64" s="145"/>
      <c r="F64" s="3"/>
      <c r="G64" s="17"/>
      <c r="H64" s="34"/>
      <c r="I64" s="35"/>
      <c r="J64" s="141"/>
      <c r="K64" s="141"/>
      <c r="L64" s="141"/>
      <c r="M64" s="142"/>
    </row>
    <row r="65" spans="1:13" ht="30" customHeight="1" x14ac:dyDescent="0.3">
      <c r="A65" s="10">
        <v>56</v>
      </c>
      <c r="B65" s="145"/>
      <c r="C65" s="145"/>
      <c r="D65" s="145"/>
      <c r="E65" s="145"/>
      <c r="F65" s="3"/>
      <c r="G65" s="17"/>
      <c r="H65" s="34"/>
      <c r="I65" s="35"/>
      <c r="J65" s="141"/>
      <c r="K65" s="141"/>
      <c r="L65" s="141"/>
      <c r="M65" s="142"/>
    </row>
    <row r="66" spans="1:13" ht="30" customHeight="1" x14ac:dyDescent="0.3">
      <c r="A66" s="10">
        <v>57</v>
      </c>
      <c r="B66" s="145"/>
      <c r="C66" s="145"/>
      <c r="D66" s="145"/>
      <c r="E66" s="145"/>
      <c r="F66" s="3"/>
      <c r="G66" s="17"/>
      <c r="H66" s="34"/>
      <c r="I66" s="35"/>
      <c r="J66" s="141"/>
      <c r="K66" s="141"/>
      <c r="L66" s="141"/>
      <c r="M66" s="142"/>
    </row>
    <row r="67" spans="1:13" ht="30" customHeight="1" x14ac:dyDescent="0.3">
      <c r="A67" s="10">
        <v>58</v>
      </c>
      <c r="B67" s="145"/>
      <c r="C67" s="145"/>
      <c r="D67" s="145"/>
      <c r="E67" s="145"/>
      <c r="F67" s="3"/>
      <c r="G67" s="17"/>
      <c r="H67" s="34"/>
      <c r="I67" s="35"/>
      <c r="J67" s="141"/>
      <c r="K67" s="141"/>
      <c r="L67" s="141"/>
      <c r="M67" s="142"/>
    </row>
    <row r="68" spans="1:13" ht="30" customHeight="1" x14ac:dyDescent="0.3">
      <c r="A68" s="10">
        <v>59</v>
      </c>
      <c r="B68" s="145"/>
      <c r="C68" s="145"/>
      <c r="D68" s="145"/>
      <c r="E68" s="145"/>
      <c r="F68" s="3"/>
      <c r="G68" s="17"/>
      <c r="H68" s="34"/>
      <c r="I68" s="35"/>
      <c r="J68" s="141"/>
      <c r="K68" s="141"/>
      <c r="L68" s="141"/>
      <c r="M68" s="142"/>
    </row>
    <row r="69" spans="1:13" ht="30" customHeight="1" x14ac:dyDescent="0.3">
      <c r="A69" s="10">
        <v>60</v>
      </c>
      <c r="B69" s="145"/>
      <c r="C69" s="145"/>
      <c r="D69" s="145"/>
      <c r="E69" s="145"/>
      <c r="F69" s="3"/>
      <c r="G69" s="17"/>
      <c r="H69" s="34"/>
      <c r="I69" s="35"/>
      <c r="J69" s="141"/>
      <c r="K69" s="141"/>
      <c r="L69" s="141"/>
      <c r="M69" s="142"/>
    </row>
    <row r="70" spans="1:13" ht="30" customHeight="1" x14ac:dyDescent="0.3">
      <c r="A70" s="10">
        <v>61</v>
      </c>
      <c r="B70" s="145"/>
      <c r="C70" s="145"/>
      <c r="D70" s="145"/>
      <c r="E70" s="145"/>
      <c r="F70" s="3"/>
      <c r="G70" s="17"/>
      <c r="H70" s="34"/>
      <c r="I70" s="35"/>
      <c r="J70" s="141"/>
      <c r="K70" s="141"/>
      <c r="L70" s="141"/>
      <c r="M70" s="142"/>
    </row>
    <row r="71" spans="1:13" ht="30" customHeight="1" x14ac:dyDescent="0.3">
      <c r="A71" s="10">
        <v>62</v>
      </c>
      <c r="B71" s="145"/>
      <c r="C71" s="145"/>
      <c r="D71" s="145"/>
      <c r="E71" s="145"/>
      <c r="F71" s="3"/>
      <c r="G71" s="17"/>
      <c r="H71" s="34"/>
      <c r="I71" s="35"/>
      <c r="J71" s="141"/>
      <c r="K71" s="141"/>
      <c r="L71" s="141"/>
      <c r="M71" s="142"/>
    </row>
    <row r="72" spans="1:13" ht="30" customHeight="1" x14ac:dyDescent="0.3">
      <c r="A72" s="10">
        <v>63</v>
      </c>
      <c r="B72" s="145"/>
      <c r="C72" s="145"/>
      <c r="D72" s="145"/>
      <c r="E72" s="145"/>
      <c r="F72" s="3"/>
      <c r="G72" s="40"/>
      <c r="H72" s="34"/>
      <c r="I72" s="35"/>
      <c r="J72" s="141"/>
      <c r="K72" s="141"/>
      <c r="L72" s="141"/>
      <c r="M72" s="142"/>
    </row>
    <row r="73" spans="1:13" ht="30" customHeight="1" x14ac:dyDescent="0.3">
      <c r="A73" s="10">
        <v>64</v>
      </c>
      <c r="B73" s="145"/>
      <c r="C73" s="145"/>
      <c r="D73" s="145"/>
      <c r="E73" s="145"/>
      <c r="F73" s="3"/>
      <c r="G73" s="40"/>
      <c r="H73" s="34"/>
      <c r="I73" s="35"/>
      <c r="J73" s="141"/>
      <c r="K73" s="141"/>
      <c r="L73" s="141"/>
      <c r="M73" s="142"/>
    </row>
    <row r="74" spans="1:13" ht="30" customHeight="1" x14ac:dyDescent="0.3">
      <c r="A74" s="10">
        <v>65</v>
      </c>
      <c r="B74" s="145"/>
      <c r="C74" s="145"/>
      <c r="D74" s="145"/>
      <c r="E74" s="145"/>
      <c r="F74" s="3"/>
      <c r="G74" s="40"/>
      <c r="H74" s="34"/>
      <c r="I74" s="35"/>
      <c r="J74" s="141"/>
      <c r="K74" s="141"/>
      <c r="L74" s="141"/>
      <c r="M74" s="142"/>
    </row>
    <row r="75" spans="1:13" ht="30" customHeight="1" x14ac:dyDescent="0.3">
      <c r="A75" s="10">
        <v>66</v>
      </c>
      <c r="B75" s="145"/>
      <c r="C75" s="145"/>
      <c r="D75" s="145"/>
      <c r="E75" s="145"/>
      <c r="F75" s="3"/>
      <c r="G75" s="40"/>
      <c r="H75" s="34"/>
      <c r="I75" s="35"/>
      <c r="J75" s="141"/>
      <c r="K75" s="141"/>
      <c r="L75" s="141"/>
      <c r="M75" s="142"/>
    </row>
    <row r="76" spans="1:13" ht="30" customHeight="1" x14ac:dyDescent="0.3">
      <c r="A76" s="10">
        <v>67</v>
      </c>
      <c r="B76" s="145"/>
      <c r="C76" s="145"/>
      <c r="D76" s="145"/>
      <c r="E76" s="145"/>
      <c r="F76" s="3"/>
      <c r="G76" s="40"/>
      <c r="H76" s="34"/>
      <c r="I76" s="35"/>
      <c r="J76" s="141"/>
      <c r="K76" s="141"/>
      <c r="L76" s="141"/>
      <c r="M76" s="142"/>
    </row>
    <row r="77" spans="1:13" ht="30" customHeight="1" x14ac:dyDescent="0.3">
      <c r="A77" s="10">
        <v>68</v>
      </c>
      <c r="B77" s="145"/>
      <c r="C77" s="145"/>
      <c r="D77" s="145"/>
      <c r="E77" s="145"/>
      <c r="F77" s="3"/>
      <c r="G77" s="40"/>
      <c r="H77" s="34"/>
      <c r="I77" s="35"/>
      <c r="J77" s="141"/>
      <c r="K77" s="141"/>
      <c r="L77" s="141"/>
      <c r="M77" s="142"/>
    </row>
    <row r="78" spans="1:13" ht="30" customHeight="1" x14ac:dyDescent="0.3">
      <c r="A78" s="10">
        <v>69</v>
      </c>
      <c r="B78" s="145"/>
      <c r="C78" s="145"/>
      <c r="D78" s="145"/>
      <c r="E78" s="145"/>
      <c r="F78" s="3"/>
      <c r="G78" s="40"/>
      <c r="H78" s="34"/>
      <c r="I78" s="35"/>
      <c r="J78" s="141"/>
      <c r="K78" s="141"/>
      <c r="L78" s="141"/>
      <c r="M78" s="142"/>
    </row>
    <row r="79" spans="1:13" ht="30" customHeight="1" thickBot="1" x14ac:dyDescent="0.35">
      <c r="A79" s="11">
        <v>70</v>
      </c>
      <c r="B79" s="146"/>
      <c r="C79" s="146"/>
      <c r="D79" s="146"/>
      <c r="E79" s="146"/>
      <c r="F79" s="13"/>
      <c r="G79" s="41"/>
      <c r="H79" s="38"/>
      <c r="I79" s="39"/>
      <c r="J79" s="143"/>
      <c r="K79" s="143"/>
      <c r="L79" s="143"/>
      <c r="M79" s="144"/>
    </row>
  </sheetData>
  <mergeCells count="148">
    <mergeCell ref="J9:M9"/>
    <mergeCell ref="B5:C5"/>
    <mergeCell ref="B7:C7"/>
    <mergeCell ref="F5:G5"/>
    <mergeCell ref="F7:G7"/>
    <mergeCell ref="H7:I7"/>
    <mergeCell ref="B16:E16"/>
    <mergeCell ref="J16:M16"/>
    <mergeCell ref="B17:E17"/>
    <mergeCell ref="J17:M17"/>
    <mergeCell ref="B18:E18"/>
    <mergeCell ref="B19:E19"/>
    <mergeCell ref="B20:E20"/>
    <mergeCell ref="B21:E21"/>
    <mergeCell ref="B14:E14"/>
    <mergeCell ref="B13:E13"/>
    <mergeCell ref="B12:E12"/>
    <mergeCell ref="B11:E11"/>
    <mergeCell ref="B15:E15"/>
    <mergeCell ref="B28:E28"/>
    <mergeCell ref="B29:E29"/>
    <mergeCell ref="B30:E30"/>
    <mergeCell ref="B31:E31"/>
    <mergeCell ref="B32:E32"/>
    <mergeCell ref="B33:E33"/>
    <mergeCell ref="B22:E22"/>
    <mergeCell ref="B23:E23"/>
    <mergeCell ref="B24:E24"/>
    <mergeCell ref="B25:E25"/>
    <mergeCell ref="B26:E26"/>
    <mergeCell ref="B27:E27"/>
    <mergeCell ref="B42:E42"/>
    <mergeCell ref="B43:E43"/>
    <mergeCell ref="B44:E44"/>
    <mergeCell ref="B45:E45"/>
    <mergeCell ref="B34:E34"/>
    <mergeCell ref="B35:E35"/>
    <mergeCell ref="B36:E36"/>
    <mergeCell ref="B37:E37"/>
    <mergeCell ref="B38:E38"/>
    <mergeCell ref="B39:E39"/>
    <mergeCell ref="B79:E79"/>
    <mergeCell ref="J10:M10"/>
    <mergeCell ref="J11:M11"/>
    <mergeCell ref="J12:M12"/>
    <mergeCell ref="J13:M13"/>
    <mergeCell ref="J14:M14"/>
    <mergeCell ref="J15:M15"/>
    <mergeCell ref="B70:E70"/>
    <mergeCell ref="B71:E71"/>
    <mergeCell ref="B72:E72"/>
    <mergeCell ref="B73:E73"/>
    <mergeCell ref="B74:E74"/>
    <mergeCell ref="B75:E75"/>
    <mergeCell ref="B64:E64"/>
    <mergeCell ref="B65:E65"/>
    <mergeCell ref="B66:E66"/>
    <mergeCell ref="B67:E67"/>
    <mergeCell ref="B68:E68"/>
    <mergeCell ref="B69:E69"/>
    <mergeCell ref="B58:E58"/>
    <mergeCell ref="B59:E59"/>
    <mergeCell ref="B60:E60"/>
    <mergeCell ref="B61:E61"/>
    <mergeCell ref="B62:E62"/>
    <mergeCell ref="J18:M18"/>
    <mergeCell ref="J19:M19"/>
    <mergeCell ref="J20:M20"/>
    <mergeCell ref="J21:M21"/>
    <mergeCell ref="B76:E76"/>
    <mergeCell ref="B77:E77"/>
    <mergeCell ref="B78:E78"/>
    <mergeCell ref="B63:E63"/>
    <mergeCell ref="B52:E52"/>
    <mergeCell ref="B53:E53"/>
    <mergeCell ref="B54:E54"/>
    <mergeCell ref="B55:E55"/>
    <mergeCell ref="B56:E56"/>
    <mergeCell ref="B57:E57"/>
    <mergeCell ref="B46:E46"/>
    <mergeCell ref="B47:E47"/>
    <mergeCell ref="B48:E48"/>
    <mergeCell ref="B49:E49"/>
    <mergeCell ref="B50:E50"/>
    <mergeCell ref="B51:E51"/>
    <mergeCell ref="B40:E40"/>
    <mergeCell ref="B41:E41"/>
    <mergeCell ref="J28:M28"/>
    <mergeCell ref="J29:M29"/>
    <mergeCell ref="J30:M30"/>
    <mergeCell ref="J31:M31"/>
    <mergeCell ref="J32:M32"/>
    <mergeCell ref="J33:M33"/>
    <mergeCell ref="J22:M22"/>
    <mergeCell ref="J23:M23"/>
    <mergeCell ref="J24:M24"/>
    <mergeCell ref="J25:M25"/>
    <mergeCell ref="J26:M26"/>
    <mergeCell ref="J27:M27"/>
    <mergeCell ref="J40:M40"/>
    <mergeCell ref="J41:M41"/>
    <mergeCell ref="J42:M42"/>
    <mergeCell ref="J43:M43"/>
    <mergeCell ref="J44:M44"/>
    <mergeCell ref="J45:M45"/>
    <mergeCell ref="J34:M34"/>
    <mergeCell ref="J35:M35"/>
    <mergeCell ref="J36:M36"/>
    <mergeCell ref="J37:M37"/>
    <mergeCell ref="J38:M38"/>
    <mergeCell ref="J39:M39"/>
    <mergeCell ref="J63:M63"/>
    <mergeCell ref="J52:M52"/>
    <mergeCell ref="J53:M53"/>
    <mergeCell ref="J54:M54"/>
    <mergeCell ref="J55:M55"/>
    <mergeCell ref="J56:M56"/>
    <mergeCell ref="J57:M57"/>
    <mergeCell ref="J46:M46"/>
    <mergeCell ref="J47:M47"/>
    <mergeCell ref="J48:M48"/>
    <mergeCell ref="J49:M49"/>
    <mergeCell ref="J50:M50"/>
    <mergeCell ref="J51:M51"/>
    <mergeCell ref="A1:C3"/>
    <mergeCell ref="D1:M3"/>
    <mergeCell ref="J76:M76"/>
    <mergeCell ref="J77:M77"/>
    <mergeCell ref="J78:M78"/>
    <mergeCell ref="J79:M79"/>
    <mergeCell ref="B4:L4"/>
    <mergeCell ref="J70:M70"/>
    <mergeCell ref="J71:M71"/>
    <mergeCell ref="J72:M72"/>
    <mergeCell ref="J73:M73"/>
    <mergeCell ref="J74:M74"/>
    <mergeCell ref="J75:M75"/>
    <mergeCell ref="J64:M64"/>
    <mergeCell ref="J65:M65"/>
    <mergeCell ref="J66:M66"/>
    <mergeCell ref="J67:M67"/>
    <mergeCell ref="J68:M68"/>
    <mergeCell ref="J69:M69"/>
    <mergeCell ref="J58:M58"/>
    <mergeCell ref="J59:M59"/>
    <mergeCell ref="J60:M60"/>
    <mergeCell ref="J61:M61"/>
    <mergeCell ref="J62:M62"/>
  </mergeCells>
  <pageMargins left="0.15748031496062992" right="0.23622047244094491" top="0.31496062992125984" bottom="0.15748031496062992" header="0.23622047244094491" footer="0.15748031496062992"/>
  <pageSetup paperSize="9" scale="76" fitToHeight="0"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205D11-BCD6-4F13-8551-0AD5AEEBF10E}">
          <x14:formula1>
            <xm:f>TABLAS!$B$2:$B$25</xm:f>
          </x14:formula1>
          <xm:sqref>F10:F79</xm:sqref>
        </x14:dataValidation>
        <x14:dataValidation type="list" allowBlank="1" showInputMessage="1" showErrorMessage="1" xr:uid="{98D387A7-F3EE-411B-AACB-971CAB2234A7}">
          <x14:formula1>
            <xm:f>TABLAS!$E$2:$E$311</xm:f>
          </x14:formula1>
          <xm:sqref>I10:I79</xm:sqref>
        </x14:dataValidation>
        <x14:dataValidation type="list" allowBlank="1" showInputMessage="1" showErrorMessage="1" xr:uid="{BD6107D6-7124-46B8-8D84-891E324C8961}">
          <x14:formula1>
            <xm:f>TABLAS!$D$2:$D$21</xm:f>
          </x14:formula1>
          <xm:sqref>H10:H79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DD873-B643-41BE-967E-66533C1DC0EE}">
  <sheetPr codeName="Hoja4">
    <pageSetUpPr fitToPage="1"/>
  </sheetPr>
  <dimension ref="A1:H79"/>
  <sheetViews>
    <sheetView showGridLines="0" tabSelected="1" topLeftCell="A36" zoomScaleNormal="100" workbookViewId="0">
      <selection sqref="A1:G38"/>
    </sheetView>
  </sheetViews>
  <sheetFormatPr baseColWidth="10" defaultColWidth="10.77734375" defaultRowHeight="14.4" x14ac:dyDescent="0.3"/>
  <cols>
    <col min="1" max="1" width="6.33203125" customWidth="1"/>
    <col min="2" max="2" width="36.109375" customWidth="1"/>
    <col min="3" max="3" width="10.33203125" customWidth="1"/>
    <col min="4" max="4" width="8" customWidth="1"/>
    <col min="5" max="5" width="15.6640625" customWidth="1"/>
    <col min="6" max="6" width="14" customWidth="1"/>
    <col min="7" max="7" width="35.109375" customWidth="1"/>
  </cols>
  <sheetData>
    <row r="1" spans="1:8" ht="34.200000000000003" customHeight="1" x14ac:dyDescent="0.3">
      <c r="A1" s="56"/>
      <c r="B1" s="62" t="s">
        <v>228</v>
      </c>
      <c r="C1" s="56"/>
      <c r="D1" s="56"/>
      <c r="E1" s="56"/>
      <c r="F1" s="56"/>
      <c r="G1" s="56"/>
    </row>
    <row r="2" spans="1:8" ht="18" customHeight="1" x14ac:dyDescent="0.3">
      <c r="A2" s="57"/>
      <c r="B2" s="67" t="s">
        <v>229</v>
      </c>
      <c r="C2" s="57"/>
      <c r="D2" s="57"/>
      <c r="E2" s="57"/>
      <c r="F2" s="57"/>
      <c r="G2" s="57"/>
    </row>
    <row r="4" spans="1:8" ht="21" customHeight="1" x14ac:dyDescent="0.3">
      <c r="A4" s="68" t="s">
        <v>230</v>
      </c>
      <c r="B4" s="69">
        <f>VLOOKUP(F4,Tabla1[],2,0)</f>
        <v>45967</v>
      </c>
      <c r="D4" s="70" t="s">
        <v>231</v>
      </c>
      <c r="E4" s="70"/>
      <c r="F4" s="71" t="s">
        <v>518</v>
      </c>
    </row>
    <row r="6" spans="1:8" ht="21" customHeight="1" x14ac:dyDescent="0.3">
      <c r="A6" s="68" t="s">
        <v>232</v>
      </c>
      <c r="D6" s="70" t="s">
        <v>233</v>
      </c>
      <c r="E6" s="72"/>
      <c r="F6" s="73" t="s">
        <v>223</v>
      </c>
    </row>
    <row r="9" spans="1:8" ht="27.6" customHeight="1" thickBot="1" x14ac:dyDescent="0.35">
      <c r="A9" s="61" t="s">
        <v>224</v>
      </c>
      <c r="B9" s="61" t="s">
        <v>87</v>
      </c>
      <c r="C9" s="61" t="s">
        <v>2</v>
      </c>
      <c r="D9" s="66" t="s">
        <v>3</v>
      </c>
      <c r="E9" s="61" t="s">
        <v>5</v>
      </c>
      <c r="F9" s="61" t="s">
        <v>6</v>
      </c>
      <c r="G9" s="61" t="s">
        <v>234</v>
      </c>
      <c r="H9" s="52"/>
    </row>
    <row r="10" spans="1:8" ht="42.6" customHeight="1" x14ac:dyDescent="0.3">
      <c r="A10" s="53">
        <v>1</v>
      </c>
      <c r="B10" s="74" t="str" cm="1">
        <f t="array" ref="B10:G38">IF(_xlfn._xlws.FILTER(Tabla1[[DESCRIPCION PRODUCTO]:[DETALLE / OBSERVACIONES]],Tabla1[N° REQUERIMIENTO]='FORMATO REQUERIMIENTO'!$F$4,"")="","",_xlfn._xlws.FILTER(Tabla1[[DESCRIPCION PRODUCTO]:[DETALLE / OBSERVACIONES]],Tabla1[N° REQUERIMIENTO]='FORMATO REQUERIMIENTO'!$F$4,""))</f>
        <v>CORRECTOR LIQUIDO</v>
      </c>
      <c r="C10" s="58" t="str">
        <v>UNI</v>
      </c>
      <c r="D10" s="58">
        <v>48</v>
      </c>
      <c r="E10" s="58" t="str">
        <v>FIERRERIA</v>
      </c>
      <c r="F10" s="63" t="str">
        <v>YEYSON CACERES</v>
      </c>
      <c r="G10" s="122" t="str">
        <v/>
      </c>
    </row>
    <row r="11" spans="1:8" ht="42.6" customHeight="1" x14ac:dyDescent="0.3">
      <c r="A11" s="54">
        <v>2</v>
      </c>
      <c r="B11" s="75" t="str">
        <v>DISCO DE CORTE 71/4" PARA MADERA</v>
      </c>
      <c r="C11" s="59" t="str">
        <v>UNI</v>
      </c>
      <c r="D11" s="59">
        <v>6</v>
      </c>
      <c r="E11" s="59" t="str">
        <v>CARPINTERIA</v>
      </c>
      <c r="F11" s="64" t="str">
        <v>SAMMER MAYTAHUARI</v>
      </c>
      <c r="G11" s="123" t="str">
        <v/>
      </c>
    </row>
    <row r="12" spans="1:8" ht="42.6" customHeight="1" x14ac:dyDescent="0.3">
      <c r="A12" s="54">
        <v>3</v>
      </c>
      <c r="B12" s="75" t="str">
        <v>BOLILLOS 5/8"</v>
      </c>
      <c r="C12" s="59" t="str">
        <v>UNI</v>
      </c>
      <c r="D12" s="59">
        <v>200</v>
      </c>
      <c r="E12" s="59" t="str">
        <v>CARPINTERIA</v>
      </c>
      <c r="F12" s="64" t="str">
        <v>ARTURO ARGUATA</v>
      </c>
      <c r="G12" s="123" t="str">
        <v/>
      </c>
    </row>
    <row r="13" spans="1:8" ht="42.6" customHeight="1" x14ac:dyDescent="0.3">
      <c r="A13" s="54">
        <v>4</v>
      </c>
      <c r="B13" s="75" t="str">
        <v>CABLE EXTENSION</v>
      </c>
      <c r="C13" s="59" t="str">
        <v>MTS</v>
      </c>
      <c r="D13" s="59">
        <v>15</v>
      </c>
      <c r="E13" s="59" t="str">
        <v>RETRO</v>
      </c>
      <c r="F13" s="64" t="str">
        <v>WILSON ROSAS</v>
      </c>
      <c r="G13" s="123" t="str">
        <v/>
      </c>
    </row>
    <row r="14" spans="1:8" ht="42.6" customHeight="1" x14ac:dyDescent="0.3">
      <c r="A14" s="54">
        <v>5</v>
      </c>
      <c r="B14" s="75" t="str">
        <v>BOQUILLA DE ENGRASE (GERMANI)</v>
      </c>
      <c r="C14" s="59" t="str">
        <v>UNI</v>
      </c>
      <c r="D14" s="59">
        <v>2</v>
      </c>
      <c r="E14" s="59" t="str">
        <v>RETRO</v>
      </c>
      <c r="F14" s="64" t="str">
        <v>WILSON ROSAS</v>
      </c>
      <c r="G14" s="123" t="str">
        <v/>
      </c>
    </row>
    <row r="15" spans="1:8" ht="42.6" customHeight="1" x14ac:dyDescent="0.3">
      <c r="A15" s="54">
        <v>6</v>
      </c>
      <c r="B15" s="75" t="str">
        <v>JGO DE ACOPLE PARA MANGUERA DE COMPRESORA</v>
      </c>
      <c r="C15" s="59" t="str">
        <v>JGO</v>
      </c>
      <c r="D15" s="59">
        <v>1</v>
      </c>
      <c r="E15" s="59" t="str">
        <v>RETRO</v>
      </c>
      <c r="F15" s="64" t="str">
        <v>WILSON ROSAS</v>
      </c>
      <c r="G15" s="123" t="str">
        <v/>
      </c>
    </row>
    <row r="16" spans="1:8" ht="42.6" customHeight="1" x14ac:dyDescent="0.3">
      <c r="A16" s="54">
        <v>7</v>
      </c>
      <c r="B16" s="75" t="str">
        <v>MENEQUE HEMBRA</v>
      </c>
      <c r="C16" s="59" t="str">
        <v>UNI</v>
      </c>
      <c r="D16" s="59">
        <v>6</v>
      </c>
      <c r="E16" s="59" t="str">
        <v/>
      </c>
      <c r="F16" s="64" t="str">
        <v xml:space="preserve">NAVARRO </v>
      </c>
      <c r="G16" s="123" t="str">
        <v/>
      </c>
    </row>
    <row r="17" spans="1:7" ht="42.6" customHeight="1" x14ac:dyDescent="0.3">
      <c r="A17" s="54">
        <v>8</v>
      </c>
      <c r="B17" s="75" t="str">
        <v>CABLE PARA MAQUINA DE SOLDAR</v>
      </c>
      <c r="C17" s="59" t="str">
        <v>UNI</v>
      </c>
      <c r="D17" s="59">
        <v>1</v>
      </c>
      <c r="E17" s="59" t="str">
        <v>FIERRERIA</v>
      </c>
      <c r="F17" s="64" t="str">
        <v>NESTOR TACANAHUI</v>
      </c>
      <c r="G17" s="123" t="str">
        <v/>
      </c>
    </row>
    <row r="18" spans="1:7" ht="42.6" customHeight="1" x14ac:dyDescent="0.3">
      <c r="A18" s="54">
        <v>9</v>
      </c>
      <c r="B18" s="75" t="str">
        <v>HOJAS BOND 75GR</v>
      </c>
      <c r="C18" s="59" t="str">
        <v>CAJA</v>
      </c>
      <c r="D18" s="59">
        <v>2</v>
      </c>
      <c r="E18" s="59" t="str">
        <v>ALMACEN</v>
      </c>
      <c r="F18" s="64" t="str">
        <v>ERNESTO ACUACHI</v>
      </c>
      <c r="G18" s="123" t="str">
        <v/>
      </c>
    </row>
    <row r="19" spans="1:7" ht="42.6" customHeight="1" x14ac:dyDescent="0.3">
      <c r="A19" s="54">
        <v>10</v>
      </c>
      <c r="B19" s="75" t="str">
        <v>ARCHIVADOR CARTON CON PALANCA LOMO ANCHO</v>
      </c>
      <c r="C19" s="59" t="str">
        <v>CAJA</v>
      </c>
      <c r="D19" s="59">
        <v>2</v>
      </c>
      <c r="E19" s="59" t="str">
        <v>ALMACEN</v>
      </c>
      <c r="F19" s="64" t="str">
        <v>ERNESTO ACUACHI</v>
      </c>
      <c r="G19" s="123" t="str">
        <v/>
      </c>
    </row>
    <row r="20" spans="1:7" ht="42.6" customHeight="1" x14ac:dyDescent="0.3">
      <c r="A20" s="54">
        <v>11</v>
      </c>
      <c r="B20" s="75" t="str">
        <v xml:space="preserve">YUTE </v>
      </c>
      <c r="C20" s="59" t="str">
        <v>ROLLO</v>
      </c>
      <c r="D20" s="59">
        <v>1</v>
      </c>
      <c r="E20" s="59" t="str">
        <v>ALBAÑILERIA</v>
      </c>
      <c r="F20" s="64" t="str">
        <v>ARTURO ARGUATA</v>
      </c>
      <c r="G20" s="123" t="str">
        <v/>
      </c>
    </row>
    <row r="21" spans="1:7" ht="42.6" customHeight="1" x14ac:dyDescent="0.3">
      <c r="A21" s="54">
        <v>12</v>
      </c>
      <c r="B21" s="75" t="str">
        <v>REFLECTORES</v>
      </c>
      <c r="C21" s="59" t="str">
        <v>UNI</v>
      </c>
      <c r="D21" s="59">
        <v>3</v>
      </c>
      <c r="E21" s="59" t="str">
        <v>ALBAÑILERIA</v>
      </c>
      <c r="F21" s="64" t="str">
        <v>ARTURO ARGUATA</v>
      </c>
      <c r="G21" s="123" t="str">
        <v/>
      </c>
    </row>
    <row r="22" spans="1:7" ht="42.6" customHeight="1" x14ac:dyDescent="0.3">
      <c r="A22" s="54">
        <v>13</v>
      </c>
      <c r="B22" s="75" t="str">
        <v>LAPICERO BORRABLES</v>
      </c>
      <c r="C22" s="59" t="str">
        <v>UNI</v>
      </c>
      <c r="D22" s="59">
        <v>12</v>
      </c>
      <c r="E22" s="59" t="str">
        <v>RESIDENCIA</v>
      </c>
      <c r="F22" s="64" t="str">
        <v>ARLETTE SILVA</v>
      </c>
      <c r="G22" s="123" t="str">
        <v/>
      </c>
    </row>
    <row r="23" spans="1:7" ht="42.6" customHeight="1" x14ac:dyDescent="0.3">
      <c r="A23" s="54">
        <v>14</v>
      </c>
      <c r="B23" s="75" t="str">
        <v>PAPEL STICKER A4</v>
      </c>
      <c r="C23" s="59" t="str">
        <v>UNI</v>
      </c>
      <c r="D23" s="59">
        <v>100</v>
      </c>
      <c r="E23" s="59" t="str">
        <v>RESIDENCIA</v>
      </c>
      <c r="F23" s="64" t="str">
        <v>ARLETTE SILVA</v>
      </c>
      <c r="G23" s="123" t="str">
        <v/>
      </c>
    </row>
    <row r="24" spans="1:7" ht="42.6" customHeight="1" x14ac:dyDescent="0.3">
      <c r="A24" s="54">
        <v>15</v>
      </c>
      <c r="B24" s="75" t="str">
        <v>COPA ESCOBILLA PARA MADERA</v>
      </c>
      <c r="C24" s="59" t="str">
        <v>UNI</v>
      </c>
      <c r="D24" s="59">
        <v>6</v>
      </c>
      <c r="E24" s="59" t="str">
        <v>CARPINTERIA</v>
      </c>
      <c r="F24" s="64" t="str">
        <v>SAMMER MAYTAHUARI</v>
      </c>
      <c r="G24" s="123" t="str">
        <v/>
      </c>
    </row>
    <row r="25" spans="1:7" ht="42.6" customHeight="1" x14ac:dyDescent="0.3">
      <c r="A25" s="54">
        <v>16</v>
      </c>
      <c r="B25" s="75" t="str">
        <v>BROCA PALETA PARA MADERA 5/8"</v>
      </c>
      <c r="C25" s="59" t="str">
        <v>UNI</v>
      </c>
      <c r="D25" s="59">
        <v>10</v>
      </c>
      <c r="E25" s="59" t="str">
        <v>CARPINTERIA</v>
      </c>
      <c r="F25" s="64" t="str">
        <v>SAMMER MAYTAHUARI</v>
      </c>
      <c r="G25" s="123" t="str">
        <v/>
      </c>
    </row>
    <row r="26" spans="1:7" ht="42.6" customHeight="1" x14ac:dyDescent="0.3">
      <c r="A26" s="54">
        <v>17</v>
      </c>
      <c r="B26" s="75" t="str">
        <v>BROCA PALETA PARA MADERA 3/4"</v>
      </c>
      <c r="C26" s="59" t="str">
        <v>UNI</v>
      </c>
      <c r="D26" s="59">
        <v>10</v>
      </c>
      <c r="E26" s="59" t="str">
        <v>CARPINTERIA</v>
      </c>
      <c r="F26" s="64" t="str">
        <v>SAMMER MAYTAHUARI</v>
      </c>
      <c r="G26" s="123" t="str">
        <v/>
      </c>
    </row>
    <row r="27" spans="1:7" ht="42.6" customHeight="1" x14ac:dyDescent="0.3">
      <c r="A27" s="54">
        <v>18</v>
      </c>
      <c r="B27" s="75" t="str">
        <v>BROCA PARA CONCRETO DE 1/2" (30CM LARGO)</v>
      </c>
      <c r="C27" s="59" t="str">
        <v>UNI</v>
      </c>
      <c r="D27" s="59">
        <v>6</v>
      </c>
      <c r="E27" s="59" t="str">
        <v>CARPINTERIA</v>
      </c>
      <c r="F27" s="64" t="str">
        <v>SAMMER MAYTAHUARI</v>
      </c>
      <c r="G27" s="123" t="str">
        <v>SE ENVIA FOTO</v>
      </c>
    </row>
    <row r="28" spans="1:7" ht="42.6" customHeight="1" x14ac:dyDescent="0.3">
      <c r="A28" s="54">
        <v>19</v>
      </c>
      <c r="B28" s="75" t="str">
        <v>CHALECO</v>
      </c>
      <c r="C28" s="59" t="str">
        <v>UNI</v>
      </c>
      <c r="D28" s="59">
        <v>60</v>
      </c>
      <c r="E28" s="59" t="str">
        <v>ALMACEN</v>
      </c>
      <c r="F28" s="64" t="str">
        <v>ERNESTO ACUACHI</v>
      </c>
      <c r="G28" s="123" t="str">
        <v/>
      </c>
    </row>
    <row r="29" spans="1:7" ht="42.6" customHeight="1" x14ac:dyDescent="0.3">
      <c r="A29" s="54">
        <v>20</v>
      </c>
      <c r="B29" s="75" t="str">
        <v>PANTALON JEAN T/32</v>
      </c>
      <c r="C29" s="59" t="str">
        <v>UNI</v>
      </c>
      <c r="D29" s="59">
        <v>10</v>
      </c>
      <c r="E29" s="59" t="str">
        <v>ALMACEN</v>
      </c>
      <c r="F29" s="64" t="str">
        <v>ERNESTO ACUACHI</v>
      </c>
      <c r="G29" s="123" t="str">
        <v/>
      </c>
    </row>
    <row r="30" spans="1:7" ht="42.6" customHeight="1" x14ac:dyDescent="0.3">
      <c r="A30" s="54">
        <v>21</v>
      </c>
      <c r="B30" s="75" t="str">
        <v>PANTALON JEAN T/34</v>
      </c>
      <c r="C30" s="59" t="str">
        <v>UNI</v>
      </c>
      <c r="D30" s="59">
        <v>10</v>
      </c>
      <c r="E30" s="59" t="str">
        <v>ALMACEN</v>
      </c>
      <c r="F30" s="64" t="str">
        <v>ERNESTO ACUACHI</v>
      </c>
      <c r="G30" s="123" t="str">
        <v/>
      </c>
    </row>
    <row r="31" spans="1:7" ht="42.6" customHeight="1" x14ac:dyDescent="0.3">
      <c r="A31" s="54">
        <v>22</v>
      </c>
      <c r="B31" s="75" t="str">
        <v xml:space="preserve">CORTAVIENTO </v>
      </c>
      <c r="C31" s="59" t="str">
        <v>UNI</v>
      </c>
      <c r="D31" s="59">
        <v>30</v>
      </c>
      <c r="E31" s="59" t="str">
        <v>ALMACEN</v>
      </c>
      <c r="F31" s="64" t="str">
        <v>ERNESTO ACUACHI</v>
      </c>
      <c r="G31" s="123" t="str">
        <v/>
      </c>
    </row>
    <row r="32" spans="1:7" ht="42.6" customHeight="1" x14ac:dyDescent="0.3">
      <c r="A32" s="54">
        <v>23</v>
      </c>
      <c r="B32" s="75" t="str">
        <v>TOMACORRIENTES DE 4 ENTRADAS</v>
      </c>
      <c r="C32" s="59" t="str">
        <v>UNI</v>
      </c>
      <c r="D32" s="59">
        <v>6</v>
      </c>
      <c r="E32" s="59" t="str">
        <v>ALMACEN</v>
      </c>
      <c r="F32" s="64" t="str">
        <v>ERNESTO ACUACHI</v>
      </c>
      <c r="G32" s="123" t="str">
        <v/>
      </c>
    </row>
    <row r="33" spans="1:7" ht="42.6" customHeight="1" x14ac:dyDescent="0.3">
      <c r="A33" s="54">
        <v>24</v>
      </c>
      <c r="B33" s="75" t="str">
        <v>TIZA PARA METAL</v>
      </c>
      <c r="C33" s="59" t="str">
        <v>UNI</v>
      </c>
      <c r="D33" s="59">
        <v>12</v>
      </c>
      <c r="E33" s="59" t="str">
        <v>ALMACEN</v>
      </c>
      <c r="F33" s="64" t="str">
        <v>ERNESTO ACUACHI</v>
      </c>
      <c r="G33" s="123" t="str">
        <v/>
      </c>
    </row>
    <row r="34" spans="1:7" ht="42.6" customHeight="1" x14ac:dyDescent="0.3">
      <c r="A34" s="54">
        <v>25</v>
      </c>
      <c r="B34" s="75" t="str">
        <v>PANTALON JEAN T/30</v>
      </c>
      <c r="C34" s="59" t="str">
        <v>UNI</v>
      </c>
      <c r="D34" s="59">
        <v>4</v>
      </c>
      <c r="E34" s="59" t="str">
        <v>ALMACEN</v>
      </c>
      <c r="F34" s="64" t="str">
        <v>ERNESTO ACUACHI</v>
      </c>
      <c r="G34" s="123" t="str">
        <v/>
      </c>
    </row>
    <row r="35" spans="1:7" ht="42.6" customHeight="1" x14ac:dyDescent="0.3">
      <c r="A35" s="54">
        <v>26</v>
      </c>
      <c r="B35" s="75" t="str">
        <v xml:space="preserve">ARENA </v>
      </c>
      <c r="C35" s="59" t="str">
        <v>VOL</v>
      </c>
      <c r="D35" s="59">
        <v>6</v>
      </c>
      <c r="E35" s="59" t="str">
        <v>ALBAÑILERIA</v>
      </c>
      <c r="F35" s="64" t="str">
        <v>ARTURO ARGUATA</v>
      </c>
      <c r="G35" s="123" t="str">
        <v/>
      </c>
    </row>
    <row r="36" spans="1:7" ht="42.6" customHeight="1" x14ac:dyDescent="0.3">
      <c r="A36" s="54">
        <v>27</v>
      </c>
      <c r="B36" s="75" t="str">
        <v>PIEDRA</v>
      </c>
      <c r="C36" s="59" t="str">
        <v>VOL</v>
      </c>
      <c r="D36" s="59">
        <v>8</v>
      </c>
      <c r="E36" s="59" t="str">
        <v>ALBAÑILERIA</v>
      </c>
      <c r="F36" s="64" t="str">
        <v>ARTURO ARGUATA</v>
      </c>
      <c r="G36" s="123" t="str">
        <v/>
      </c>
    </row>
    <row r="37" spans="1:7" ht="42.6" customHeight="1" x14ac:dyDescent="0.3">
      <c r="A37" s="54">
        <v>28</v>
      </c>
      <c r="B37" s="75" t="str">
        <v>PLUMON PARA PIZARRA, ROJO, NEGRO, AZUL</v>
      </c>
      <c r="C37" s="59" t="str">
        <v>UNI</v>
      </c>
      <c r="D37" s="59">
        <v>6</v>
      </c>
      <c r="E37" s="59" t="str">
        <v>RESIDENCIA</v>
      </c>
      <c r="F37" s="64" t="str">
        <v>ARLETTE SILVA</v>
      </c>
      <c r="G37" s="123" t="str">
        <v/>
      </c>
    </row>
    <row r="38" spans="1:7" ht="42.6" customHeight="1" x14ac:dyDescent="0.3">
      <c r="A38" s="54">
        <v>29</v>
      </c>
      <c r="B38" s="75" t="str">
        <v>ESCOBAS NORMALES</v>
      </c>
      <c r="C38" s="59" t="str">
        <v>UNI</v>
      </c>
      <c r="D38" s="59">
        <v>2</v>
      </c>
      <c r="E38" s="59" t="str">
        <v>ALMACEN</v>
      </c>
      <c r="F38" s="64" t="str">
        <v>ANGEL NAVARRO</v>
      </c>
      <c r="G38" s="123" t="str">
        <v/>
      </c>
    </row>
    <row r="39" spans="1:7" ht="42.6" customHeight="1" x14ac:dyDescent="0.3">
      <c r="A39" s="54">
        <v>30</v>
      </c>
      <c r="B39" s="75"/>
      <c r="C39" s="59"/>
      <c r="D39" s="59"/>
      <c r="E39" s="59"/>
      <c r="F39" s="64"/>
      <c r="G39" s="123"/>
    </row>
    <row r="40" spans="1:7" ht="42.6" customHeight="1" x14ac:dyDescent="0.3">
      <c r="A40" s="54">
        <v>31</v>
      </c>
      <c r="B40" s="75"/>
      <c r="C40" s="59"/>
      <c r="D40" s="59"/>
      <c r="E40" s="59"/>
      <c r="F40" s="64"/>
      <c r="G40" s="123"/>
    </row>
    <row r="41" spans="1:7" ht="42.6" customHeight="1" x14ac:dyDescent="0.3">
      <c r="A41" s="54">
        <v>32</v>
      </c>
      <c r="B41" s="75"/>
      <c r="C41" s="59"/>
      <c r="D41" s="59"/>
      <c r="E41" s="59"/>
      <c r="F41" s="64"/>
      <c r="G41" s="123"/>
    </row>
    <row r="42" spans="1:7" ht="42.6" customHeight="1" x14ac:dyDescent="0.3">
      <c r="A42" s="54">
        <v>33</v>
      </c>
      <c r="B42" s="75"/>
      <c r="C42" s="59"/>
      <c r="D42" s="59"/>
      <c r="E42" s="59"/>
      <c r="F42" s="64"/>
      <c r="G42" s="123"/>
    </row>
    <row r="43" spans="1:7" ht="42.6" customHeight="1" x14ac:dyDescent="0.3">
      <c r="A43" s="54">
        <v>34</v>
      </c>
      <c r="B43" s="75"/>
      <c r="C43" s="59"/>
      <c r="D43" s="59"/>
      <c r="E43" s="59"/>
      <c r="F43" s="64"/>
      <c r="G43" s="123"/>
    </row>
    <row r="44" spans="1:7" ht="42.6" customHeight="1" x14ac:dyDescent="0.3">
      <c r="A44" s="54">
        <v>35</v>
      </c>
      <c r="B44" s="75"/>
      <c r="C44" s="59"/>
      <c r="D44" s="59"/>
      <c r="E44" s="59"/>
      <c r="F44" s="64"/>
      <c r="G44" s="123"/>
    </row>
    <row r="45" spans="1:7" ht="42.6" customHeight="1" x14ac:dyDescent="0.3">
      <c r="A45" s="54">
        <v>36</v>
      </c>
      <c r="B45" s="75"/>
      <c r="C45" s="59"/>
      <c r="D45" s="59"/>
      <c r="E45" s="59"/>
      <c r="F45" s="64"/>
      <c r="G45" s="123"/>
    </row>
    <row r="46" spans="1:7" ht="42.6" customHeight="1" x14ac:dyDescent="0.3">
      <c r="A46" s="54">
        <v>37</v>
      </c>
      <c r="B46" s="75"/>
      <c r="C46" s="59"/>
      <c r="D46" s="59"/>
      <c r="E46" s="59"/>
      <c r="F46" s="64"/>
      <c r="G46" s="123"/>
    </row>
    <row r="47" spans="1:7" ht="42.6" customHeight="1" x14ac:dyDescent="0.3">
      <c r="A47" s="54">
        <v>38</v>
      </c>
      <c r="B47" s="75"/>
      <c r="C47" s="59"/>
      <c r="D47" s="59"/>
      <c r="E47" s="59"/>
      <c r="F47" s="64"/>
      <c r="G47" s="123"/>
    </row>
    <row r="48" spans="1:7" ht="42.6" customHeight="1" x14ac:dyDescent="0.3">
      <c r="A48" s="54">
        <v>39</v>
      </c>
      <c r="B48" s="75"/>
      <c r="C48" s="59"/>
      <c r="D48" s="59"/>
      <c r="E48" s="59"/>
      <c r="F48" s="64"/>
      <c r="G48" s="123"/>
    </row>
    <row r="49" spans="1:7" ht="42.6" customHeight="1" x14ac:dyDescent="0.3">
      <c r="A49" s="54">
        <v>40</v>
      </c>
      <c r="B49" s="75"/>
      <c r="C49" s="59"/>
      <c r="D49" s="59"/>
      <c r="E49" s="59"/>
      <c r="F49" s="64"/>
      <c r="G49" s="123"/>
    </row>
    <row r="50" spans="1:7" ht="42.6" customHeight="1" x14ac:dyDescent="0.3">
      <c r="A50" s="54">
        <v>41</v>
      </c>
      <c r="B50" s="75"/>
      <c r="C50" s="59"/>
      <c r="D50" s="59"/>
      <c r="E50" s="59"/>
      <c r="F50" s="64"/>
      <c r="G50" s="123"/>
    </row>
    <row r="51" spans="1:7" ht="42.6" customHeight="1" x14ac:dyDescent="0.3">
      <c r="A51" s="54">
        <v>42</v>
      </c>
      <c r="B51" s="75"/>
      <c r="C51" s="59"/>
      <c r="D51" s="59"/>
      <c r="E51" s="59"/>
      <c r="F51" s="64"/>
      <c r="G51" s="123"/>
    </row>
    <row r="52" spans="1:7" ht="42.6" customHeight="1" x14ac:dyDescent="0.3">
      <c r="A52" s="54">
        <v>43</v>
      </c>
      <c r="B52" s="75"/>
      <c r="C52" s="59"/>
      <c r="D52" s="59"/>
      <c r="E52" s="59"/>
      <c r="F52" s="64"/>
      <c r="G52" s="123"/>
    </row>
    <row r="53" spans="1:7" ht="42.6" customHeight="1" x14ac:dyDescent="0.3">
      <c r="A53" s="54">
        <v>44</v>
      </c>
      <c r="B53" s="75"/>
      <c r="C53" s="59"/>
      <c r="D53" s="59"/>
      <c r="E53" s="59"/>
      <c r="F53" s="64"/>
      <c r="G53" s="123"/>
    </row>
    <row r="54" spans="1:7" ht="42.6" customHeight="1" x14ac:dyDescent="0.3">
      <c r="A54" s="54">
        <v>45</v>
      </c>
      <c r="B54" s="75"/>
      <c r="C54" s="59"/>
      <c r="D54" s="59"/>
      <c r="E54" s="59"/>
      <c r="F54" s="64"/>
      <c r="G54" s="123"/>
    </row>
    <row r="55" spans="1:7" ht="42.6" customHeight="1" x14ac:dyDescent="0.3">
      <c r="A55" s="54">
        <v>46</v>
      </c>
      <c r="B55" s="75"/>
      <c r="C55" s="59"/>
      <c r="D55" s="59"/>
      <c r="E55" s="59"/>
      <c r="F55" s="64"/>
      <c r="G55" s="123"/>
    </row>
    <row r="56" spans="1:7" ht="42.6" customHeight="1" x14ac:dyDescent="0.3">
      <c r="A56" s="54">
        <v>47</v>
      </c>
      <c r="B56" s="75"/>
      <c r="C56" s="59"/>
      <c r="D56" s="59"/>
      <c r="E56" s="59"/>
      <c r="F56" s="64"/>
      <c r="G56" s="123"/>
    </row>
    <row r="57" spans="1:7" ht="42.6" customHeight="1" x14ac:dyDescent="0.3">
      <c r="A57" s="54">
        <v>48</v>
      </c>
      <c r="B57" s="75"/>
      <c r="C57" s="59"/>
      <c r="D57" s="59"/>
      <c r="E57" s="59"/>
      <c r="F57" s="64"/>
      <c r="G57" s="123"/>
    </row>
    <row r="58" spans="1:7" ht="42.6" customHeight="1" x14ac:dyDescent="0.3">
      <c r="A58" s="54">
        <v>49</v>
      </c>
      <c r="B58" s="75"/>
      <c r="C58" s="59"/>
      <c r="D58" s="59"/>
      <c r="E58" s="59"/>
      <c r="F58" s="64"/>
      <c r="G58" s="123"/>
    </row>
    <row r="59" spans="1:7" ht="42.6" customHeight="1" x14ac:dyDescent="0.3">
      <c r="A59" s="54">
        <v>50</v>
      </c>
      <c r="B59" s="75"/>
      <c r="C59" s="59"/>
      <c r="D59" s="59"/>
      <c r="E59" s="59"/>
      <c r="F59" s="64"/>
      <c r="G59" s="123"/>
    </row>
    <row r="60" spans="1:7" ht="42.6" customHeight="1" x14ac:dyDescent="0.3">
      <c r="A60" s="54">
        <v>51</v>
      </c>
      <c r="B60" s="75"/>
      <c r="C60" s="59"/>
      <c r="D60" s="59"/>
      <c r="E60" s="59"/>
      <c r="F60" s="64"/>
      <c r="G60" s="123"/>
    </row>
    <row r="61" spans="1:7" ht="42.6" customHeight="1" x14ac:dyDescent="0.3">
      <c r="A61" s="54">
        <v>52</v>
      </c>
      <c r="B61" s="75"/>
      <c r="C61" s="59"/>
      <c r="D61" s="59"/>
      <c r="E61" s="59"/>
      <c r="F61" s="64"/>
      <c r="G61" s="123"/>
    </row>
    <row r="62" spans="1:7" ht="42.6" customHeight="1" x14ac:dyDescent="0.3">
      <c r="A62" s="54">
        <v>53</v>
      </c>
      <c r="B62" s="75"/>
      <c r="C62" s="59"/>
      <c r="D62" s="59"/>
      <c r="E62" s="59"/>
      <c r="F62" s="64"/>
      <c r="G62" s="123"/>
    </row>
    <row r="63" spans="1:7" ht="42.6" customHeight="1" x14ac:dyDescent="0.3">
      <c r="A63" s="54">
        <v>54</v>
      </c>
      <c r="B63" s="75"/>
      <c r="C63" s="59"/>
      <c r="D63" s="59"/>
      <c r="E63" s="59"/>
      <c r="F63" s="64"/>
      <c r="G63" s="123"/>
    </row>
    <row r="64" spans="1:7" ht="42.6" customHeight="1" x14ac:dyDescent="0.3">
      <c r="A64" s="54">
        <v>55</v>
      </c>
      <c r="B64" s="75"/>
      <c r="C64" s="59"/>
      <c r="D64" s="59"/>
      <c r="E64" s="59"/>
      <c r="F64" s="64"/>
      <c r="G64" s="123"/>
    </row>
    <row r="65" spans="1:7" ht="42.6" customHeight="1" x14ac:dyDescent="0.3">
      <c r="A65" s="54">
        <v>56</v>
      </c>
      <c r="B65" s="75"/>
      <c r="C65" s="59"/>
      <c r="D65" s="59"/>
      <c r="E65" s="59"/>
      <c r="F65" s="64"/>
      <c r="G65" s="123"/>
    </row>
    <row r="66" spans="1:7" ht="42.6" customHeight="1" x14ac:dyDescent="0.3">
      <c r="A66" s="54">
        <v>57</v>
      </c>
      <c r="B66" s="75"/>
      <c r="C66" s="59"/>
      <c r="D66" s="59"/>
      <c r="E66" s="59"/>
      <c r="F66" s="64"/>
      <c r="G66" s="123"/>
    </row>
    <row r="67" spans="1:7" ht="42.6" customHeight="1" x14ac:dyDescent="0.3">
      <c r="A67" s="54">
        <v>58</v>
      </c>
      <c r="B67" s="75"/>
      <c r="C67" s="59"/>
      <c r="D67" s="59"/>
      <c r="E67" s="59"/>
      <c r="F67" s="64"/>
      <c r="G67" s="123"/>
    </row>
    <row r="68" spans="1:7" ht="42.6" customHeight="1" x14ac:dyDescent="0.3">
      <c r="A68" s="54">
        <v>59</v>
      </c>
      <c r="B68" s="75"/>
      <c r="C68" s="59"/>
      <c r="D68" s="59"/>
      <c r="E68" s="59"/>
      <c r="F68" s="64"/>
      <c r="G68" s="123"/>
    </row>
    <row r="69" spans="1:7" ht="42.6" customHeight="1" x14ac:dyDescent="0.3">
      <c r="A69" s="54">
        <v>60</v>
      </c>
      <c r="B69" s="75"/>
      <c r="C69" s="59"/>
      <c r="D69" s="59"/>
      <c r="E69" s="59"/>
      <c r="F69" s="64"/>
      <c r="G69" s="123"/>
    </row>
    <row r="70" spans="1:7" ht="42.6" customHeight="1" x14ac:dyDescent="0.3">
      <c r="A70" s="54">
        <v>61</v>
      </c>
      <c r="B70" s="75"/>
      <c r="C70" s="59"/>
      <c r="D70" s="59"/>
      <c r="E70" s="59"/>
      <c r="F70" s="64"/>
      <c r="G70" s="123"/>
    </row>
    <row r="71" spans="1:7" ht="42.6" customHeight="1" x14ac:dyDescent="0.3">
      <c r="A71" s="54">
        <v>62</v>
      </c>
      <c r="B71" s="75"/>
      <c r="C71" s="59"/>
      <c r="D71" s="59"/>
      <c r="E71" s="59"/>
      <c r="F71" s="64"/>
      <c r="G71" s="123"/>
    </row>
    <row r="72" spans="1:7" ht="42.6" customHeight="1" x14ac:dyDescent="0.3">
      <c r="A72" s="54">
        <v>63</v>
      </c>
      <c r="B72" s="75"/>
      <c r="C72" s="59"/>
      <c r="D72" s="59"/>
      <c r="E72" s="59"/>
      <c r="F72" s="64"/>
      <c r="G72" s="123"/>
    </row>
    <row r="73" spans="1:7" ht="42.6" customHeight="1" x14ac:dyDescent="0.3">
      <c r="A73" s="54">
        <v>64</v>
      </c>
      <c r="B73" s="75"/>
      <c r="C73" s="59"/>
      <c r="D73" s="59"/>
      <c r="E73" s="59"/>
      <c r="F73" s="64"/>
      <c r="G73" s="123"/>
    </row>
    <row r="74" spans="1:7" ht="42.6" customHeight="1" x14ac:dyDescent="0.3">
      <c r="A74" s="54">
        <v>65</v>
      </c>
      <c r="B74" s="75"/>
      <c r="C74" s="59"/>
      <c r="D74" s="59"/>
      <c r="E74" s="59"/>
      <c r="F74" s="64"/>
      <c r="G74" s="123"/>
    </row>
    <row r="75" spans="1:7" ht="42.6" customHeight="1" x14ac:dyDescent="0.3">
      <c r="A75" s="54">
        <v>66</v>
      </c>
      <c r="B75" s="75"/>
      <c r="C75" s="59"/>
      <c r="D75" s="59"/>
      <c r="E75" s="59"/>
      <c r="F75" s="64"/>
      <c r="G75" s="123"/>
    </row>
    <row r="76" spans="1:7" ht="42.6" customHeight="1" x14ac:dyDescent="0.3">
      <c r="A76" s="54">
        <v>67</v>
      </c>
      <c r="B76" s="75"/>
      <c r="C76" s="59"/>
      <c r="D76" s="59"/>
      <c r="E76" s="59"/>
      <c r="F76" s="64"/>
      <c r="G76" s="123"/>
    </row>
    <row r="77" spans="1:7" ht="42.6" customHeight="1" x14ac:dyDescent="0.3">
      <c r="A77" s="54">
        <v>68</v>
      </c>
      <c r="B77" s="75"/>
      <c r="C77" s="59"/>
      <c r="D77" s="59"/>
      <c r="E77" s="59"/>
      <c r="F77" s="64"/>
      <c r="G77" s="123"/>
    </row>
    <row r="78" spans="1:7" ht="42.6" customHeight="1" x14ac:dyDescent="0.3">
      <c r="A78" s="54">
        <v>69</v>
      </c>
      <c r="B78" s="75"/>
      <c r="C78" s="59"/>
      <c r="D78" s="59"/>
      <c r="E78" s="59"/>
      <c r="F78" s="64"/>
      <c r="G78" s="123"/>
    </row>
    <row r="79" spans="1:7" ht="42.6" customHeight="1" thickBot="1" x14ac:dyDescent="0.35">
      <c r="A79" s="55">
        <v>70</v>
      </c>
      <c r="B79" s="76"/>
      <c r="C79" s="60"/>
      <c r="D79" s="60"/>
      <c r="E79" s="60"/>
      <c r="F79" s="65"/>
      <c r="G79" s="124"/>
    </row>
  </sheetData>
  <pageMargins left="0.15748031496062992" right="0.13" top="0.31496062992125984" bottom="0.19685039370078741" header="0.31496062992125984" footer="0.19685039370078741"/>
  <pageSetup paperSize="9" scale="80" fitToHeight="0"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A4BCC4A-3285-4BBC-8FFD-9E9F2917DDAF}">
          <x14:formula1>
            <xm:f>'REQUERIMIENTO TABLA'!$B$8:$B$1000</xm:f>
          </x14:formula1>
          <xm:sqref>F4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B0587-7CF2-4A1B-BB09-55C6E4D02BAF}">
  <sheetPr>
    <pageSetUpPr fitToPage="1"/>
  </sheetPr>
  <dimension ref="A1:M56"/>
  <sheetViews>
    <sheetView showGridLines="0" topLeftCell="A31" workbookViewId="0">
      <selection activeCell="L56" sqref="L56"/>
    </sheetView>
  </sheetViews>
  <sheetFormatPr baseColWidth="10" defaultColWidth="11.6640625" defaultRowHeight="14.4" x14ac:dyDescent="0.3"/>
  <cols>
    <col min="1" max="1" width="5" customWidth="1"/>
    <col min="2" max="2" width="12.6640625" customWidth="1"/>
    <col min="3" max="3" width="36.33203125" customWidth="1"/>
    <col min="4" max="4" width="13.6640625" customWidth="1"/>
    <col min="5" max="5" width="10" customWidth="1"/>
    <col min="6" max="6" width="34.33203125" customWidth="1"/>
    <col min="7" max="7" width="18.109375" customWidth="1"/>
    <col min="8" max="8" width="13" customWidth="1"/>
    <col min="9" max="9" width="22" customWidth="1"/>
    <col min="10" max="10" width="20.6640625" bestFit="1" customWidth="1"/>
    <col min="11" max="11" width="18.77734375" customWidth="1"/>
  </cols>
  <sheetData>
    <row r="1" spans="1:13" ht="30" customHeight="1" x14ac:dyDescent="0.3">
      <c r="A1" s="56"/>
      <c r="B1" s="86" t="s">
        <v>235</v>
      </c>
      <c r="C1" s="56"/>
      <c r="D1" s="56"/>
      <c r="E1" s="56"/>
      <c r="F1" s="56"/>
      <c r="G1" s="56"/>
      <c r="H1" s="56"/>
      <c r="I1" s="56"/>
      <c r="J1" s="56"/>
      <c r="K1" s="56"/>
      <c r="L1" s="89"/>
    </row>
    <row r="2" spans="1:13" ht="19.95" customHeight="1" x14ac:dyDescent="0.3">
      <c r="A2" s="87"/>
      <c r="B2" s="87" t="s">
        <v>236</v>
      </c>
      <c r="C2" s="87"/>
      <c r="D2" s="87"/>
      <c r="E2" s="87"/>
      <c r="F2" s="87"/>
      <c r="G2" s="87"/>
      <c r="H2" s="87"/>
      <c r="I2" s="87"/>
      <c r="J2" s="87"/>
      <c r="K2" s="87"/>
      <c r="L2" s="114"/>
    </row>
    <row r="3" spans="1:13" ht="8.4" customHeight="1" thickBot="1" x14ac:dyDescent="0.35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</row>
    <row r="4" spans="1:13" s="68" customFormat="1" ht="19.95" customHeight="1" thickBot="1" x14ac:dyDescent="0.35">
      <c r="G4" s="112" t="s">
        <v>294</v>
      </c>
      <c r="H4" s="113">
        <v>500</v>
      </c>
      <c r="I4" s="82" t="s">
        <v>295</v>
      </c>
      <c r="J4" s="83">
        <f>SUM(Tabla3[INGRESO CAJA])+H4</f>
        <v>1530</v>
      </c>
      <c r="K4" s="125">
        <f>J4-H7</f>
        <v>-69.289999999999964</v>
      </c>
    </row>
    <row r="5" spans="1:13" ht="15.6" customHeight="1" x14ac:dyDescent="0.3"/>
    <row r="6" spans="1:13" ht="15" thickBot="1" x14ac:dyDescent="0.35"/>
    <row r="7" spans="1:13" ht="19.95" customHeight="1" thickBot="1" x14ac:dyDescent="0.35">
      <c r="G7" s="80" t="s">
        <v>237</v>
      </c>
      <c r="H7" s="84">
        <f>SUM(Tabla3[MONTO])</f>
        <v>1599.29</v>
      </c>
      <c r="I7" s="81" t="s">
        <v>238</v>
      </c>
      <c r="J7" s="85">
        <f>SUBTOTAL(109,Tabla3[MONTO])</f>
        <v>1599.29</v>
      </c>
    </row>
    <row r="9" spans="1:13" s="52" customFormat="1" ht="30" customHeight="1" thickBot="1" x14ac:dyDescent="0.35">
      <c r="A9" s="52" t="s">
        <v>239</v>
      </c>
      <c r="B9" s="52" t="s">
        <v>240</v>
      </c>
      <c r="C9" s="52" t="s">
        <v>241</v>
      </c>
      <c r="D9" s="52" t="s">
        <v>242</v>
      </c>
      <c r="E9" s="52" t="s">
        <v>243</v>
      </c>
      <c r="F9" s="52" t="s">
        <v>244</v>
      </c>
      <c r="G9" s="52" t="s">
        <v>245</v>
      </c>
      <c r="H9" s="52" t="s">
        <v>246</v>
      </c>
      <c r="I9" s="52" t="s">
        <v>247</v>
      </c>
      <c r="J9" s="52" t="s">
        <v>248</v>
      </c>
      <c r="K9" s="52" t="s">
        <v>249</v>
      </c>
      <c r="L9" s="52" t="s">
        <v>293</v>
      </c>
    </row>
    <row r="10" spans="1:13" ht="18" customHeight="1" x14ac:dyDescent="0.3">
      <c r="A10" s="90">
        <f t="shared" ref="A10:A48" si="0">A9+1</f>
        <v>1</v>
      </c>
      <c r="B10" s="91">
        <v>45915</v>
      </c>
      <c r="C10" s="92" t="s">
        <v>255</v>
      </c>
      <c r="D10" s="93">
        <v>1</v>
      </c>
      <c r="E10" s="93" t="s">
        <v>256</v>
      </c>
      <c r="F10" s="93" t="s">
        <v>304</v>
      </c>
      <c r="G10" s="93" t="s">
        <v>253</v>
      </c>
      <c r="H10" s="94">
        <v>10</v>
      </c>
      <c r="I10" s="93" t="s">
        <v>257</v>
      </c>
      <c r="J10" s="95"/>
      <c r="K10" s="93" t="s">
        <v>223</v>
      </c>
      <c r="L10" s="108"/>
      <c r="M10" s="111"/>
    </row>
    <row r="11" spans="1:13" ht="18" customHeight="1" x14ac:dyDescent="0.3">
      <c r="A11" s="96">
        <f t="shared" si="0"/>
        <v>2</v>
      </c>
      <c r="B11" s="97">
        <v>45916</v>
      </c>
      <c r="C11" s="98" t="s">
        <v>260</v>
      </c>
      <c r="D11" s="99">
        <v>2</v>
      </c>
      <c r="E11" s="99" t="s">
        <v>96</v>
      </c>
      <c r="F11" s="99" t="s">
        <v>304</v>
      </c>
      <c r="G11" s="99" t="s">
        <v>253</v>
      </c>
      <c r="H11" s="100">
        <v>16</v>
      </c>
      <c r="I11" s="99" t="s">
        <v>257</v>
      </c>
      <c r="J11" s="101"/>
      <c r="K11" s="99" t="s">
        <v>223</v>
      </c>
      <c r="L11" s="109"/>
    </row>
    <row r="12" spans="1:13" ht="18" customHeight="1" x14ac:dyDescent="0.3">
      <c r="A12" s="96">
        <f t="shared" si="0"/>
        <v>3</v>
      </c>
      <c r="B12" s="97">
        <v>45916</v>
      </c>
      <c r="C12" s="98" t="s">
        <v>261</v>
      </c>
      <c r="D12" s="99">
        <v>1</v>
      </c>
      <c r="E12" s="99" t="s">
        <v>96</v>
      </c>
      <c r="F12" s="99" t="s">
        <v>304</v>
      </c>
      <c r="G12" s="99" t="s">
        <v>253</v>
      </c>
      <c r="H12" s="100">
        <v>4</v>
      </c>
      <c r="I12" s="99" t="s">
        <v>257</v>
      </c>
      <c r="J12" s="101"/>
      <c r="K12" s="99" t="s">
        <v>223</v>
      </c>
      <c r="L12" s="109"/>
    </row>
    <row r="13" spans="1:13" ht="18" customHeight="1" x14ac:dyDescent="0.3">
      <c r="A13" s="96">
        <f t="shared" si="0"/>
        <v>4</v>
      </c>
      <c r="B13" s="97">
        <v>45916</v>
      </c>
      <c r="C13" s="98" t="s">
        <v>258</v>
      </c>
      <c r="D13" s="99">
        <v>3</v>
      </c>
      <c r="E13" s="99" t="s">
        <v>96</v>
      </c>
      <c r="F13" s="99" t="s">
        <v>304</v>
      </c>
      <c r="G13" s="99" t="s">
        <v>253</v>
      </c>
      <c r="H13" s="100">
        <v>51</v>
      </c>
      <c r="I13" s="99" t="s">
        <v>257</v>
      </c>
      <c r="J13" s="101"/>
      <c r="K13" s="99" t="s">
        <v>223</v>
      </c>
      <c r="L13" s="109"/>
    </row>
    <row r="14" spans="1:13" ht="18" customHeight="1" x14ac:dyDescent="0.3">
      <c r="A14" s="96">
        <f t="shared" si="0"/>
        <v>5</v>
      </c>
      <c r="B14" s="97">
        <v>45916</v>
      </c>
      <c r="C14" s="98" t="s">
        <v>259</v>
      </c>
      <c r="D14" s="99">
        <v>2</v>
      </c>
      <c r="E14" s="99" t="s">
        <v>96</v>
      </c>
      <c r="F14" s="99" t="s">
        <v>304</v>
      </c>
      <c r="G14" s="99" t="s">
        <v>253</v>
      </c>
      <c r="H14" s="100">
        <v>60</v>
      </c>
      <c r="I14" s="99" t="s">
        <v>257</v>
      </c>
      <c r="J14" s="101"/>
      <c r="K14" s="99" t="s">
        <v>223</v>
      </c>
      <c r="L14" s="109"/>
    </row>
    <row r="15" spans="1:13" ht="18" customHeight="1" x14ac:dyDescent="0.3">
      <c r="A15" s="96">
        <f t="shared" si="0"/>
        <v>6</v>
      </c>
      <c r="B15" s="97">
        <v>45917</v>
      </c>
      <c r="C15" s="98" t="s">
        <v>250</v>
      </c>
      <c r="D15" s="99">
        <v>5</v>
      </c>
      <c r="E15" s="99" t="s">
        <v>251</v>
      </c>
      <c r="F15" s="99" t="s">
        <v>252</v>
      </c>
      <c r="G15" s="99" t="s">
        <v>253</v>
      </c>
      <c r="H15" s="100">
        <v>88</v>
      </c>
      <c r="I15" s="99" t="s">
        <v>254</v>
      </c>
      <c r="J15" s="101"/>
      <c r="K15" s="99" t="s">
        <v>223</v>
      </c>
      <c r="L15" s="109"/>
    </row>
    <row r="16" spans="1:13" ht="18" customHeight="1" x14ac:dyDescent="0.3">
      <c r="A16" s="96">
        <f t="shared" si="0"/>
        <v>7</v>
      </c>
      <c r="B16" s="97">
        <v>45918</v>
      </c>
      <c r="C16" s="98" t="s">
        <v>208</v>
      </c>
      <c r="D16" s="99">
        <v>1</v>
      </c>
      <c r="E16" s="99" t="s">
        <v>96</v>
      </c>
      <c r="F16" s="99" t="s">
        <v>304</v>
      </c>
      <c r="G16" s="99" t="s">
        <v>253</v>
      </c>
      <c r="H16" s="100">
        <v>12</v>
      </c>
      <c r="I16" s="99" t="s">
        <v>257</v>
      </c>
      <c r="J16" s="101"/>
      <c r="K16" s="99" t="s">
        <v>223</v>
      </c>
      <c r="L16" s="109"/>
    </row>
    <row r="17" spans="1:12" ht="18" customHeight="1" x14ac:dyDescent="0.3">
      <c r="A17" s="96">
        <f t="shared" si="0"/>
        <v>8</v>
      </c>
      <c r="B17" s="97">
        <v>45918</v>
      </c>
      <c r="C17" s="98" t="s">
        <v>263</v>
      </c>
      <c r="D17" s="99">
        <v>1</v>
      </c>
      <c r="E17" s="99" t="s">
        <v>96</v>
      </c>
      <c r="F17" s="99" t="s">
        <v>304</v>
      </c>
      <c r="G17" s="99" t="s">
        <v>253</v>
      </c>
      <c r="H17" s="100">
        <v>15</v>
      </c>
      <c r="I17" s="99" t="s">
        <v>257</v>
      </c>
      <c r="J17" s="101"/>
      <c r="K17" s="99" t="s">
        <v>223</v>
      </c>
      <c r="L17" s="109"/>
    </row>
    <row r="18" spans="1:12" ht="18" customHeight="1" x14ac:dyDescent="0.3">
      <c r="A18" s="96">
        <f t="shared" si="0"/>
        <v>9</v>
      </c>
      <c r="B18" s="97">
        <v>45918</v>
      </c>
      <c r="C18" s="98" t="s">
        <v>262</v>
      </c>
      <c r="D18" s="99">
        <v>4</v>
      </c>
      <c r="E18" s="99" t="s">
        <v>96</v>
      </c>
      <c r="F18" s="99" t="s">
        <v>304</v>
      </c>
      <c r="G18" s="99" t="s">
        <v>253</v>
      </c>
      <c r="H18" s="100">
        <v>4</v>
      </c>
      <c r="I18" s="99" t="s">
        <v>257</v>
      </c>
      <c r="J18" s="101"/>
      <c r="K18" s="99" t="s">
        <v>223</v>
      </c>
      <c r="L18" s="109"/>
    </row>
    <row r="19" spans="1:12" ht="18" customHeight="1" x14ac:dyDescent="0.3">
      <c r="A19" s="96">
        <f t="shared" si="0"/>
        <v>10</v>
      </c>
      <c r="B19" s="97">
        <v>45919</v>
      </c>
      <c r="C19" s="98" t="s">
        <v>264</v>
      </c>
      <c r="D19" s="99">
        <v>1</v>
      </c>
      <c r="E19" s="99" t="s">
        <v>96</v>
      </c>
      <c r="F19" s="99" t="s">
        <v>304</v>
      </c>
      <c r="G19" s="99" t="s">
        <v>253</v>
      </c>
      <c r="H19" s="100">
        <v>12</v>
      </c>
      <c r="I19" s="99" t="s">
        <v>257</v>
      </c>
      <c r="J19" s="101"/>
      <c r="K19" s="99" t="s">
        <v>223</v>
      </c>
      <c r="L19" s="109"/>
    </row>
    <row r="20" spans="1:12" ht="18" customHeight="1" x14ac:dyDescent="0.3">
      <c r="A20" s="96">
        <f t="shared" si="0"/>
        <v>11</v>
      </c>
      <c r="B20" s="97">
        <v>45922</v>
      </c>
      <c r="C20" s="98" t="s">
        <v>309</v>
      </c>
      <c r="D20" s="99">
        <v>2</v>
      </c>
      <c r="E20" s="99" t="s">
        <v>96</v>
      </c>
      <c r="F20" s="99" t="s">
        <v>304</v>
      </c>
      <c r="G20" s="99" t="s">
        <v>253</v>
      </c>
      <c r="H20" s="100">
        <v>4</v>
      </c>
      <c r="I20" s="99" t="s">
        <v>257</v>
      </c>
      <c r="J20" s="101"/>
      <c r="K20" s="99" t="s">
        <v>223</v>
      </c>
      <c r="L20" s="109"/>
    </row>
    <row r="21" spans="1:12" ht="18" customHeight="1" x14ac:dyDescent="0.3">
      <c r="A21" s="96">
        <f t="shared" si="0"/>
        <v>12</v>
      </c>
      <c r="B21" s="97">
        <v>45922</v>
      </c>
      <c r="C21" s="98" t="s">
        <v>301</v>
      </c>
      <c r="D21" s="99">
        <v>15</v>
      </c>
      <c r="E21" s="99" t="s">
        <v>302</v>
      </c>
      <c r="F21" s="99" t="s">
        <v>296</v>
      </c>
      <c r="G21" s="99" t="s">
        <v>253</v>
      </c>
      <c r="H21" s="100">
        <v>19.5</v>
      </c>
      <c r="I21" s="99" t="s">
        <v>297</v>
      </c>
      <c r="J21" s="101"/>
      <c r="K21" s="99" t="s">
        <v>223</v>
      </c>
      <c r="L21" s="109"/>
    </row>
    <row r="22" spans="1:12" ht="18" customHeight="1" x14ac:dyDescent="0.3">
      <c r="A22" s="96">
        <f t="shared" si="0"/>
        <v>13</v>
      </c>
      <c r="B22" s="97">
        <v>45922</v>
      </c>
      <c r="C22" s="98" t="s">
        <v>305</v>
      </c>
      <c r="D22" s="99">
        <v>1</v>
      </c>
      <c r="E22" s="99" t="s">
        <v>306</v>
      </c>
      <c r="F22" s="99" t="s">
        <v>304</v>
      </c>
      <c r="G22" s="99" t="s">
        <v>253</v>
      </c>
      <c r="H22" s="100">
        <v>12</v>
      </c>
      <c r="I22" s="99" t="s">
        <v>257</v>
      </c>
      <c r="J22" s="101"/>
      <c r="K22" s="99" t="s">
        <v>223</v>
      </c>
      <c r="L22" s="109"/>
    </row>
    <row r="23" spans="1:12" ht="18" customHeight="1" x14ac:dyDescent="0.3">
      <c r="A23" s="96">
        <f t="shared" si="0"/>
        <v>14</v>
      </c>
      <c r="B23" s="97">
        <v>45922</v>
      </c>
      <c r="C23" s="98" t="s">
        <v>303</v>
      </c>
      <c r="D23" s="99">
        <v>2</v>
      </c>
      <c r="E23" s="99" t="s">
        <v>96</v>
      </c>
      <c r="F23" s="99" t="s">
        <v>296</v>
      </c>
      <c r="G23" s="99" t="s">
        <v>253</v>
      </c>
      <c r="H23" s="100">
        <v>22</v>
      </c>
      <c r="I23" s="99" t="s">
        <v>297</v>
      </c>
      <c r="J23" s="101"/>
      <c r="K23" s="99" t="s">
        <v>223</v>
      </c>
      <c r="L23" s="109"/>
    </row>
    <row r="24" spans="1:12" ht="18" customHeight="1" thickBot="1" x14ac:dyDescent="0.35">
      <c r="A24" s="102">
        <f t="shared" si="0"/>
        <v>15</v>
      </c>
      <c r="B24" s="103">
        <v>45922</v>
      </c>
      <c r="C24" s="104" t="s">
        <v>307</v>
      </c>
      <c r="D24" s="105">
        <v>2</v>
      </c>
      <c r="E24" s="105" t="s">
        <v>96</v>
      </c>
      <c r="F24" s="99" t="s">
        <v>304</v>
      </c>
      <c r="G24" s="105" t="s">
        <v>253</v>
      </c>
      <c r="H24" s="106">
        <v>80</v>
      </c>
      <c r="I24" s="105" t="s">
        <v>257</v>
      </c>
      <c r="J24" s="107"/>
      <c r="K24" s="105" t="s">
        <v>223</v>
      </c>
      <c r="L24" s="110"/>
    </row>
    <row r="25" spans="1:12" ht="18" customHeight="1" x14ac:dyDescent="0.3">
      <c r="A25" s="115">
        <f t="shared" si="0"/>
        <v>16</v>
      </c>
      <c r="B25" s="116">
        <v>45922</v>
      </c>
      <c r="C25" s="117" t="s">
        <v>208</v>
      </c>
      <c r="D25" s="118">
        <v>1</v>
      </c>
      <c r="E25" s="118" t="s">
        <v>96</v>
      </c>
      <c r="F25" s="99" t="s">
        <v>296</v>
      </c>
      <c r="G25" s="118" t="s">
        <v>253</v>
      </c>
      <c r="H25" s="119">
        <v>24</v>
      </c>
      <c r="I25" s="118" t="s">
        <v>297</v>
      </c>
      <c r="J25" s="120"/>
      <c r="K25" s="118" t="s">
        <v>223</v>
      </c>
      <c r="L25" s="121"/>
    </row>
    <row r="26" spans="1:12" ht="18" customHeight="1" x14ac:dyDescent="0.3">
      <c r="A26" s="115">
        <f t="shared" si="0"/>
        <v>17</v>
      </c>
      <c r="B26" s="116">
        <v>45922</v>
      </c>
      <c r="C26" s="117" t="s">
        <v>300</v>
      </c>
      <c r="D26" s="118">
        <v>1</v>
      </c>
      <c r="E26" s="118" t="s">
        <v>270</v>
      </c>
      <c r="F26" s="118" t="s">
        <v>296</v>
      </c>
      <c r="G26" s="118" t="s">
        <v>253</v>
      </c>
      <c r="H26" s="119">
        <v>10</v>
      </c>
      <c r="I26" s="118" t="s">
        <v>297</v>
      </c>
      <c r="J26" s="120"/>
      <c r="K26" s="118" t="s">
        <v>223</v>
      </c>
      <c r="L26" s="121"/>
    </row>
    <row r="27" spans="1:12" ht="18" customHeight="1" x14ac:dyDescent="0.3">
      <c r="A27" s="115">
        <f t="shared" si="0"/>
        <v>18</v>
      </c>
      <c r="B27" s="116">
        <v>45922</v>
      </c>
      <c r="C27" s="117" t="s">
        <v>308</v>
      </c>
      <c r="D27" s="118">
        <v>8</v>
      </c>
      <c r="E27" s="118" t="s">
        <v>96</v>
      </c>
      <c r="F27" s="118" t="s">
        <v>304</v>
      </c>
      <c r="G27" s="118" t="s">
        <v>253</v>
      </c>
      <c r="H27" s="119">
        <v>24</v>
      </c>
      <c r="I27" s="118" t="s">
        <v>257</v>
      </c>
      <c r="J27" s="120"/>
      <c r="K27" s="118" t="s">
        <v>223</v>
      </c>
      <c r="L27" s="121"/>
    </row>
    <row r="28" spans="1:12" ht="18" customHeight="1" x14ac:dyDescent="0.3">
      <c r="A28" s="115">
        <f t="shared" si="0"/>
        <v>19</v>
      </c>
      <c r="B28" s="116">
        <v>45922</v>
      </c>
      <c r="C28" s="117" t="s">
        <v>310</v>
      </c>
      <c r="D28" s="118">
        <v>1</v>
      </c>
      <c r="E28" s="118" t="s">
        <v>96</v>
      </c>
      <c r="F28" s="118" t="s">
        <v>304</v>
      </c>
      <c r="G28" s="118" t="s">
        <v>253</v>
      </c>
      <c r="H28" s="119">
        <v>3</v>
      </c>
      <c r="I28" s="118" t="s">
        <v>257</v>
      </c>
      <c r="J28" s="120"/>
      <c r="K28" s="118" t="s">
        <v>223</v>
      </c>
      <c r="L28" s="121"/>
    </row>
    <row r="29" spans="1:12" ht="18" customHeight="1" x14ac:dyDescent="0.3">
      <c r="A29" s="115">
        <f t="shared" si="0"/>
        <v>20</v>
      </c>
      <c r="B29" s="116">
        <v>45922</v>
      </c>
      <c r="C29" s="117" t="s">
        <v>298</v>
      </c>
      <c r="D29" s="118">
        <v>1</v>
      </c>
      <c r="E29" s="118" t="s">
        <v>96</v>
      </c>
      <c r="F29" s="118" t="s">
        <v>296</v>
      </c>
      <c r="G29" s="118" t="s">
        <v>253</v>
      </c>
      <c r="H29" s="119">
        <v>6.5</v>
      </c>
      <c r="I29" s="118" t="s">
        <v>297</v>
      </c>
      <c r="J29" s="120"/>
      <c r="K29" s="118" t="s">
        <v>223</v>
      </c>
      <c r="L29" s="121"/>
    </row>
    <row r="30" spans="1:12" ht="18" customHeight="1" x14ac:dyDescent="0.3">
      <c r="A30" s="115">
        <f t="shared" si="0"/>
        <v>21</v>
      </c>
      <c r="B30" s="116">
        <v>45922</v>
      </c>
      <c r="C30" s="117" t="s">
        <v>299</v>
      </c>
      <c r="D30" s="118">
        <v>1</v>
      </c>
      <c r="E30" s="118" t="s">
        <v>96</v>
      </c>
      <c r="F30" s="118" t="s">
        <v>296</v>
      </c>
      <c r="G30" s="118" t="s">
        <v>253</v>
      </c>
      <c r="H30" s="119">
        <v>25</v>
      </c>
      <c r="I30" s="118" t="s">
        <v>297</v>
      </c>
      <c r="J30" s="120"/>
      <c r="K30" s="118" t="s">
        <v>223</v>
      </c>
      <c r="L30" s="121"/>
    </row>
    <row r="31" spans="1:12" ht="18" customHeight="1" x14ac:dyDescent="0.3">
      <c r="A31" s="115">
        <f t="shared" si="0"/>
        <v>22</v>
      </c>
      <c r="B31" s="116">
        <v>45923</v>
      </c>
      <c r="C31" s="117" t="s">
        <v>330</v>
      </c>
      <c r="D31" s="118">
        <v>15</v>
      </c>
      <c r="E31" s="118" t="s">
        <v>331</v>
      </c>
      <c r="F31" s="118" t="s">
        <v>76</v>
      </c>
      <c r="G31" s="118" t="s">
        <v>253</v>
      </c>
      <c r="H31" s="119">
        <v>120</v>
      </c>
      <c r="I31" s="118"/>
      <c r="J31" s="120"/>
      <c r="K31" s="118" t="s">
        <v>223</v>
      </c>
      <c r="L31" s="121"/>
    </row>
    <row r="32" spans="1:12" ht="18" customHeight="1" x14ac:dyDescent="0.3">
      <c r="A32" s="115">
        <f t="shared" si="0"/>
        <v>23</v>
      </c>
      <c r="B32" s="116">
        <v>45923</v>
      </c>
      <c r="C32" s="117" t="s">
        <v>327</v>
      </c>
      <c r="D32" s="118">
        <v>10</v>
      </c>
      <c r="E32" s="118" t="s">
        <v>96</v>
      </c>
      <c r="F32" s="118" t="s">
        <v>304</v>
      </c>
      <c r="G32" s="118" t="s">
        <v>253</v>
      </c>
      <c r="H32" s="119">
        <v>2</v>
      </c>
      <c r="I32" s="118" t="s">
        <v>257</v>
      </c>
      <c r="J32" s="120"/>
      <c r="K32" s="118" t="s">
        <v>223</v>
      </c>
      <c r="L32" s="121"/>
    </row>
    <row r="33" spans="1:12" ht="18" customHeight="1" x14ac:dyDescent="0.3">
      <c r="A33" s="115">
        <f t="shared" si="0"/>
        <v>24</v>
      </c>
      <c r="B33" s="116">
        <v>45923</v>
      </c>
      <c r="C33" s="117" t="s">
        <v>328</v>
      </c>
      <c r="D33" s="118">
        <v>2</v>
      </c>
      <c r="E33" s="118" t="s">
        <v>96</v>
      </c>
      <c r="F33" s="118" t="s">
        <v>304</v>
      </c>
      <c r="G33" s="118" t="s">
        <v>253</v>
      </c>
      <c r="H33" s="119">
        <v>36</v>
      </c>
      <c r="I33" s="118" t="s">
        <v>257</v>
      </c>
      <c r="J33" s="120"/>
      <c r="K33" s="118" t="s">
        <v>223</v>
      </c>
      <c r="L33" s="121"/>
    </row>
    <row r="34" spans="1:12" x14ac:dyDescent="0.3">
      <c r="A34" s="115">
        <f t="shared" si="0"/>
        <v>25</v>
      </c>
      <c r="B34" s="116">
        <v>45925</v>
      </c>
      <c r="C34" s="117" t="s">
        <v>366</v>
      </c>
      <c r="D34" s="118"/>
      <c r="E34" s="118"/>
      <c r="F34" s="118"/>
      <c r="G34" s="118" t="s">
        <v>253</v>
      </c>
      <c r="H34" s="119"/>
      <c r="I34" s="118"/>
      <c r="J34" s="120"/>
      <c r="K34" s="118"/>
      <c r="L34" s="121">
        <v>160</v>
      </c>
    </row>
    <row r="35" spans="1:12" x14ac:dyDescent="0.3">
      <c r="A35" s="115">
        <f t="shared" si="0"/>
        <v>26</v>
      </c>
      <c r="B35" s="116">
        <v>45926</v>
      </c>
      <c r="C35" s="117" t="s">
        <v>330</v>
      </c>
      <c r="D35" s="118">
        <v>5</v>
      </c>
      <c r="E35" s="118" t="s">
        <v>331</v>
      </c>
      <c r="F35" s="118" t="s">
        <v>76</v>
      </c>
      <c r="G35" s="118" t="s">
        <v>253</v>
      </c>
      <c r="H35" s="119">
        <v>40</v>
      </c>
      <c r="I35" s="118"/>
      <c r="J35" s="120"/>
      <c r="K35" s="118" t="s">
        <v>223</v>
      </c>
      <c r="L35" s="121"/>
    </row>
    <row r="36" spans="1:12" x14ac:dyDescent="0.3">
      <c r="A36" s="115">
        <f t="shared" si="0"/>
        <v>27</v>
      </c>
      <c r="B36" s="116">
        <v>45942</v>
      </c>
      <c r="C36" s="117" t="s">
        <v>406</v>
      </c>
      <c r="D36" s="118">
        <v>6</v>
      </c>
      <c r="E36" s="118" t="s">
        <v>96</v>
      </c>
      <c r="F36" s="118" t="s">
        <v>76</v>
      </c>
      <c r="G36" s="118" t="s">
        <v>253</v>
      </c>
      <c r="H36" s="119">
        <v>20</v>
      </c>
      <c r="I36" s="118"/>
      <c r="J36" s="120"/>
      <c r="K36" s="118" t="s">
        <v>223</v>
      </c>
      <c r="L36" s="121"/>
    </row>
    <row r="37" spans="1:12" x14ac:dyDescent="0.3">
      <c r="A37" s="115">
        <f t="shared" si="0"/>
        <v>28</v>
      </c>
      <c r="B37" s="116">
        <v>45942</v>
      </c>
      <c r="C37" s="117" t="s">
        <v>398</v>
      </c>
      <c r="D37" s="118">
        <v>4</v>
      </c>
      <c r="E37" s="118" t="s">
        <v>96</v>
      </c>
      <c r="F37" s="118" t="s">
        <v>403</v>
      </c>
      <c r="G37" s="118" t="s">
        <v>253</v>
      </c>
      <c r="H37" s="119">
        <v>10</v>
      </c>
      <c r="I37" s="118" t="s">
        <v>405</v>
      </c>
      <c r="J37" s="120"/>
      <c r="K37" s="118" t="s">
        <v>223</v>
      </c>
      <c r="L37" s="121"/>
    </row>
    <row r="38" spans="1:12" x14ac:dyDescent="0.3">
      <c r="A38" s="115">
        <f t="shared" si="0"/>
        <v>29</v>
      </c>
      <c r="B38" s="116">
        <v>45943</v>
      </c>
      <c r="C38" s="117" t="s">
        <v>366</v>
      </c>
      <c r="D38" s="118"/>
      <c r="E38" s="118"/>
      <c r="F38" s="118"/>
      <c r="G38" s="118" t="s">
        <v>397</v>
      </c>
      <c r="H38" s="119"/>
      <c r="I38" s="118"/>
      <c r="J38" s="120"/>
      <c r="K38" s="118"/>
      <c r="L38" s="121">
        <v>40</v>
      </c>
    </row>
    <row r="39" spans="1:12" x14ac:dyDescent="0.3">
      <c r="A39" s="115">
        <f t="shared" si="0"/>
        <v>30</v>
      </c>
      <c r="B39" s="116">
        <v>45943</v>
      </c>
      <c r="C39" s="117" t="s">
        <v>366</v>
      </c>
      <c r="D39" s="118"/>
      <c r="E39" s="118"/>
      <c r="F39" s="118"/>
      <c r="G39" s="118" t="s">
        <v>253</v>
      </c>
      <c r="H39" s="119"/>
      <c r="I39" s="118"/>
      <c r="J39" s="120"/>
      <c r="K39" s="118"/>
      <c r="L39" s="121">
        <v>30</v>
      </c>
    </row>
    <row r="40" spans="1:12" x14ac:dyDescent="0.3">
      <c r="A40" s="115">
        <f t="shared" si="0"/>
        <v>31</v>
      </c>
      <c r="B40" s="116">
        <v>45944</v>
      </c>
      <c r="C40" s="117" t="s">
        <v>407</v>
      </c>
      <c r="D40" s="118">
        <v>10</v>
      </c>
      <c r="E40" s="118" t="s">
        <v>270</v>
      </c>
      <c r="F40" s="118" t="s">
        <v>404</v>
      </c>
      <c r="G40" s="118" t="s">
        <v>253</v>
      </c>
      <c r="H40" s="119">
        <v>160</v>
      </c>
      <c r="I40" s="118" t="s">
        <v>408</v>
      </c>
      <c r="J40" s="120"/>
      <c r="K40" s="118" t="s">
        <v>223</v>
      </c>
      <c r="L40" s="121"/>
    </row>
    <row r="41" spans="1:12" x14ac:dyDescent="0.3">
      <c r="A41" s="115">
        <f t="shared" si="0"/>
        <v>32</v>
      </c>
      <c r="B41" s="116">
        <v>45944</v>
      </c>
      <c r="C41" s="117" t="s">
        <v>409</v>
      </c>
      <c r="D41" s="118">
        <v>60</v>
      </c>
      <c r="E41" s="118" t="s">
        <v>96</v>
      </c>
      <c r="F41" s="118" t="s">
        <v>402</v>
      </c>
      <c r="G41" s="118" t="s">
        <v>253</v>
      </c>
      <c r="H41" s="119">
        <v>90</v>
      </c>
      <c r="I41" s="118" t="s">
        <v>410</v>
      </c>
      <c r="J41" s="120"/>
      <c r="K41" s="118" t="s">
        <v>223</v>
      </c>
      <c r="L41" s="121"/>
    </row>
    <row r="42" spans="1:12" x14ac:dyDescent="0.3">
      <c r="A42" s="115">
        <f t="shared" si="0"/>
        <v>33</v>
      </c>
      <c r="B42" s="116">
        <v>45945</v>
      </c>
      <c r="C42" s="117" t="s">
        <v>413</v>
      </c>
      <c r="D42" s="118">
        <v>6</v>
      </c>
      <c r="E42" s="118" t="s">
        <v>96</v>
      </c>
      <c r="F42" s="118" t="s">
        <v>76</v>
      </c>
      <c r="G42" s="118" t="s">
        <v>253</v>
      </c>
      <c r="H42" s="119">
        <v>9</v>
      </c>
      <c r="I42" s="118"/>
      <c r="J42" s="120"/>
      <c r="K42" s="118" t="s">
        <v>223</v>
      </c>
      <c r="L42" s="121"/>
    </row>
    <row r="43" spans="1:12" x14ac:dyDescent="0.3">
      <c r="A43" s="115">
        <f t="shared" si="0"/>
        <v>34</v>
      </c>
      <c r="B43" s="116">
        <v>45945</v>
      </c>
      <c r="C43" s="117" t="s">
        <v>330</v>
      </c>
      <c r="D43" s="118">
        <v>14</v>
      </c>
      <c r="E43" s="118" t="s">
        <v>96</v>
      </c>
      <c r="F43" s="118" t="s">
        <v>411</v>
      </c>
      <c r="G43" s="118" t="s">
        <v>253</v>
      </c>
      <c r="H43" s="119">
        <v>112</v>
      </c>
      <c r="I43" s="118" t="s">
        <v>412</v>
      </c>
      <c r="J43" s="120"/>
      <c r="K43" s="118" t="s">
        <v>223</v>
      </c>
      <c r="L43" s="121"/>
    </row>
    <row r="44" spans="1:12" x14ac:dyDescent="0.3">
      <c r="A44" s="115">
        <f t="shared" si="0"/>
        <v>35</v>
      </c>
      <c r="B44" s="116">
        <v>45950</v>
      </c>
      <c r="C44" s="117" t="s">
        <v>436</v>
      </c>
      <c r="D44" s="118">
        <v>1</v>
      </c>
      <c r="E44" s="118" t="s">
        <v>96</v>
      </c>
      <c r="F44" s="118" t="s">
        <v>304</v>
      </c>
      <c r="G44" s="118" t="s">
        <v>253</v>
      </c>
      <c r="H44" s="119">
        <v>20</v>
      </c>
      <c r="I44" s="118" t="s">
        <v>257</v>
      </c>
      <c r="J44" s="120"/>
      <c r="K44" s="118" t="s">
        <v>223</v>
      </c>
      <c r="L44" s="121"/>
    </row>
    <row r="45" spans="1:12" x14ac:dyDescent="0.3">
      <c r="A45" s="115">
        <f t="shared" si="0"/>
        <v>36</v>
      </c>
      <c r="B45" s="116">
        <v>45950</v>
      </c>
      <c r="C45" s="117" t="s">
        <v>437</v>
      </c>
      <c r="D45" s="118">
        <v>2</v>
      </c>
      <c r="E45" s="118" t="s">
        <v>96</v>
      </c>
      <c r="F45" s="118" t="s">
        <v>304</v>
      </c>
      <c r="G45" s="118" t="s">
        <v>253</v>
      </c>
      <c r="H45" s="119">
        <v>4</v>
      </c>
      <c r="I45" s="118" t="s">
        <v>257</v>
      </c>
      <c r="J45" s="120"/>
      <c r="K45" s="118" t="s">
        <v>223</v>
      </c>
      <c r="L45" s="121"/>
    </row>
    <row r="46" spans="1:12" x14ac:dyDescent="0.3">
      <c r="A46" s="115">
        <f t="shared" si="0"/>
        <v>37</v>
      </c>
      <c r="B46" s="116">
        <v>45950</v>
      </c>
      <c r="C46" s="117" t="s">
        <v>435</v>
      </c>
      <c r="D46" s="118">
        <v>5</v>
      </c>
      <c r="E46" s="118" t="s">
        <v>96</v>
      </c>
      <c r="F46" s="118" t="s">
        <v>304</v>
      </c>
      <c r="G46" s="118" t="s">
        <v>253</v>
      </c>
      <c r="H46" s="119">
        <v>15</v>
      </c>
      <c r="I46" s="118" t="s">
        <v>257</v>
      </c>
      <c r="J46" s="120"/>
      <c r="K46" s="118" t="s">
        <v>223</v>
      </c>
      <c r="L46" s="121"/>
    </row>
    <row r="47" spans="1:12" x14ac:dyDescent="0.3">
      <c r="A47" s="115">
        <f t="shared" si="0"/>
        <v>38</v>
      </c>
      <c r="B47" s="116">
        <v>45951</v>
      </c>
      <c r="C47" s="117" t="s">
        <v>250</v>
      </c>
      <c r="D47" s="118">
        <v>5.48</v>
      </c>
      <c r="E47" s="118" t="s">
        <v>251</v>
      </c>
      <c r="F47" s="118" t="s">
        <v>252</v>
      </c>
      <c r="G47" s="118" t="s">
        <v>253</v>
      </c>
      <c r="H47" s="119">
        <v>85.76</v>
      </c>
      <c r="I47" s="118" t="s">
        <v>438</v>
      </c>
      <c r="J47" s="120"/>
      <c r="K47" s="118" t="s">
        <v>223</v>
      </c>
      <c r="L47" s="121"/>
    </row>
    <row r="48" spans="1:12" x14ac:dyDescent="0.3">
      <c r="A48" s="115">
        <f t="shared" si="0"/>
        <v>39</v>
      </c>
      <c r="B48" s="116">
        <v>45951</v>
      </c>
      <c r="C48" s="117" t="s">
        <v>439</v>
      </c>
      <c r="D48" s="118">
        <v>3</v>
      </c>
      <c r="E48" s="118" t="s">
        <v>96</v>
      </c>
      <c r="F48" s="118" t="s">
        <v>76</v>
      </c>
      <c r="G48" s="118" t="s">
        <v>253</v>
      </c>
      <c r="H48" s="119">
        <v>7.5</v>
      </c>
      <c r="I48" s="118"/>
      <c r="J48" s="120"/>
      <c r="K48" s="118" t="s">
        <v>223</v>
      </c>
      <c r="L48" s="121"/>
    </row>
    <row r="49" spans="1:12" x14ac:dyDescent="0.3">
      <c r="A49" s="115">
        <f t="shared" ref="A49:A54" si="1">A48+1</f>
        <v>40</v>
      </c>
      <c r="B49" s="116">
        <v>45951</v>
      </c>
      <c r="C49" s="117" t="s">
        <v>440</v>
      </c>
      <c r="D49" s="118">
        <v>1</v>
      </c>
      <c r="E49" s="118" t="s">
        <v>96</v>
      </c>
      <c r="F49" s="118" t="s">
        <v>304</v>
      </c>
      <c r="G49" s="118" t="s">
        <v>253</v>
      </c>
      <c r="H49" s="119">
        <v>30</v>
      </c>
      <c r="I49" s="118" t="s">
        <v>397</v>
      </c>
      <c r="J49" s="120"/>
      <c r="K49" s="118" t="s">
        <v>223</v>
      </c>
      <c r="L49" s="121"/>
    </row>
    <row r="50" spans="1:12" x14ac:dyDescent="0.3">
      <c r="A50" s="115">
        <f t="shared" si="1"/>
        <v>41</v>
      </c>
      <c r="B50" s="116">
        <v>45954</v>
      </c>
      <c r="C50" s="117" t="s">
        <v>366</v>
      </c>
      <c r="D50" s="118"/>
      <c r="E50" s="118"/>
      <c r="F50" s="118"/>
      <c r="G50" s="118" t="s">
        <v>253</v>
      </c>
      <c r="H50" s="119"/>
      <c r="I50" s="118"/>
      <c r="J50" s="120" t="s">
        <v>516</v>
      </c>
      <c r="K50" s="118"/>
      <c r="L50" s="121">
        <v>500</v>
      </c>
    </row>
    <row r="51" spans="1:12" x14ac:dyDescent="0.3">
      <c r="A51" s="115">
        <f t="shared" si="1"/>
        <v>42</v>
      </c>
      <c r="B51" s="116">
        <v>45957</v>
      </c>
      <c r="C51" s="117" t="s">
        <v>513</v>
      </c>
      <c r="D51" s="118">
        <v>3</v>
      </c>
      <c r="E51" s="118" t="s">
        <v>96</v>
      </c>
      <c r="F51" s="118" t="s">
        <v>304</v>
      </c>
      <c r="G51" s="118" t="s">
        <v>253</v>
      </c>
      <c r="H51" s="119">
        <v>30</v>
      </c>
      <c r="I51" s="118" t="s">
        <v>257</v>
      </c>
      <c r="J51" s="120"/>
      <c r="K51" s="118" t="s">
        <v>223</v>
      </c>
      <c r="L51" s="121"/>
    </row>
    <row r="52" spans="1:12" x14ac:dyDescent="0.3">
      <c r="A52" s="115">
        <f t="shared" si="1"/>
        <v>43</v>
      </c>
      <c r="B52" s="116">
        <v>45957</v>
      </c>
      <c r="C52" s="117" t="s">
        <v>514</v>
      </c>
      <c r="D52" s="118">
        <v>2</v>
      </c>
      <c r="E52" s="118" t="s">
        <v>96</v>
      </c>
      <c r="F52" s="118" t="s">
        <v>304</v>
      </c>
      <c r="G52" s="118" t="s">
        <v>253</v>
      </c>
      <c r="H52" s="119">
        <v>16</v>
      </c>
      <c r="I52" s="118" t="s">
        <v>257</v>
      </c>
      <c r="J52" s="120"/>
      <c r="K52" s="118" t="s">
        <v>223</v>
      </c>
      <c r="L52" s="121"/>
    </row>
    <row r="53" spans="1:12" x14ac:dyDescent="0.3">
      <c r="A53" s="115">
        <f t="shared" si="1"/>
        <v>44</v>
      </c>
      <c r="B53" s="116">
        <v>45959</v>
      </c>
      <c r="C53" s="117" t="s">
        <v>366</v>
      </c>
      <c r="D53" s="118"/>
      <c r="E53" s="118"/>
      <c r="F53" s="118"/>
      <c r="G53" s="118" t="s">
        <v>253</v>
      </c>
      <c r="H53" s="119"/>
      <c r="I53" s="118"/>
      <c r="J53" s="120" t="s">
        <v>515</v>
      </c>
      <c r="K53" s="118"/>
      <c r="L53" s="121">
        <v>300</v>
      </c>
    </row>
    <row r="54" spans="1:12" x14ac:dyDescent="0.3">
      <c r="A54" s="115">
        <f t="shared" si="1"/>
        <v>45</v>
      </c>
      <c r="B54" s="116">
        <v>45959</v>
      </c>
      <c r="C54" s="117" t="s">
        <v>330</v>
      </c>
      <c r="D54" s="118">
        <v>15</v>
      </c>
      <c r="E54" s="118" t="s">
        <v>331</v>
      </c>
      <c r="F54" s="118" t="s">
        <v>76</v>
      </c>
      <c r="G54" s="118" t="s">
        <v>253</v>
      </c>
      <c r="H54" s="119">
        <v>120</v>
      </c>
      <c r="I54" s="118"/>
      <c r="J54" s="120"/>
      <c r="K54" s="118" t="s">
        <v>223</v>
      </c>
      <c r="L54" s="121"/>
    </row>
    <row r="55" spans="1:12" x14ac:dyDescent="0.3">
      <c r="A55" s="115">
        <f>A54+1</f>
        <v>46</v>
      </c>
      <c r="B55" s="116">
        <v>45960</v>
      </c>
      <c r="C55" s="117" t="s">
        <v>250</v>
      </c>
      <c r="D55" s="118">
        <v>5.1120000000000001</v>
      </c>
      <c r="E55" s="118" t="s">
        <v>251</v>
      </c>
      <c r="F55" s="118" t="s">
        <v>252</v>
      </c>
      <c r="G55" s="118" t="s">
        <v>253</v>
      </c>
      <c r="H55" s="119">
        <v>80</v>
      </c>
      <c r="I55" s="118" t="s">
        <v>517</v>
      </c>
      <c r="J55" s="120"/>
      <c r="K55" s="118" t="s">
        <v>223</v>
      </c>
      <c r="L55" s="121"/>
    </row>
    <row r="56" spans="1:12" x14ac:dyDescent="0.3">
      <c r="A56" s="115">
        <f>A55+1</f>
        <v>47</v>
      </c>
      <c r="B56" s="116">
        <v>45960</v>
      </c>
      <c r="C56" s="117" t="s">
        <v>250</v>
      </c>
      <c r="D56" s="157">
        <v>5.7530000000000001</v>
      </c>
      <c r="E56" s="157" t="s">
        <v>251</v>
      </c>
      <c r="F56" s="157" t="s">
        <v>252</v>
      </c>
      <c r="G56" s="157" t="s">
        <v>397</v>
      </c>
      <c r="H56" s="158">
        <v>90.03</v>
      </c>
      <c r="I56" s="157" t="s">
        <v>544</v>
      </c>
      <c r="J56" s="159"/>
      <c r="K56" s="157" t="s">
        <v>223</v>
      </c>
      <c r="L56" s="160"/>
    </row>
  </sheetData>
  <pageMargins left="0.18" right="0.2" top="0.32" bottom="0.22" header="0.3" footer="0.3"/>
  <pageSetup paperSize="9" scale="61" orientation="landscape" horizontalDpi="4294967293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09A7B45-8B5D-4EFF-938B-831584D4DC0A}">
          <x14:formula1>
            <xm:f>'TABLAS DATOS'!$A$1:$A$15</xm:f>
          </x14:formula1>
          <xm:sqref>K10:K56</xm:sqref>
        </x14:dataValidation>
        <x14:dataValidation type="list" allowBlank="1" showInputMessage="1" showErrorMessage="1" xr:uid="{1BCBF1F6-5CB7-4822-B8FE-341BCD2AF1BF}">
          <x14:formula1>
            <xm:f>PROVEEDORES!$B$4:$B$1000</xm:f>
          </x14:formula1>
          <xm:sqref>F10:F56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835CA-34DC-4151-806F-3FDA29262FFE}">
  <dimension ref="A1:A2"/>
  <sheetViews>
    <sheetView workbookViewId="0">
      <selection activeCell="D2" sqref="D2"/>
    </sheetView>
  </sheetViews>
  <sheetFormatPr baseColWidth="10" defaultColWidth="10.77734375" defaultRowHeight="14.4" x14ac:dyDescent="0.3"/>
  <sheetData>
    <row r="1" spans="1:1" x14ac:dyDescent="0.3">
      <c r="A1" t="s">
        <v>223</v>
      </c>
    </row>
    <row r="2" spans="1:1" x14ac:dyDescent="0.3">
      <c r="A2" t="s">
        <v>265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A4CAA-890C-493C-887D-000E4453B6FA}">
  <dimension ref="A3:C11"/>
  <sheetViews>
    <sheetView workbookViewId="0">
      <selection activeCell="C36" sqref="C36"/>
    </sheetView>
  </sheetViews>
  <sheetFormatPr baseColWidth="10" defaultRowHeight="14.4" x14ac:dyDescent="0.3"/>
  <cols>
    <col min="1" max="1" width="7" customWidth="1"/>
    <col min="2" max="2" width="32.21875" customWidth="1"/>
    <col min="3" max="3" width="18" customWidth="1"/>
  </cols>
  <sheetData>
    <row r="3" spans="1:3" x14ac:dyDescent="0.3">
      <c r="A3" s="68" t="s">
        <v>399</v>
      </c>
      <c r="B3" s="68" t="s">
        <v>400</v>
      </c>
      <c r="C3" s="68" t="s">
        <v>401</v>
      </c>
    </row>
    <row r="4" spans="1:3" x14ac:dyDescent="0.3">
      <c r="A4">
        <v>1</v>
      </c>
      <c r="B4" t="s">
        <v>402</v>
      </c>
      <c r="C4">
        <v>10441916693</v>
      </c>
    </row>
    <row r="5" spans="1:3" x14ac:dyDescent="0.3">
      <c r="A5">
        <v>2</v>
      </c>
      <c r="B5" t="s">
        <v>403</v>
      </c>
      <c r="C5">
        <v>20608439014</v>
      </c>
    </row>
    <row r="6" spans="1:3" x14ac:dyDescent="0.3">
      <c r="A6">
        <v>3</v>
      </c>
      <c r="B6" t="s">
        <v>404</v>
      </c>
      <c r="C6">
        <v>20532452261</v>
      </c>
    </row>
    <row r="7" spans="1:3" x14ac:dyDescent="0.3">
      <c r="A7">
        <v>4</v>
      </c>
      <c r="B7" t="s">
        <v>252</v>
      </c>
    </row>
    <row r="8" spans="1:3" x14ac:dyDescent="0.3">
      <c r="A8">
        <v>5</v>
      </c>
      <c r="B8" t="s">
        <v>304</v>
      </c>
    </row>
    <row r="9" spans="1:3" x14ac:dyDescent="0.3">
      <c r="A9">
        <v>6</v>
      </c>
      <c r="B9" t="s">
        <v>296</v>
      </c>
    </row>
    <row r="10" spans="1:3" x14ac:dyDescent="0.3">
      <c r="A10">
        <v>7</v>
      </c>
      <c r="B10" t="s">
        <v>76</v>
      </c>
    </row>
    <row r="11" spans="1:3" x14ac:dyDescent="0.3">
      <c r="A11">
        <v>8</v>
      </c>
      <c r="B11" t="s">
        <v>411</v>
      </c>
      <c r="C11">
        <v>20609773376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D973B-C4ED-44F6-B245-3D80045A4D49}">
  <sheetPr codeName="Hoja5"/>
  <dimension ref="A2:E15"/>
  <sheetViews>
    <sheetView topLeftCell="A10" workbookViewId="0">
      <selection activeCell="E16" sqref="E16"/>
    </sheetView>
  </sheetViews>
  <sheetFormatPr baseColWidth="10" defaultColWidth="10.77734375" defaultRowHeight="14.4" x14ac:dyDescent="0.3"/>
  <cols>
    <col min="1" max="1" width="16.33203125" customWidth="1"/>
    <col min="4" max="4" width="28.21875" customWidth="1"/>
    <col min="5" max="5" width="29.109375" customWidth="1"/>
  </cols>
  <sheetData>
    <row r="2" spans="1:5" x14ac:dyDescent="0.3">
      <c r="A2" t="s">
        <v>266</v>
      </c>
      <c r="B2" t="s">
        <v>267</v>
      </c>
      <c r="D2" t="s">
        <v>9</v>
      </c>
      <c r="E2" s="18" t="s">
        <v>268</v>
      </c>
    </row>
    <row r="3" spans="1:5" ht="27.6" x14ac:dyDescent="0.3">
      <c r="A3" t="s">
        <v>269</v>
      </c>
      <c r="B3" t="s">
        <v>270</v>
      </c>
      <c r="D3" t="s">
        <v>15</v>
      </c>
      <c r="E3" s="19" t="s">
        <v>271</v>
      </c>
    </row>
    <row r="4" spans="1:5" x14ac:dyDescent="0.3">
      <c r="A4" t="s">
        <v>272</v>
      </c>
      <c r="B4" t="s">
        <v>251</v>
      </c>
      <c r="D4" t="s">
        <v>48</v>
      </c>
      <c r="E4" s="18" t="s">
        <v>273</v>
      </c>
    </row>
    <row r="5" spans="1:5" x14ac:dyDescent="0.3">
      <c r="A5" t="s">
        <v>274</v>
      </c>
      <c r="B5" t="s">
        <v>275</v>
      </c>
      <c r="D5" t="s">
        <v>276</v>
      </c>
      <c r="E5" s="19" t="s">
        <v>277</v>
      </c>
    </row>
    <row r="6" spans="1:5" ht="27.6" x14ac:dyDescent="0.3">
      <c r="A6" t="s">
        <v>278</v>
      </c>
      <c r="B6" t="s">
        <v>279</v>
      </c>
      <c r="D6" t="s">
        <v>73</v>
      </c>
      <c r="E6" s="18" t="s">
        <v>10</v>
      </c>
    </row>
    <row r="7" spans="1:5" x14ac:dyDescent="0.3">
      <c r="A7" t="s">
        <v>280</v>
      </c>
      <c r="B7" t="s">
        <v>281</v>
      </c>
      <c r="D7" t="s">
        <v>29</v>
      </c>
      <c r="E7" s="19" t="s">
        <v>282</v>
      </c>
    </row>
    <row r="8" spans="1:5" x14ac:dyDescent="0.3">
      <c r="A8" t="s">
        <v>283</v>
      </c>
      <c r="B8" t="s">
        <v>8</v>
      </c>
      <c r="D8" t="s">
        <v>76</v>
      </c>
      <c r="E8" s="18" t="s">
        <v>284</v>
      </c>
    </row>
    <row r="9" spans="1:5" x14ac:dyDescent="0.3">
      <c r="A9" t="s">
        <v>285</v>
      </c>
      <c r="B9" t="s">
        <v>286</v>
      </c>
      <c r="E9" s="19" t="s">
        <v>287</v>
      </c>
    </row>
    <row r="10" spans="1:5" ht="27.6" x14ac:dyDescent="0.3">
      <c r="A10" t="s">
        <v>288</v>
      </c>
      <c r="B10" t="s">
        <v>289</v>
      </c>
      <c r="E10" s="18" t="s">
        <v>290</v>
      </c>
    </row>
    <row r="11" spans="1:5" x14ac:dyDescent="0.3">
      <c r="A11" t="s">
        <v>167</v>
      </c>
      <c r="B11" t="s">
        <v>54</v>
      </c>
      <c r="E11" s="19" t="s">
        <v>291</v>
      </c>
    </row>
    <row r="12" spans="1:5" x14ac:dyDescent="0.3">
      <c r="A12" t="s">
        <v>292</v>
      </c>
      <c r="B12" t="s">
        <v>57</v>
      </c>
      <c r="E12" s="18" t="s">
        <v>49</v>
      </c>
    </row>
    <row r="13" spans="1:5" x14ac:dyDescent="0.3">
      <c r="E13" s="19" t="s">
        <v>16</v>
      </c>
    </row>
    <row r="14" spans="1:5" x14ac:dyDescent="0.3">
      <c r="E14" s="18" t="s">
        <v>30</v>
      </c>
    </row>
    <row r="15" spans="1:5" x14ac:dyDescent="0.3">
      <c r="E15" s="28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4</vt:i4>
      </vt:variant>
    </vt:vector>
  </HeadingPairs>
  <TitlesOfParts>
    <vt:vector size="12" baseType="lpstr">
      <vt:lpstr>REQUERIMIENTO</vt:lpstr>
      <vt:lpstr>REQUERIMIENTO TABLA</vt:lpstr>
      <vt:lpstr>F. REQUE</vt:lpstr>
      <vt:lpstr>FORMATO REQUERIMIENTO</vt:lpstr>
      <vt:lpstr>COMPRAS</vt:lpstr>
      <vt:lpstr>TABLAS DATOS</vt:lpstr>
      <vt:lpstr>PROVEEDORES</vt:lpstr>
      <vt:lpstr>TABLAS</vt:lpstr>
      <vt:lpstr>COMPRAS!Área_de_impresión</vt:lpstr>
      <vt:lpstr>'FORMATO REQUERIMIENTO'!Área_de_impresión</vt:lpstr>
      <vt:lpstr>'F. REQUE'!Títulos_a_imprimir</vt:lpstr>
      <vt:lpstr>'FORMATO REQUERIMIENTO'!Títulos_a_imprimir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ERNESTO ALONSO ACUACHI LANCHIPA</dc:creator>
  <cp:keywords/>
  <dc:description/>
  <cp:lastModifiedBy>ERNESTO ALONSO ACUACHI LANCHIPA</cp:lastModifiedBy>
  <cp:revision/>
  <cp:lastPrinted>2025-11-07T20:19:23Z</cp:lastPrinted>
  <dcterms:created xsi:type="dcterms:W3CDTF">2025-09-12T02:58:25Z</dcterms:created>
  <dcterms:modified xsi:type="dcterms:W3CDTF">2025-11-07T20:24:22Z</dcterms:modified>
  <cp:category/>
  <cp:contentStatus/>
</cp:coreProperties>
</file>