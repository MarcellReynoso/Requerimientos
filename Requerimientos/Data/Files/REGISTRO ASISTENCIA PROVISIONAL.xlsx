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569585CBA11AF01/LOGISTICA TICAPAMPA/"/>
    </mc:Choice>
  </mc:AlternateContent>
  <xr:revisionPtr revIDLastSave="2027" documentId="8_{C2E02193-78D5-4973-A3B3-D7EC9C762094}" xr6:coauthVersionLast="47" xr6:coauthVersionMax="47" xr10:uidLastSave="{8DD01E89-D3E1-445A-9481-34237DAE1F55}"/>
  <bookViews>
    <workbookView xWindow="28680" yWindow="-120" windowWidth="29040" windowHeight="15840" firstSheet="2" activeTab="12" xr2:uid="{E9400F9B-6D65-4E81-A20B-E63258FAFCDA}"/>
  </bookViews>
  <sheets>
    <sheet name="DATOS GRALES" sheetId="2" state="hidden" r:id="rId1"/>
    <sheet name="DATOS GRALES 1" sheetId="9" r:id="rId2"/>
    <sheet name="Hoja2" sheetId="11" r:id="rId3"/>
    <sheet name="Hoja1" sheetId="10" r:id="rId4"/>
    <sheet name="CONTROL ASISTENCIA" sheetId="1" r:id="rId5"/>
    <sheet name="FORMATO" sheetId="3" r:id="rId6"/>
    <sheet name="TAREO HORAS EXTRAS" sheetId="6" state="hidden" r:id="rId7"/>
    <sheet name="formulas" sheetId="7" state="hidden" r:id="rId8"/>
    <sheet name="ASISTENCIA KRAMER1" sheetId="4" state="hidden" r:id="rId9"/>
    <sheet name="MESES" sheetId="5" state="hidden" r:id="rId10"/>
    <sheet name="ASISTENCIA 2 (2)" sheetId="8" r:id="rId11"/>
    <sheet name="ASISTENCIA OCTUBRE" sheetId="12" r:id="rId12"/>
    <sheet name="ASISTENCIA NOVIEMBRE" sheetId="13" r:id="rId13"/>
  </sheets>
  <definedNames>
    <definedName name="_Datos" localSheetId="10">'ASISTENCIA 2 (2)'!$G1:$AK1</definedName>
    <definedName name="_Datos" localSheetId="12">'ASISTENCIA NOVIEMBRE'!$G1:$AK1</definedName>
    <definedName name="_Datos" localSheetId="11">'ASISTENCIA OCTUBRE'!$G1:$AK1</definedName>
    <definedName name="_Datos" localSheetId="6">'TAREO HORAS EXTRAS'!$G1:$AK1</definedName>
    <definedName name="_Fechainicial" localSheetId="10">'ASISTENCIA 2 (2)'!A$8</definedName>
    <definedName name="_Fechainicial" localSheetId="12">'ASISTENCIA NOVIEMBRE'!A$8</definedName>
    <definedName name="_Fechainicial" localSheetId="11">'ASISTENCIA OCTUBRE'!A$8</definedName>
    <definedName name="_Fechainicial" localSheetId="6">'TAREO HORAS EXTRAS'!A$8</definedName>
    <definedName name="_FechaSiguiente" localSheetId="10">'ASISTENCIA 2 (2)'!B$8</definedName>
    <definedName name="_FechaSiguiente" localSheetId="12">'ASISTENCIA NOVIEMBRE'!B$8</definedName>
    <definedName name="_FechaSiguiente" localSheetId="11">'ASISTENCIA OCTUBRE'!B$8</definedName>
    <definedName name="_FechaSiguiente" localSheetId="6">'TAREO HORAS EXTRAS'!B$8</definedName>
    <definedName name="_HorasExtras" localSheetId="10">'ASISTENCIA 2 (2)'!$AO$4</definedName>
    <definedName name="_HorasExtras" localSheetId="12">'ASISTENCIA NOVIEMBRE'!$AO$4</definedName>
    <definedName name="_HorasExtras" localSheetId="11">'ASISTENCIA OCTUBRE'!$AO$4</definedName>
    <definedName name="_HorasExtras" localSheetId="6">'TAREO HORAS EXTRAS'!$AO$4</definedName>
    <definedName name="_PorEncimade" localSheetId="10">'ASISTENCIA 2 (2)'!$AO$6</definedName>
    <definedName name="_PorEncimade" localSheetId="12">'ASISTENCIA NOVIEMBRE'!$AO$6</definedName>
    <definedName name="_PorEncimade" localSheetId="11">'ASISTENCIA OCTUBRE'!$AO$6</definedName>
    <definedName name="_PorEncimade" localSheetId="6">'TAREO HORAS EXTRAS'!$AO$6</definedName>
    <definedName name="LMeses" localSheetId="10">TMESES[[MES ]]</definedName>
    <definedName name="LMeses" localSheetId="12">TMESES[[MES ]]</definedName>
    <definedName name="LMeses" localSheetId="11">TMESES[[MES ]]</definedName>
    <definedName name="LMeses">TMESES[[MES ]]</definedName>
    <definedName name="nFestivos" localSheetId="10">tFestivos4[[#All],[Festivos]]</definedName>
    <definedName name="nFestivos" localSheetId="12">tFestivos468[[#All],[Festivos]]</definedName>
    <definedName name="nFestivos" localSheetId="11">tFestivos46[[#All],[Festivos]]</definedName>
    <definedName name="nFestivos">tFestivos[[#All],[Festivos]]</definedName>
    <definedName name="_xlnm.Print_Titles" localSheetId="4">'CONTROL ASISTENCIA'!$4:$6</definedName>
    <definedName name="_xlnm.Print_Titles" localSheetId="5">FORMATO!$1:$6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3" l="1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24" i="13"/>
  <c r="E22" i="13"/>
  <c r="E21" i="13"/>
  <c r="E20" i="13"/>
  <c r="E19" i="13"/>
  <c r="E18" i="13"/>
  <c r="E17" i="13"/>
  <c r="E16" i="13"/>
  <c r="E15" i="13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24" i="12"/>
  <c r="E15" i="12"/>
  <c r="E16" i="12"/>
  <c r="E17" i="12"/>
  <c r="E18" i="12"/>
  <c r="E19" i="12"/>
  <c r="E20" i="12"/>
  <c r="E21" i="12"/>
  <c r="E22" i="12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7" i="1"/>
  <c r="E24" i="8"/>
  <c r="E16" i="8"/>
  <c r="E17" i="8"/>
  <c r="E18" i="8"/>
  <c r="E19" i="8"/>
  <c r="E20" i="8"/>
  <c r="E21" i="8"/>
  <c r="E22" i="8"/>
  <c r="E15" i="8"/>
  <c r="AM56" i="13"/>
  <c r="AS56" i="13" s="1"/>
  <c r="AO56" i="13"/>
  <c r="AQ56" i="13"/>
  <c r="AM57" i="13"/>
  <c r="AS57" i="13" s="1"/>
  <c r="AO57" i="13"/>
  <c r="AQ57" i="13"/>
  <c r="AM58" i="13"/>
  <c r="AO58" i="13"/>
  <c r="AQ58" i="13"/>
  <c r="AS58" i="13"/>
  <c r="AM59" i="13"/>
  <c r="AS59" i="13" s="1"/>
  <c r="AO59" i="13"/>
  <c r="AQ59" i="13"/>
  <c r="AM60" i="13"/>
  <c r="AO60" i="13"/>
  <c r="AS60" i="13" s="1"/>
  <c r="AQ60" i="13"/>
  <c r="AM61" i="13"/>
  <c r="AS61" i="13" s="1"/>
  <c r="AO61" i="13"/>
  <c r="AQ61" i="13"/>
  <c r="AM62" i="13"/>
  <c r="AO62" i="13"/>
  <c r="AS62" i="13" s="1"/>
  <c r="AQ62" i="13"/>
  <c r="AM63" i="13"/>
  <c r="AS63" i="13" s="1"/>
  <c r="AO63" i="13"/>
  <c r="AQ63" i="13"/>
  <c r="AM64" i="13"/>
  <c r="AS64" i="13" s="1"/>
  <c r="AO64" i="13"/>
  <c r="AQ64" i="13"/>
  <c r="AM65" i="13"/>
  <c r="AS65" i="13" s="1"/>
  <c r="AO65" i="13"/>
  <c r="AQ65" i="13"/>
  <c r="AM66" i="13"/>
  <c r="AO66" i="13"/>
  <c r="AQ66" i="13"/>
  <c r="AS66" i="13"/>
  <c r="AM67" i="13"/>
  <c r="AS67" i="13" s="1"/>
  <c r="AO67" i="13"/>
  <c r="AQ67" i="13"/>
  <c r="AM68" i="13"/>
  <c r="AO68" i="13"/>
  <c r="AS68" i="13" s="1"/>
  <c r="AQ68" i="13"/>
  <c r="AM69" i="13"/>
  <c r="AS69" i="13" s="1"/>
  <c r="AO69" i="13"/>
  <c r="AQ69" i="13"/>
  <c r="AM70" i="13"/>
  <c r="AS70" i="13" s="1"/>
  <c r="AO70" i="13"/>
  <c r="AQ70" i="13"/>
  <c r="AM71" i="13"/>
  <c r="AS71" i="13" s="1"/>
  <c r="AO71" i="13"/>
  <c r="AQ71" i="13"/>
  <c r="AM72" i="13"/>
  <c r="AS72" i="13" s="1"/>
  <c r="AO72" i="13"/>
  <c r="AQ72" i="13"/>
  <c r="C24" i="3" l="1"/>
  <c r="D24" i="3"/>
  <c r="F24" i="3"/>
  <c r="C29" i="3"/>
  <c r="D29" i="3"/>
  <c r="F29" i="3"/>
  <c r="A7" i="3" a="1"/>
  <c r="A7" i="3" s="1"/>
  <c r="C20" i="3" l="1"/>
  <c r="C21" i="3"/>
  <c r="C22" i="3"/>
  <c r="C23" i="3"/>
  <c r="C25" i="3"/>
  <c r="C26" i="3"/>
  <c r="C27" i="3"/>
  <c r="C28" i="3"/>
  <c r="C30" i="3"/>
  <c r="C31" i="3"/>
  <c r="C32" i="3"/>
  <c r="C33" i="3"/>
  <c r="C34" i="3"/>
  <c r="C35" i="3"/>
  <c r="C36" i="3"/>
  <c r="C37" i="3"/>
  <c r="C38" i="3"/>
  <c r="F19" i="3"/>
  <c r="F20" i="3"/>
  <c r="F21" i="3"/>
  <c r="F22" i="3"/>
  <c r="F23" i="3"/>
  <c r="F25" i="3"/>
  <c r="F26" i="3"/>
  <c r="F27" i="3"/>
  <c r="F28" i="3"/>
  <c r="F30" i="3"/>
  <c r="F31" i="3"/>
  <c r="F32" i="3"/>
  <c r="F33" i="3"/>
  <c r="F34" i="3"/>
  <c r="F35" i="3"/>
  <c r="F36" i="3"/>
  <c r="F37" i="3"/>
  <c r="F38" i="3"/>
  <c r="F9" i="3"/>
  <c r="F10" i="3"/>
  <c r="F11" i="3"/>
  <c r="F12" i="3"/>
  <c r="F13" i="3"/>
  <c r="F14" i="3"/>
  <c r="F15" i="3"/>
  <c r="F16" i="3"/>
  <c r="F17" i="3"/>
  <c r="F18" i="3"/>
  <c r="F8" i="3"/>
  <c r="F7" i="3"/>
  <c r="D21" i="3"/>
  <c r="D22" i="3"/>
  <c r="D23" i="3"/>
  <c r="D25" i="3"/>
  <c r="D26" i="3"/>
  <c r="D27" i="3"/>
  <c r="D28" i="3"/>
  <c r="D30" i="3"/>
  <c r="D31" i="3"/>
  <c r="D32" i="3"/>
  <c r="D33" i="3"/>
  <c r="D34" i="3"/>
  <c r="D35" i="3"/>
  <c r="D36" i="3"/>
  <c r="D37" i="3"/>
  <c r="D38" i="3"/>
  <c r="D19" i="3"/>
  <c r="D20" i="3"/>
  <c r="D9" i="3"/>
  <c r="D10" i="3"/>
  <c r="D11" i="3"/>
  <c r="D12" i="3"/>
  <c r="D13" i="3"/>
  <c r="D14" i="3"/>
  <c r="D15" i="3"/>
  <c r="D16" i="3"/>
  <c r="D17" i="3"/>
  <c r="D18" i="3"/>
  <c r="D8" i="3"/>
  <c r="D7" i="3"/>
  <c r="C9" i="3"/>
  <c r="C10" i="3"/>
  <c r="C11" i="3"/>
  <c r="C12" i="3"/>
  <c r="C13" i="3"/>
  <c r="C14" i="3"/>
  <c r="C15" i="3"/>
  <c r="C16" i="3"/>
  <c r="C17" i="3"/>
  <c r="C18" i="3"/>
  <c r="C19" i="3"/>
  <c r="C8" i="3"/>
  <c r="C7" i="3"/>
  <c r="AQ55" i="13" l="1"/>
  <c r="AO55" i="13"/>
  <c r="AM55" i="13"/>
  <c r="AS55" i="13" s="1"/>
  <c r="AQ54" i="13"/>
  <c r="AO54" i="13"/>
  <c r="AM54" i="13"/>
  <c r="AS54" i="13" s="1"/>
  <c r="AQ53" i="13"/>
  <c r="AO53" i="13"/>
  <c r="AM53" i="13"/>
  <c r="AS53" i="13" s="1"/>
  <c r="AQ52" i="13"/>
  <c r="AO52" i="13"/>
  <c r="AM52" i="13"/>
  <c r="AS52" i="13" s="1"/>
  <c r="AQ51" i="13"/>
  <c r="AO51" i="13"/>
  <c r="AM51" i="13"/>
  <c r="AQ50" i="13"/>
  <c r="AO50" i="13"/>
  <c r="AM50" i="13"/>
  <c r="AS50" i="13" s="1"/>
  <c r="AQ49" i="13"/>
  <c r="AO49" i="13"/>
  <c r="AM49" i="13"/>
  <c r="AQ48" i="13"/>
  <c r="AO48" i="13"/>
  <c r="AM48" i="13"/>
  <c r="AS48" i="13" s="1"/>
  <c r="AQ47" i="13"/>
  <c r="AO47" i="13"/>
  <c r="AM47" i="13"/>
  <c r="AQ46" i="13"/>
  <c r="AO46" i="13"/>
  <c r="AM46" i="13"/>
  <c r="AQ45" i="13"/>
  <c r="AO45" i="13"/>
  <c r="AM45" i="13"/>
  <c r="AS45" i="13" s="1"/>
  <c r="AQ44" i="13"/>
  <c r="AO44" i="13"/>
  <c r="AM44" i="13"/>
  <c r="AQ43" i="13"/>
  <c r="AO43" i="13"/>
  <c r="AM43" i="13"/>
  <c r="AS43" i="13" s="1"/>
  <c r="AQ42" i="13"/>
  <c r="AO42" i="13"/>
  <c r="AM42" i="13"/>
  <c r="AQ41" i="13"/>
  <c r="AO41" i="13"/>
  <c r="AM41" i="13"/>
  <c r="AS41" i="13" s="1"/>
  <c r="AQ40" i="13"/>
  <c r="AO40" i="13"/>
  <c r="AM40" i="13"/>
  <c r="AQ39" i="13"/>
  <c r="AO39" i="13"/>
  <c r="AM39" i="13"/>
  <c r="AS39" i="13" s="1"/>
  <c r="AQ38" i="13"/>
  <c r="AO38" i="13"/>
  <c r="AM38" i="13"/>
  <c r="AS38" i="13" s="1"/>
  <c r="AQ37" i="13"/>
  <c r="AO37" i="13"/>
  <c r="AM37" i="13"/>
  <c r="AQ36" i="13"/>
  <c r="AO36" i="13"/>
  <c r="AM36" i="13"/>
  <c r="AQ35" i="13"/>
  <c r="AO35" i="13"/>
  <c r="AM35" i="13"/>
  <c r="AS35" i="13" s="1"/>
  <c r="AQ34" i="13"/>
  <c r="AO34" i="13"/>
  <c r="AM34" i="13"/>
  <c r="AQ33" i="13"/>
  <c r="AO33" i="13"/>
  <c r="AM33" i="13"/>
  <c r="AS33" i="13" s="1"/>
  <c r="AQ32" i="13"/>
  <c r="AO32" i="13"/>
  <c r="AM32" i="13"/>
  <c r="AQ31" i="13"/>
  <c r="AO31" i="13"/>
  <c r="AM31" i="13"/>
  <c r="AQ30" i="13"/>
  <c r="AO30" i="13"/>
  <c r="AM30" i="13"/>
  <c r="AS30" i="13" s="1"/>
  <c r="AQ29" i="13"/>
  <c r="AO29" i="13"/>
  <c r="AM29" i="13"/>
  <c r="AQ28" i="13"/>
  <c r="AO28" i="13"/>
  <c r="AM28" i="13"/>
  <c r="AQ27" i="13"/>
  <c r="AO27" i="13"/>
  <c r="AM27" i="13"/>
  <c r="AQ26" i="13"/>
  <c r="AO26" i="13"/>
  <c r="AM26" i="13"/>
  <c r="AQ25" i="13"/>
  <c r="AO25" i="13"/>
  <c r="AM25" i="13"/>
  <c r="AQ24" i="13"/>
  <c r="AO24" i="13"/>
  <c r="AM24" i="13"/>
  <c r="AS24" i="13" s="1"/>
  <c r="AS22" i="13"/>
  <c r="AQ22" i="13"/>
  <c r="AO22" i="13"/>
  <c r="AM22" i="13"/>
  <c r="AQ21" i="13"/>
  <c r="AO21" i="13"/>
  <c r="AM21" i="13"/>
  <c r="AQ20" i="13"/>
  <c r="AO20" i="13"/>
  <c r="AM20" i="13"/>
  <c r="AQ19" i="13"/>
  <c r="AO19" i="13"/>
  <c r="AM19" i="13"/>
  <c r="AQ18" i="13"/>
  <c r="AO18" i="13"/>
  <c r="AM18" i="13"/>
  <c r="AS18" i="13" s="1"/>
  <c r="AQ17" i="13"/>
  <c r="AO17" i="13"/>
  <c r="AM17" i="13"/>
  <c r="AS17" i="13" s="1"/>
  <c r="AQ16" i="13"/>
  <c r="AO16" i="13"/>
  <c r="AM16" i="13"/>
  <c r="AQ15" i="13"/>
  <c r="AO15" i="13"/>
  <c r="AM15" i="13"/>
  <c r="AS15" i="13" s="1"/>
  <c r="G8" i="13"/>
  <c r="G13" i="13" s="1"/>
  <c r="AG5" i="13"/>
  <c r="AD5" i="13"/>
  <c r="V5" i="13"/>
  <c r="AM55" i="12"/>
  <c r="AS55" i="12" s="1"/>
  <c r="AO55" i="12"/>
  <c r="AQ55" i="12"/>
  <c r="G8" i="12"/>
  <c r="AS26" i="13" l="1"/>
  <c r="AS51" i="13"/>
  <c r="AS21" i="13"/>
  <c r="AS44" i="13"/>
  <c r="AS31" i="13"/>
  <c r="AS47" i="13"/>
  <c r="AS37" i="13"/>
  <c r="AS27" i="13"/>
  <c r="AS20" i="13"/>
  <c r="AS16" i="13"/>
  <c r="AS28" i="13"/>
  <c r="AS32" i="13"/>
  <c r="AS34" i="13"/>
  <c r="AS49" i="13"/>
  <c r="AS25" i="13"/>
  <c r="AS36" i="13"/>
  <c r="AS40" i="13"/>
  <c r="AS42" i="13"/>
  <c r="AS19" i="13"/>
  <c r="AS29" i="13"/>
  <c r="AS46" i="13"/>
  <c r="H8" i="13"/>
  <c r="H13" i="13" s="1"/>
  <c r="AM52" i="12"/>
  <c r="AS52" i="12" s="1"/>
  <c r="AO52" i="12"/>
  <c r="AQ52" i="12"/>
  <c r="AM53" i="12"/>
  <c r="AS53" i="12" s="1"/>
  <c r="AO53" i="12"/>
  <c r="AQ53" i="12"/>
  <c r="AM54" i="12"/>
  <c r="AS54" i="12" s="1"/>
  <c r="AO54" i="12"/>
  <c r="AQ54" i="12"/>
  <c r="AM24" i="12"/>
  <c r="AO24" i="12"/>
  <c r="AQ24" i="12"/>
  <c r="AM25" i="12"/>
  <c r="AO25" i="12"/>
  <c r="AQ25" i="12"/>
  <c r="AM26" i="12"/>
  <c r="AO26" i="12"/>
  <c r="AQ26" i="12"/>
  <c r="AM27" i="12"/>
  <c r="AO27" i="12"/>
  <c r="AQ27" i="12"/>
  <c r="AM28" i="12"/>
  <c r="AO28" i="12"/>
  <c r="AQ28" i="12"/>
  <c r="AM29" i="12"/>
  <c r="AO29" i="12"/>
  <c r="AQ29" i="12"/>
  <c r="AM30" i="12"/>
  <c r="AO30" i="12"/>
  <c r="AQ30" i="12"/>
  <c r="AM31" i="12"/>
  <c r="AS31" i="12" s="1"/>
  <c r="AO31" i="12"/>
  <c r="AQ31" i="12"/>
  <c r="AM32" i="12"/>
  <c r="AO32" i="12"/>
  <c r="AQ32" i="12"/>
  <c r="AM33" i="12"/>
  <c r="AO33" i="12"/>
  <c r="AQ33" i="12"/>
  <c r="AM34" i="12"/>
  <c r="AO34" i="12"/>
  <c r="AQ34" i="12"/>
  <c r="AM35" i="12"/>
  <c r="AO35" i="12"/>
  <c r="AQ35" i="12"/>
  <c r="AM36" i="12"/>
  <c r="AO36" i="12"/>
  <c r="AQ36" i="12"/>
  <c r="AM37" i="12"/>
  <c r="AS37" i="12" s="1"/>
  <c r="AO37" i="12"/>
  <c r="AQ37" i="12"/>
  <c r="AM38" i="12"/>
  <c r="AO38" i="12"/>
  <c r="AQ38" i="12"/>
  <c r="AM39" i="12"/>
  <c r="AO39" i="12"/>
  <c r="AQ39" i="12"/>
  <c r="AM40" i="12"/>
  <c r="AO40" i="12"/>
  <c r="AQ40" i="12"/>
  <c r="AM41" i="12"/>
  <c r="AO41" i="12"/>
  <c r="AQ41" i="12"/>
  <c r="AM42" i="12"/>
  <c r="AO42" i="12"/>
  <c r="AQ42" i="12"/>
  <c r="AM43" i="12"/>
  <c r="AS43" i="12" s="1"/>
  <c r="AO43" i="12"/>
  <c r="AQ43" i="12"/>
  <c r="AM44" i="12"/>
  <c r="AS44" i="12" s="1"/>
  <c r="AO44" i="12"/>
  <c r="AQ44" i="12"/>
  <c r="AM45" i="12"/>
  <c r="AS45" i="12" s="1"/>
  <c r="AO45" i="12"/>
  <c r="AQ45" i="12"/>
  <c r="AM46" i="12"/>
  <c r="AO46" i="12"/>
  <c r="AQ46" i="12"/>
  <c r="AM47" i="12"/>
  <c r="AS47" i="12" s="1"/>
  <c r="AO47" i="12"/>
  <c r="AQ47" i="12"/>
  <c r="AM48" i="12"/>
  <c r="AO48" i="12"/>
  <c r="AQ48" i="12"/>
  <c r="AM49" i="12"/>
  <c r="AS49" i="12" s="1"/>
  <c r="AO49" i="12"/>
  <c r="AQ49" i="12"/>
  <c r="AM50" i="12"/>
  <c r="AO50" i="12"/>
  <c r="AQ50" i="12"/>
  <c r="AM51" i="12"/>
  <c r="AS51" i="12" s="1"/>
  <c r="AO51" i="12"/>
  <c r="AQ51" i="12"/>
  <c r="AM15" i="12"/>
  <c r="AS15" i="12" s="1"/>
  <c r="AO15" i="12"/>
  <c r="AQ15" i="12"/>
  <c r="AM16" i="12"/>
  <c r="AO16" i="12"/>
  <c r="AQ16" i="12"/>
  <c r="AM17" i="12"/>
  <c r="AO17" i="12"/>
  <c r="AQ17" i="12"/>
  <c r="AM18" i="12"/>
  <c r="AO18" i="12"/>
  <c r="AQ18" i="12"/>
  <c r="AM19" i="12"/>
  <c r="AS19" i="12" s="1"/>
  <c r="AO19" i="12"/>
  <c r="AQ19" i="12"/>
  <c r="AM20" i="12"/>
  <c r="AO20" i="12"/>
  <c r="AQ20" i="12"/>
  <c r="AM21" i="12"/>
  <c r="AO21" i="12"/>
  <c r="AQ21" i="12"/>
  <c r="AM22" i="12"/>
  <c r="AO22" i="12"/>
  <c r="AQ22" i="12"/>
  <c r="AS22" i="12"/>
  <c r="G13" i="12"/>
  <c r="H8" i="12"/>
  <c r="H13" i="12" s="1"/>
  <c r="I8" i="12"/>
  <c r="J8" i="12" s="1"/>
  <c r="AG5" i="12"/>
  <c r="AD5" i="12"/>
  <c r="V5" i="12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17" i="10"/>
  <c r="D6" i="10"/>
  <c r="D7" i="10"/>
  <c r="D8" i="10"/>
  <c r="D9" i="10"/>
  <c r="D10" i="10"/>
  <c r="D11" i="10"/>
  <c r="D12" i="10"/>
  <c r="D13" i="10"/>
  <c r="D14" i="10"/>
  <c r="D5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17" i="10"/>
  <c r="C6" i="10"/>
  <c r="C7" i="10"/>
  <c r="C8" i="10"/>
  <c r="C9" i="10"/>
  <c r="C10" i="10"/>
  <c r="C11" i="10"/>
  <c r="C12" i="10"/>
  <c r="C13" i="10"/>
  <c r="C14" i="10"/>
  <c r="C5" i="10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AM40" i="8"/>
  <c r="AO40" i="8"/>
  <c r="AQ40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M21" i="8"/>
  <c r="AO21" i="8"/>
  <c r="AQ21" i="8"/>
  <c r="AS21" i="8"/>
  <c r="AS22" i="8"/>
  <c r="AQ16" i="8"/>
  <c r="AQ17" i="8"/>
  <c r="AQ18" i="8"/>
  <c r="AQ19" i="8"/>
  <c r="AQ20" i="8"/>
  <c r="AQ22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1" i="8"/>
  <c r="AQ42" i="8"/>
  <c r="AQ43" i="8"/>
  <c r="AQ44" i="8"/>
  <c r="AQ45" i="8"/>
  <c r="AQ46" i="8"/>
  <c r="AQ47" i="8"/>
  <c r="AQ48" i="8"/>
  <c r="AQ49" i="8"/>
  <c r="AQ50" i="8"/>
  <c r="AQ51" i="8"/>
  <c r="AO16" i="8"/>
  <c r="AO17" i="8"/>
  <c r="AO18" i="8"/>
  <c r="AO19" i="8"/>
  <c r="AO20" i="8"/>
  <c r="AO22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1" i="8"/>
  <c r="AO42" i="8"/>
  <c r="AO43" i="8"/>
  <c r="AO44" i="8"/>
  <c r="AO45" i="8"/>
  <c r="AO46" i="8"/>
  <c r="AO47" i="8"/>
  <c r="AO48" i="8"/>
  <c r="AO49" i="8"/>
  <c r="AO50" i="8"/>
  <c r="AO51" i="8"/>
  <c r="AM16" i="8"/>
  <c r="AM17" i="8"/>
  <c r="AM18" i="8"/>
  <c r="AM19" i="8"/>
  <c r="AM20" i="8"/>
  <c r="AM22" i="8"/>
  <c r="AM24" i="8"/>
  <c r="AM25" i="8"/>
  <c r="AM26" i="8"/>
  <c r="AS26" i="8"/>
  <c r="AM27" i="8"/>
  <c r="AM28" i="8"/>
  <c r="AM29" i="8"/>
  <c r="AM30" i="8"/>
  <c r="AM31" i="8"/>
  <c r="AS31" i="8"/>
  <c r="AM32" i="8"/>
  <c r="AM33" i="8"/>
  <c r="AS33" i="8"/>
  <c r="AM34" i="8"/>
  <c r="AS34" i="8"/>
  <c r="AM35" i="8"/>
  <c r="AS35" i="8"/>
  <c r="AM36" i="8"/>
  <c r="AS36" i="8"/>
  <c r="AM37" i="8"/>
  <c r="AM38" i="8"/>
  <c r="AM39" i="8"/>
  <c r="AM41" i="8"/>
  <c r="AM42" i="8"/>
  <c r="AM43" i="8"/>
  <c r="AM44" i="8"/>
  <c r="AM45" i="8"/>
  <c r="AM46" i="8"/>
  <c r="AM47" i="8"/>
  <c r="AM48" i="8"/>
  <c r="AM49" i="8"/>
  <c r="AM50" i="8"/>
  <c r="AM51" i="8"/>
  <c r="AQ15" i="8"/>
  <c r="AO15" i="8"/>
  <c r="AM15" i="8"/>
  <c r="AS37" i="8"/>
  <c r="AS38" i="8"/>
  <c r="AS39" i="8"/>
  <c r="AS20" i="8"/>
  <c r="AS32" i="8"/>
  <c r="AS27" i="8"/>
  <c r="AS25" i="8"/>
  <c r="AS30" i="8"/>
  <c r="AS29" i="8"/>
  <c r="AS28" i="8"/>
  <c r="AS24" i="8"/>
  <c r="AS17" i="8"/>
  <c r="AS19" i="8"/>
  <c r="AS18" i="8"/>
  <c r="AS16" i="8"/>
  <c r="AS15" i="8"/>
  <c r="G8" i="8"/>
  <c r="H8" i="8"/>
  <c r="AG5" i="8"/>
  <c r="AD5" i="8"/>
  <c r="V5" i="8"/>
  <c r="B12" i="7" a="1"/>
  <c r="B12" i="7" s="1"/>
  <c r="B10" i="7" a="1"/>
  <c r="B10" i="7"/>
  <c r="B6" i="7" a="1"/>
  <c r="B6" i="7" s="1"/>
  <c r="B5" i="7" a="1"/>
  <c r="B5" i="7"/>
  <c r="B4" i="7" a="1"/>
  <c r="B4" i="7" s="1"/>
  <c r="B3" i="7" a="1"/>
  <c r="B3" i="7"/>
  <c r="AG5" i="6"/>
  <c r="AD5" i="6"/>
  <c r="V5" i="6"/>
  <c r="G8" i="6"/>
  <c r="G13" i="6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C9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37" i="1"/>
  <c r="A38" i="1"/>
  <c r="A39" i="1"/>
  <c r="A30" i="1"/>
  <c r="A31" i="1"/>
  <c r="A32" i="1"/>
  <c r="A22" i="1"/>
  <c r="A9" i="1"/>
  <c r="A10" i="1"/>
  <c r="A11" i="1"/>
  <c r="A12" i="1"/>
  <c r="A13" i="1"/>
  <c r="A14" i="1"/>
  <c r="A15" i="1"/>
  <c r="A16" i="1"/>
  <c r="A17" i="1"/>
  <c r="A18" i="1"/>
  <c r="A19" i="1"/>
  <c r="A20" i="1"/>
  <c r="H13" i="8"/>
  <c r="I8" i="8"/>
  <c r="G13" i="8"/>
  <c r="H8" i="6"/>
  <c r="I13" i="8"/>
  <c r="J8" i="8"/>
  <c r="I8" i="6"/>
  <c r="H13" i="6"/>
  <c r="J13" i="8"/>
  <c r="K8" i="8"/>
  <c r="J8" i="6"/>
  <c r="I13" i="6"/>
  <c r="K13" i="8"/>
  <c r="L8" i="8"/>
  <c r="K8" i="6"/>
  <c r="J13" i="6"/>
  <c r="M8" i="8"/>
  <c r="L13" i="8"/>
  <c r="L8" i="6"/>
  <c r="K13" i="6"/>
  <c r="N8" i="8"/>
  <c r="M13" i="8"/>
  <c r="M8" i="6"/>
  <c r="L13" i="6"/>
  <c r="O8" i="8"/>
  <c r="N13" i="8"/>
  <c r="N8" i="6"/>
  <c r="M13" i="6"/>
  <c r="P8" i="8"/>
  <c r="O13" i="8"/>
  <c r="O8" i="6"/>
  <c r="N13" i="6"/>
  <c r="P13" i="8"/>
  <c r="Q8" i="8"/>
  <c r="P8" i="6"/>
  <c r="O13" i="6"/>
  <c r="Q13" i="8"/>
  <c r="R8" i="8"/>
  <c r="Q8" i="6"/>
  <c r="P13" i="6"/>
  <c r="R13" i="8"/>
  <c r="S8" i="8"/>
  <c r="R8" i="6"/>
  <c r="Q13" i="6"/>
  <c r="S13" i="8"/>
  <c r="T8" i="8"/>
  <c r="S8" i="6"/>
  <c r="R13" i="6"/>
  <c r="U8" i="8"/>
  <c r="T13" i="8"/>
  <c r="T8" i="6"/>
  <c r="S13" i="6"/>
  <c r="V8" i="8"/>
  <c r="U13" i="8"/>
  <c r="U8" i="6"/>
  <c r="T13" i="6"/>
  <c r="W8" i="8"/>
  <c r="V13" i="8"/>
  <c r="V8" i="6"/>
  <c r="U13" i="6"/>
  <c r="X8" i="8"/>
  <c r="W13" i="8"/>
  <c r="W8" i="6"/>
  <c r="V13" i="6"/>
  <c r="X13" i="8"/>
  <c r="Y8" i="8"/>
  <c r="X8" i="6"/>
  <c r="W13" i="6"/>
  <c r="Y13" i="8"/>
  <c r="Z8" i="8"/>
  <c r="Y8" i="6"/>
  <c r="X13" i="6"/>
  <c r="Z13" i="8"/>
  <c r="AA8" i="8"/>
  <c r="Z8" i="6"/>
  <c r="Y13" i="6"/>
  <c r="AA13" i="8"/>
  <c r="AB8" i="8"/>
  <c r="AA8" i="6"/>
  <c r="Z13" i="6"/>
  <c r="AC8" i="8"/>
  <c r="AB13" i="8"/>
  <c r="AB8" i="6"/>
  <c r="AA13" i="6"/>
  <c r="AD8" i="8"/>
  <c r="AC13" i="8"/>
  <c r="AC8" i="6"/>
  <c r="AB13" i="6"/>
  <c r="AE8" i="8"/>
  <c r="AD13" i="8"/>
  <c r="AD8" i="6"/>
  <c r="AC13" i="6"/>
  <c r="AF8" i="8"/>
  <c r="AE13" i="8"/>
  <c r="AE8" i="6"/>
  <c r="AD13" i="6"/>
  <c r="AF13" i="8"/>
  <c r="AG8" i="8"/>
  <c r="AF8" i="6"/>
  <c r="AE13" i="6"/>
  <c r="AG13" i="8"/>
  <c r="AH8" i="8"/>
  <c r="AG8" i="6"/>
  <c r="AF13" i="6"/>
  <c r="AH13" i="8"/>
  <c r="AI8" i="8"/>
  <c r="AH8" i="6"/>
  <c r="AG13" i="6"/>
  <c r="AI13" i="8"/>
  <c r="AJ8" i="8"/>
  <c r="AI8" i="6"/>
  <c r="AH13" i="6"/>
  <c r="AK8" i="8"/>
  <c r="AJ13" i="8"/>
  <c r="AJ8" i="6"/>
  <c r="AI13" i="6"/>
  <c r="AK13" i="8"/>
  <c r="AK8" i="6"/>
  <c r="AJ13" i="6"/>
  <c r="AK13" i="6"/>
  <c r="AM50" i="6" a="1"/>
  <c r="AM50" i="6" s="1"/>
  <c r="AM26" i="6" a="1"/>
  <c r="AM26" i="6" s="1"/>
  <c r="AM28" i="6" a="1"/>
  <c r="AM28" i="6" s="1"/>
  <c r="AM35" i="6" a="1"/>
  <c r="AM35" i="6" s="1"/>
  <c r="AM23" i="6" a="1"/>
  <c r="AM23" i="6" s="1"/>
  <c r="AO40" i="6" a="1"/>
  <c r="AO40" i="6" s="1"/>
  <c r="AM18" i="6" a="1"/>
  <c r="AM18" i="6" s="1"/>
  <c r="AM30" i="6" a="1"/>
  <c r="AM30" i="6" s="1"/>
  <c r="AO44" i="6" a="1"/>
  <c r="AO44" i="6" s="1"/>
  <c r="AO49" i="6" a="1"/>
  <c r="AO49" i="6" s="1"/>
  <c r="AO38" i="6" a="1"/>
  <c r="AO38" i="6" s="1"/>
  <c r="AO33" i="6" a="1"/>
  <c r="AO33" i="6" s="1"/>
  <c r="AM44" i="6" a="1"/>
  <c r="AM44" i="6" s="1"/>
  <c r="AO28" i="6" a="1"/>
  <c r="AO28" i="6" s="1"/>
  <c r="AM40" i="6" a="1"/>
  <c r="AM40" i="6" s="1"/>
  <c r="AO42" i="6" a="1"/>
  <c r="AO42" i="6" s="1"/>
  <c r="AM38" i="6" a="1"/>
  <c r="AM38" i="6" s="1"/>
  <c r="AM32" i="6" a="1"/>
  <c r="AM32" i="6" s="1"/>
  <c r="AO32" i="6" a="1"/>
  <c r="AO32" i="6" s="1"/>
  <c r="AO39" i="6" a="1"/>
  <c r="AO39" i="6" s="1"/>
  <c r="AO18" i="6" a="1"/>
  <c r="AO18" i="6" s="1"/>
  <c r="AM46" i="6" a="1"/>
  <c r="AM46" i="6" s="1"/>
  <c r="AM49" i="6" a="1"/>
  <c r="AM49" i="6" s="1"/>
  <c r="AM42" i="6" a="1"/>
  <c r="AM42" i="6" s="1"/>
  <c r="AO31" i="6" a="1"/>
  <c r="AO31" i="6" s="1"/>
  <c r="AO29" i="6" a="1"/>
  <c r="AO29" i="6" s="1"/>
  <c r="AM51" i="6" a="1"/>
  <c r="AM51" i="6" s="1"/>
  <c r="AM25" i="6" a="1"/>
  <c r="AM25" i="6" s="1"/>
  <c r="AM47" i="6" a="1"/>
  <c r="AM47" i="6" s="1"/>
  <c r="AO20" i="6" a="1"/>
  <c r="AO20" i="6" s="1"/>
  <c r="AM39" i="6" a="1"/>
  <c r="AM39" i="6" s="1"/>
  <c r="AM24" i="6" a="1"/>
  <c r="AM24" i="6" s="1"/>
  <c r="AO19" i="6" a="1"/>
  <c r="AO19" i="6" s="1"/>
  <c r="AM17" i="6" a="1"/>
  <c r="AM17" i="6" s="1"/>
  <c r="AM22" i="6" a="1"/>
  <c r="AM22" i="6" s="1"/>
  <c r="AO37" i="6" a="1"/>
  <c r="AO37" i="6" s="1"/>
  <c r="AO17" i="6" a="1"/>
  <c r="AO17" i="6" s="1"/>
  <c r="AO25" i="6" a="1"/>
  <c r="AO25" i="6" s="1"/>
  <c r="AM36" i="6" a="1"/>
  <c r="AM36" i="6" s="1"/>
  <c r="AO46" i="6" a="1"/>
  <c r="AO46" i="6" s="1"/>
  <c r="AO35" i="6" a="1"/>
  <c r="AO35" i="6" s="1"/>
  <c r="AO24" i="6" a="1"/>
  <c r="AO24" i="6" s="1"/>
  <c r="AM33" i="6" a="1"/>
  <c r="AM33" i="6" s="1"/>
  <c r="AO21" i="6" a="1"/>
  <c r="AO21" i="6" s="1"/>
  <c r="AO22" i="6" a="1"/>
  <c r="AO22" i="6" s="1"/>
  <c r="AM21" i="6" a="1"/>
  <c r="AM21" i="6" s="1"/>
  <c r="AO26" i="6" a="1"/>
  <c r="AO26" i="6" s="1"/>
  <c r="AM27" i="6" a="1"/>
  <c r="AM27" i="6" s="1"/>
  <c r="AO43" i="6" a="1"/>
  <c r="AO43" i="6" s="1"/>
  <c r="AO41" i="6" a="1"/>
  <c r="AO41" i="6" s="1"/>
  <c r="AO48" i="6" a="1"/>
  <c r="AO48" i="6" s="1"/>
  <c r="AM19" i="6" a="1"/>
  <c r="AM19" i="6" s="1"/>
  <c r="AO36" i="6" a="1"/>
  <c r="AO36" i="6" s="1"/>
  <c r="AM43" i="6" a="1"/>
  <c r="AM43" i="6" s="1"/>
  <c r="AM41" i="6" a="1"/>
  <c r="AM41" i="6" s="1"/>
  <c r="AM29" i="6" a="1"/>
  <c r="AM29" i="6" s="1"/>
  <c r="AO47" i="6" a="1"/>
  <c r="AO47" i="6" s="1"/>
  <c r="AO27" i="6" a="1"/>
  <c r="AO27" i="6" s="1"/>
  <c r="AM45" i="6" a="1"/>
  <c r="AM45" i="6" s="1"/>
  <c r="AO50" i="6" a="1"/>
  <c r="AO50" i="6" s="1"/>
  <c r="AM16" i="6" a="1"/>
  <c r="AM16" i="6" s="1"/>
  <c r="AO15" i="6" a="1"/>
  <c r="AO15" i="6" s="1"/>
  <c r="AM48" i="6" a="1"/>
  <c r="AM48" i="6" s="1"/>
  <c r="AO45" i="6" a="1"/>
  <c r="AO45" i="6" s="1"/>
  <c r="AO23" i="6" a="1"/>
  <c r="AO23" i="6" s="1"/>
  <c r="AO16" i="6" a="1"/>
  <c r="AO16" i="6" s="1"/>
  <c r="AM37" i="6" a="1"/>
  <c r="AM37" i="6" s="1"/>
  <c r="AM20" i="6" a="1"/>
  <c r="AM20" i="6" s="1"/>
  <c r="AO30" i="6" a="1"/>
  <c r="AO30" i="6" s="1"/>
  <c r="AO34" i="6" a="1"/>
  <c r="AO34" i="6" s="1"/>
  <c r="AO51" i="6" a="1"/>
  <c r="AO51" i="6" s="1"/>
  <c r="AM15" i="6" a="1"/>
  <c r="AM15" i="6" s="1"/>
  <c r="AM34" i="6" a="1"/>
  <c r="AM34" i="6" s="1"/>
  <c r="AM31" i="6" a="1"/>
  <c r="AM31" i="6" s="1"/>
  <c r="I13" i="12"/>
  <c r="I8" i="13" l="1"/>
  <c r="J8" i="13" s="1"/>
  <c r="I13" i="13"/>
  <c r="AS39" i="12"/>
  <c r="AS17" i="12"/>
  <c r="AS16" i="12"/>
  <c r="AS42" i="12"/>
  <c r="AS41" i="12"/>
  <c r="AS40" i="12"/>
  <c r="AS38" i="12"/>
  <c r="AS30" i="12"/>
  <c r="AS29" i="12"/>
  <c r="AS28" i="12"/>
  <c r="AS26" i="12"/>
  <c r="AS24" i="12"/>
  <c r="AS21" i="12"/>
  <c r="AS18" i="12"/>
  <c r="K8" i="12"/>
  <c r="J13" i="12"/>
  <c r="AS50" i="12"/>
  <c r="AS48" i="12"/>
  <c r="AS46" i="12"/>
  <c r="AS36" i="12"/>
  <c r="AS35" i="12"/>
  <c r="AS34" i="12"/>
  <c r="AS33" i="12"/>
  <c r="AS32" i="12"/>
  <c r="AS27" i="12"/>
  <c r="AS25" i="12"/>
  <c r="AS20" i="12"/>
  <c r="K8" i="13" l="1"/>
  <c r="J13" i="13"/>
  <c r="L8" i="12"/>
  <c r="K13" i="12"/>
  <c r="L8" i="13" l="1"/>
  <c r="K13" i="13"/>
  <c r="M8" i="12"/>
  <c r="L13" i="12"/>
  <c r="L13" i="13" l="1"/>
  <c r="M8" i="13"/>
  <c r="M13" i="12"/>
  <c r="N8" i="12"/>
  <c r="M13" i="13" l="1"/>
  <c r="N8" i="13"/>
  <c r="O8" i="12"/>
  <c r="N13" i="12"/>
  <c r="O8" i="13" l="1"/>
  <c r="N13" i="13"/>
  <c r="O13" i="12"/>
  <c r="P8" i="12"/>
  <c r="O13" i="13" l="1"/>
  <c r="P8" i="13"/>
  <c r="P13" i="12"/>
  <c r="Q8" i="12"/>
  <c r="Q8" i="13" l="1"/>
  <c r="P13" i="13"/>
  <c r="Q13" i="12"/>
  <c r="R8" i="12"/>
  <c r="R8" i="13" l="1"/>
  <c r="Q13" i="13"/>
  <c r="S8" i="12"/>
  <c r="R13" i="12"/>
  <c r="S8" i="13" l="1"/>
  <c r="R13" i="13"/>
  <c r="T8" i="12"/>
  <c r="S13" i="12"/>
  <c r="T8" i="13" l="1"/>
  <c r="S13" i="13"/>
  <c r="U8" i="12"/>
  <c r="T13" i="12"/>
  <c r="T13" i="13" l="1"/>
  <c r="U8" i="13"/>
  <c r="U13" i="12"/>
  <c r="V8" i="12"/>
  <c r="U13" i="13" l="1"/>
  <c r="V8" i="13"/>
  <c r="V13" i="12"/>
  <c r="W8" i="12"/>
  <c r="W8" i="13" l="1"/>
  <c r="V13" i="13"/>
  <c r="W13" i="12"/>
  <c r="X8" i="12"/>
  <c r="W13" i="13" l="1"/>
  <c r="X8" i="13"/>
  <c r="X13" i="12"/>
  <c r="Y8" i="12"/>
  <c r="X13" i="13" l="1"/>
  <c r="Y8" i="13"/>
  <c r="Y13" i="12"/>
  <c r="Z8" i="12"/>
  <c r="Z8" i="13" l="1"/>
  <c r="Y13" i="13"/>
  <c r="Z13" i="12"/>
  <c r="AA8" i="12"/>
  <c r="AA8" i="13" l="1"/>
  <c r="Z13" i="13"/>
  <c r="AA13" i="12"/>
  <c r="AB8" i="12"/>
  <c r="AB8" i="13" l="1"/>
  <c r="AA13" i="13"/>
  <c r="AC8" i="12"/>
  <c r="AB13" i="12"/>
  <c r="AB13" i="13" l="1"/>
  <c r="AC8" i="13"/>
  <c r="AC13" i="12"/>
  <c r="AD8" i="12"/>
  <c r="AC13" i="13" l="1"/>
  <c r="AD8" i="13"/>
  <c r="AD13" i="12"/>
  <c r="AE8" i="12"/>
  <c r="AE8" i="13" l="1"/>
  <c r="AD13" i="13"/>
  <c r="AF8" i="12"/>
  <c r="AE13" i="12"/>
  <c r="AE13" i="13" l="1"/>
  <c r="AF8" i="13"/>
  <c r="AF13" i="12"/>
  <c r="AG8" i="12"/>
  <c r="AG8" i="13" l="1"/>
  <c r="AF13" i="13"/>
  <c r="AG13" i="12"/>
  <c r="AH8" i="12"/>
  <c r="AH8" i="13" l="1"/>
  <c r="AG13" i="13"/>
  <c r="AH13" i="12"/>
  <c r="AI8" i="12"/>
  <c r="AI8" i="13" l="1"/>
  <c r="AH13" i="13"/>
  <c r="AI13" i="12"/>
  <c r="AJ8" i="12"/>
  <c r="AJ8" i="13" l="1"/>
  <c r="AI13" i="13"/>
  <c r="AJ13" i="12"/>
  <c r="AK8" i="12"/>
  <c r="AK13" i="12" s="1"/>
  <c r="AJ13" i="13" l="1"/>
  <c r="AK8" i="13"/>
  <c r="AK13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<sst xmlns="http://schemas.openxmlformats.org/spreadsheetml/2006/main" count="2025" uniqueCount="250">
  <si>
    <t>REGISTRO DE CONTROL DE ASISTENCIA</t>
  </si>
  <si>
    <t>N°</t>
  </si>
  <si>
    <t>TRABAJADORES</t>
  </si>
  <si>
    <t>DNI N°</t>
  </si>
  <si>
    <t>INGRESO</t>
  </si>
  <si>
    <t>SALIDA</t>
  </si>
  <si>
    <t>SOBRE TIEMPO</t>
  </si>
  <si>
    <t>TOTAL</t>
  </si>
  <si>
    <t>FIRMA</t>
  </si>
  <si>
    <t>OBSERVACIONES</t>
  </si>
  <si>
    <t xml:space="preserve">APELLIDOS Y NOMBRES </t>
  </si>
  <si>
    <t>Dia</t>
  </si>
  <si>
    <t>Hora y Min.</t>
  </si>
  <si>
    <t>De</t>
  </si>
  <si>
    <t>A</t>
  </si>
  <si>
    <t>GENERAL</t>
  </si>
  <si>
    <t>JEREMIAS PALOMINO, NORBERTO LEONCIO</t>
  </si>
  <si>
    <t>LOZANO MALDONADO, HERNAN</t>
  </si>
  <si>
    <t>NAVARRO LOZANO, ANGEL JAROL</t>
  </si>
  <si>
    <t>ROJAS SANDOVAL, JAVIER ELOY</t>
  </si>
  <si>
    <t>00487377</t>
  </si>
  <si>
    <t>MAYTAHUARI ACOSTA, SAMMER AXEL</t>
  </si>
  <si>
    <t>PIÑA CHUJANDAMA, KEVIN</t>
  </si>
  <si>
    <t>CONSORCIO FORTALEZA E.I.R.L</t>
  </si>
  <si>
    <t>RUC 20612747271</t>
  </si>
  <si>
    <t>CORDOVA ANGULO, JUAN</t>
  </si>
  <si>
    <t>CHINO PILCO SIMON</t>
  </si>
  <si>
    <t>NOMBRES</t>
  </si>
  <si>
    <t>DNI</t>
  </si>
  <si>
    <t>APELLIDOS Y NOMBRES</t>
  </si>
  <si>
    <t xml:space="preserve">MES </t>
  </si>
  <si>
    <t>HASTA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</si>
  <si>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</si>
  <si>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</si>
  <si>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</si>
  <si>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</si>
  <si>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</si>
  <si>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</si>
  <si>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</si>
  <si>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</si>
  <si>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</si>
  <si>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</si>
  <si>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</si>
  <si>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</si>
  <si>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Año</t>
  </si>
  <si>
    <t>Mes</t>
  </si>
  <si>
    <t>Registro y Control de Horas Trabajadas</t>
  </si>
  <si>
    <t>Apellido y Nombres</t>
  </si>
  <si>
    <t>Escoja Mes:</t>
  </si>
  <si>
    <t>Escoja Año:</t>
  </si>
  <si>
    <t>← Introduzca manualmente</t>
  </si>
  <si>
    <t>← Item Lista Desplegable</t>
  </si>
  <si>
    <t>Cargo</t>
  </si>
  <si>
    <t>Setiembre</t>
  </si>
  <si>
    <t xml:space="preserve">Empresa: </t>
  </si>
  <si>
    <t>Obra:</t>
  </si>
  <si>
    <t>Encargado:</t>
  </si>
  <si>
    <t>FSA Constructora</t>
  </si>
  <si>
    <t>Ticapampa</t>
  </si>
  <si>
    <t>Ernesto Acuachi</t>
  </si>
  <si>
    <t>El Periodo Comprende</t>
  </si>
  <si>
    <t>Mes:</t>
  </si>
  <si>
    <t>Año:</t>
  </si>
  <si>
    <t>Horas Extras</t>
  </si>
  <si>
    <t>Horas Normales</t>
  </si>
  <si>
    <t>Horas Extras:</t>
  </si>
  <si>
    <t>Por Encima de:</t>
  </si>
  <si>
    <t>SI</t>
  </si>
  <si>
    <t>Festivos</t>
  </si>
  <si>
    <t>colocar una linea de lunes a domingo en formato condicional</t>
  </si>
  <si>
    <t>apaga los dias que no se utlizan de acuerdo al mes</t>
  </si>
  <si>
    <t>para colocar un color de relleno hasta donde este los dias activos</t>
  </si>
  <si>
    <t>colocar una trama en los dias festivos y domingos</t>
  </si>
  <si>
    <t>=CAMBIAR(_HorasExtras;</t>
  </si>
  <si>
    <t>Si;SUMAPRODUCTO(SI(_Datos&lt;=_PorEncimade;_Datos;_PorEncimade);(DIASEM($G$8:$AK$8;2)&lt;=5)*1;NO(ESNUMERO(COINCIDIR($G$8:$AK$8;nFestivos;0)))*1);</t>
  </si>
  <si>
    <t>No;SUMAPRODUCTO(_Datos;(DIASEM($G$8:$AK$8;2)&lt;=5)*1;NO(ESNUMERO(COINCIDIR($G$8:$AK$8;nFestivos;0)))*1))</t>
  </si>
  <si>
    <t>para hallar horas normales = 8horas</t>
  </si>
  <si>
    <t>para que las horas extras en formato condiciona tenga otro color</t>
  </si>
  <si>
    <t>NO</t>
  </si>
  <si>
    <t>para el color al costado de los empleados</t>
  </si>
  <si>
    <t>ASISTIO(SI)</t>
  </si>
  <si>
    <t>FALTA(NO)</t>
  </si>
  <si>
    <t>MEDIO DIA(MED)</t>
  </si>
  <si>
    <t>OBREROS</t>
  </si>
  <si>
    <t>Registro y Control de Asistencia</t>
  </si>
  <si>
    <t>CLASE</t>
  </si>
  <si>
    <t>CARGO</t>
  </si>
  <si>
    <t>OBRERO</t>
  </si>
  <si>
    <t>PEON</t>
  </si>
  <si>
    <t>OPERARIO</t>
  </si>
  <si>
    <t>OPERARIO/VOLQUETERO</t>
  </si>
  <si>
    <t>PEON/CHOFER</t>
  </si>
  <si>
    <t>ACUACHI LANCHIPA, ERNESTO ALONSO</t>
  </si>
  <si>
    <t>PERSONAL NO CLAVE</t>
  </si>
  <si>
    <t>LOGISTICO</t>
  </si>
  <si>
    <t>ALEJO CHARCA, DENNYS MIRIAM</t>
  </si>
  <si>
    <t>PERSONAL CLAVE</t>
  </si>
  <si>
    <t>ING. CALIDAD</t>
  </si>
  <si>
    <t>SILVA BORDA, ARLETTE NINOSKA</t>
  </si>
  <si>
    <t>ASIS. ING.</t>
  </si>
  <si>
    <t>ADUVIRE ARGUATA, MARIO ARTURO</t>
  </si>
  <si>
    <t>MAESTRO OBRA</t>
  </si>
  <si>
    <t>SALAZAR BAZAN, ROCÍO DALILA</t>
  </si>
  <si>
    <t>RESIDENTE</t>
  </si>
  <si>
    <t>CHACON ORTIZ, JOSE ANTONIO</t>
  </si>
  <si>
    <t>00515241</t>
  </si>
  <si>
    <t xml:space="preserve">ORDOÑEZ CONDORI, GILBERTO </t>
  </si>
  <si>
    <t>GUTARATE SABINO, ADRIEL ANTONY</t>
  </si>
  <si>
    <t xml:space="preserve">QUISPE LIMACHE, ROGELIO </t>
  </si>
  <si>
    <t xml:space="preserve">APASTEGUI GRANDEZ, LUIS ALFREDO </t>
  </si>
  <si>
    <t>PERSONA CLAVE</t>
  </si>
  <si>
    <t>TOPOGRAFO</t>
  </si>
  <si>
    <t>VILLEGAS, ROGER</t>
  </si>
  <si>
    <t>OPERARIO MAQU.</t>
  </si>
  <si>
    <t>TUANAMA PILCO, CHRIS</t>
  </si>
  <si>
    <t>CACERES CALACHUA, YEYSON JORGE</t>
  </si>
  <si>
    <t xml:space="preserve">22/09/2025 llego tarde </t>
  </si>
  <si>
    <t>si</t>
  </si>
  <si>
    <t>22 09 2025 llego media dia</t>
  </si>
  <si>
    <t>Columna1</t>
  </si>
  <si>
    <t>fierro</t>
  </si>
  <si>
    <t>albañil</t>
  </si>
  <si>
    <t>CARPINTERO</t>
  </si>
  <si>
    <t>VOLQUETERO</t>
  </si>
  <si>
    <t>00662471</t>
  </si>
  <si>
    <t>ACOSTA ROJAS, JOSEPH ALFONSO</t>
  </si>
  <si>
    <t>REPRESENTANTE</t>
  </si>
  <si>
    <t>YEANCARLO</t>
  </si>
  <si>
    <t>PERSONAL OBRERO</t>
  </si>
  <si>
    <t>ESCOBAR PALACIOS, LUIS IVAN</t>
  </si>
  <si>
    <t>ESP. SEGURIDAD</t>
  </si>
  <si>
    <t>LOZA YAPUCHURA, KENNY GUILLERMO</t>
  </si>
  <si>
    <t>MED</t>
  </si>
  <si>
    <t>MAQUERA QUISPE, LEONIDAS EDWIN</t>
  </si>
  <si>
    <t>29/09/25 LLEGO 7:12</t>
  </si>
  <si>
    <t>29/09/2025 llego 8:00 am</t>
  </si>
  <si>
    <t>29/09/2025 llego 9:00 am</t>
  </si>
  <si>
    <t xml:space="preserve">29/09/2025 llego 9:00 am </t>
  </si>
  <si>
    <t xml:space="preserve">SI.   </t>
  </si>
  <si>
    <t>MOGROVEJO FALCON, OSMAR ADOLFO</t>
  </si>
  <si>
    <t>Octubre</t>
  </si>
  <si>
    <t>Si</t>
  </si>
  <si>
    <t>NÉSTOR TACANAHUI CALISAYA</t>
  </si>
  <si>
    <t>PEÓN</t>
  </si>
  <si>
    <t xml:space="preserve">PEÓN </t>
  </si>
  <si>
    <t>MAQUINISTA</t>
  </si>
  <si>
    <t>EL DIA 10/10/25 NO TRABAJO LO CAMBIO POR EL DIA MIERCOLES FERIADO</t>
  </si>
  <si>
    <t>011-232-000201494909-69</t>
  </si>
  <si>
    <t>NRO CUENTA BBVA</t>
  </si>
  <si>
    <t>CCI BBVA</t>
  </si>
  <si>
    <t>0011-0814-0267066219</t>
  </si>
  <si>
    <t>011-814-000267066219-12</t>
  </si>
  <si>
    <t>011-814-000282789561-12</t>
  </si>
  <si>
    <t>NRO CUENTA BCP</t>
  </si>
  <si>
    <t>CCI BCP</t>
  </si>
  <si>
    <t>48099576706093</t>
  </si>
  <si>
    <t>002480199576706093-22</t>
  </si>
  <si>
    <t>0011-0814-0282772960</t>
  </si>
  <si>
    <t>011-814-000282772960-15</t>
  </si>
  <si>
    <t>0011-0814-0282770674</t>
  </si>
  <si>
    <t>011-814-000282770674-14</t>
  </si>
  <si>
    <t>0011-0232-0201494909</t>
  </si>
  <si>
    <t>0011-0814-0282789561</t>
  </si>
  <si>
    <t>54099248033061</t>
  </si>
  <si>
    <t>00254019924803306139</t>
  </si>
  <si>
    <t>42510879044040</t>
  </si>
  <si>
    <t>00242511087904404078</t>
  </si>
  <si>
    <t>0011-0814-0281980403</t>
  </si>
  <si>
    <t>011-814-000281980403-16</t>
  </si>
  <si>
    <t>0011-0814-0282771654</t>
  </si>
  <si>
    <t>011-814-000282771654-15</t>
  </si>
  <si>
    <t xml:space="preserve">03/10/2025 entro a la 1 de la tarde
10/10/2025 entro a las 10:45 </t>
  </si>
  <si>
    <t xml:space="preserve">lunes LLEGO 7:15 </t>
  </si>
  <si>
    <t>NRO CUENTA INTERBANK</t>
  </si>
  <si>
    <t>CCI INTERBANK</t>
  </si>
  <si>
    <t>342-3123820927</t>
  </si>
  <si>
    <t>003-342-013123820927-37</t>
  </si>
  <si>
    <t>GUTARATE SABINO, RONEL ARTURO</t>
  </si>
  <si>
    <t>54095302262034</t>
  </si>
  <si>
    <t>00254019530226203437</t>
  </si>
  <si>
    <t>40594770093053</t>
  </si>
  <si>
    <t>00240519477009305391</t>
  </si>
  <si>
    <t>0011-0814-0282782036</t>
  </si>
  <si>
    <t>54039320324023</t>
  </si>
  <si>
    <t>00254013932032402337</t>
  </si>
  <si>
    <t>0011-0814-0277651071</t>
  </si>
  <si>
    <t>011-814-000277651071-17</t>
  </si>
  <si>
    <t>54074340317053</t>
  </si>
  <si>
    <t>00254017434031705337</t>
  </si>
  <si>
    <t>54092485355073</t>
  </si>
  <si>
    <t>ROSAS CHACHAJE, WILSON JHONY</t>
  </si>
  <si>
    <t>011-814-000282782036-12</t>
  </si>
  <si>
    <t>011-814-000283137347-13</t>
  </si>
  <si>
    <t>0011-0814-0283137347</t>
  </si>
  <si>
    <t>0011-0232-0201496596</t>
  </si>
  <si>
    <t>011-232-000201496596-62</t>
  </si>
  <si>
    <t>54096578590053</t>
  </si>
  <si>
    <t>54009616015070</t>
  </si>
  <si>
    <t>54003775270027</t>
  </si>
  <si>
    <t>00254010377527002739</t>
  </si>
  <si>
    <t>21570446064035</t>
  </si>
  <si>
    <t>00221517044606403528</t>
  </si>
  <si>
    <t>GAMARRA CONDORI, ANGEL</t>
  </si>
  <si>
    <t>ALBAÑIL</t>
  </si>
  <si>
    <t>48008842398077</t>
  </si>
  <si>
    <t>00248010884239807724</t>
  </si>
  <si>
    <t>0011-0232-0201496863</t>
  </si>
  <si>
    <t>011-232-000201496863-66</t>
  </si>
  <si>
    <t>QUISPE MAQUERA, MARCO ANTONIO</t>
  </si>
  <si>
    <t>PUMAYALLI LICONA, ENOCH</t>
  </si>
  <si>
    <t>CURMAYARI MANUYAMA, VICTOR RAUL</t>
  </si>
  <si>
    <t>00082335</t>
  </si>
  <si>
    <t>CURMAYARI GUZMAN, JOFFRE</t>
  </si>
  <si>
    <t>OLIVA TARAPA, TOMAS</t>
  </si>
  <si>
    <t>01764813</t>
  </si>
  <si>
    <t>MACHUCA NAVARRO, OMAR JIAN FRANCO</t>
  </si>
  <si>
    <t>74208220</t>
  </si>
  <si>
    <t>00254010961601507039</t>
  </si>
  <si>
    <t>ESCOBAR ARBILDO, GOLBER</t>
  </si>
  <si>
    <t>45415827</t>
  </si>
  <si>
    <t>ESCOBAR ARBILDO, RUSBER</t>
  </si>
  <si>
    <t>48841643</t>
  </si>
  <si>
    <t>CHAVEZ MONTALICO, ISAAC</t>
  </si>
  <si>
    <t>00663998</t>
  </si>
  <si>
    <t>NAVARRO LOZANO, MARCO MANUEL</t>
  </si>
  <si>
    <t>47308810</t>
  </si>
  <si>
    <t>ARAPA PARQUE, ENOC</t>
  </si>
  <si>
    <t>40748695</t>
  </si>
  <si>
    <t>DIA 27/10/2025 ENTRO 9:30</t>
  </si>
  <si>
    <t>28/10/25 LLEGO 7:10</t>
  </si>
  <si>
    <t>CONDORI LAQUI, RAUL</t>
  </si>
  <si>
    <t>Noviembre</t>
  </si>
  <si>
    <t>LAQUIHUANACO PACA, BARTOLOME</t>
  </si>
  <si>
    <t>01328043</t>
  </si>
  <si>
    <t>MOLLO JILAJA, YOEL JHONATHAN</t>
  </si>
  <si>
    <t>76949507</t>
  </si>
  <si>
    <t>CARMELO MONTEJO, OSCAR CESAR</t>
  </si>
  <si>
    <t>73009722</t>
  </si>
  <si>
    <t>FECHA</t>
  </si>
  <si>
    <t>TACANAHUI CALISAYA, NESTOR</t>
  </si>
  <si>
    <t>FABIAN MAURICIO AVENDAÑO TOHALA</t>
  </si>
  <si>
    <t>74475042</t>
  </si>
  <si>
    <t>CESAR JULIAN CCALLE BOLAÑOS</t>
  </si>
  <si>
    <t>77148195</t>
  </si>
  <si>
    <t>ROSAS CAMA, ELVIS EFRAIN</t>
  </si>
  <si>
    <t>60181804</t>
  </si>
  <si>
    <t>ARHUATA LOVE, JUAN CARLOS</t>
  </si>
  <si>
    <t>44881675</t>
  </si>
  <si>
    <t>APAZA CALLUARI, JUAN LUIS</t>
  </si>
  <si>
    <t>43429980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</si>
</sst>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\/mm\/yyyy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24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Aptos Narrow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Arial Narrow"/>
      <family val="2"/>
    </font>
    <font>
      <sz val="9"/>
      <color theme="1"/>
      <name val="Arial Narrow"/>
      <family val="2"/>
    </font>
    <font>
      <b/>
      <sz val="11"/>
      <color theme="9" tint="-0.499984740745262"/>
      <name val="Calibri"/>
      <family val="2"/>
      <scheme val="minor"/>
    </font>
    <font>
      <b/>
      <sz val="10"/>
      <color theme="4"/>
      <name val="Aptos Narrow"/>
      <family val="2"/>
    </font>
    <font>
      <b/>
      <sz val="8"/>
      <color theme="0" tint="-0.499984740745262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u/>
      <sz val="24"/>
      <color theme="0"/>
      <name val="Arial"/>
      <family val="2"/>
    </font>
    <font>
      <b/>
      <sz val="16"/>
      <color theme="0"/>
      <name val="Arial"/>
      <family val="2"/>
    </font>
    <font>
      <sz val="10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thin">
        <color theme="0"/>
      </top>
      <bottom style="medium">
        <color theme="4"/>
      </bottom>
      <diagonal/>
    </border>
    <border>
      <left style="medium">
        <color theme="4"/>
      </left>
      <right style="thin">
        <color theme="0"/>
      </right>
      <top style="medium">
        <color theme="4"/>
      </top>
      <bottom style="thin">
        <color theme="0"/>
      </bottom>
      <diagonal/>
    </border>
    <border>
      <left style="thin">
        <color theme="0"/>
      </left>
      <right style="medium">
        <color theme="4"/>
      </right>
      <top style="medium">
        <color theme="4"/>
      </top>
      <bottom style="thin">
        <color theme="0"/>
      </bottom>
      <diagonal/>
    </border>
    <border>
      <left style="thin">
        <color theme="0"/>
      </left>
      <right style="medium">
        <color theme="4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4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4"/>
      </bottom>
      <diagonal/>
    </border>
    <border>
      <left style="thin">
        <color theme="0"/>
      </left>
      <right style="medium">
        <color theme="4"/>
      </right>
      <top style="thin">
        <color theme="0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thin">
        <color theme="0"/>
      </top>
      <bottom style="medium">
        <color theme="0"/>
      </bottom>
      <diagonal/>
    </border>
    <border>
      <left style="medium">
        <color theme="4"/>
      </left>
      <right/>
      <top style="thin">
        <color theme="0"/>
      </top>
      <bottom style="thin">
        <color theme="0"/>
      </bottom>
      <diagonal/>
    </border>
    <border>
      <left/>
      <right style="medium">
        <color theme="4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/>
      <top style="thin">
        <color theme="0"/>
      </top>
      <bottom style="medium">
        <color theme="4"/>
      </bottom>
      <diagonal/>
    </border>
    <border>
      <left/>
      <right style="medium">
        <color theme="4"/>
      </right>
      <top style="thin">
        <color theme="0"/>
      </top>
      <bottom style="medium">
        <color theme="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4"/>
      </left>
      <right style="medium">
        <color theme="4"/>
      </right>
      <top style="medium">
        <color theme="0"/>
      </top>
      <bottom style="thin">
        <color theme="0"/>
      </bottom>
      <diagonal/>
    </border>
    <border>
      <left style="medium">
        <color theme="4"/>
      </left>
      <right style="medium">
        <color theme="4"/>
      </right>
      <top style="thin">
        <color theme="0"/>
      </top>
      <bottom/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theme="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4"/>
      </right>
      <top/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4" fillId="0" borderId="4" xfId="0" applyFont="1" applyBorder="1"/>
    <xf numFmtId="0" fontId="0" fillId="0" borderId="4" xfId="0" applyBorder="1"/>
    <xf numFmtId="0" fontId="4" fillId="0" borderId="1" xfId="0" applyFont="1" applyBorder="1"/>
    <xf numFmtId="0" fontId="0" fillId="0" borderId="1" xfId="0" applyBorder="1"/>
    <xf numFmtId="0" fontId="4" fillId="0" borderId="1" xfId="0" quotePrefix="1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/>
    </xf>
    <xf numFmtId="15" fontId="9" fillId="0" borderId="0" xfId="0" applyNumberFormat="1" applyFont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0" fillId="4" borderId="0" xfId="0" applyFill="1"/>
    <xf numFmtId="0" fontId="14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0" fillId="5" borderId="0" xfId="0" applyFill="1"/>
    <xf numFmtId="0" fontId="0" fillId="2" borderId="0" xfId="0" applyFill="1"/>
    <xf numFmtId="0" fontId="16" fillId="2" borderId="0" xfId="0" applyFont="1" applyFill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0" borderId="14" xfId="0" applyBorder="1"/>
    <xf numFmtId="0" fontId="0" fillId="2" borderId="14" xfId="0" applyFill="1" applyBorder="1"/>
    <xf numFmtId="0" fontId="17" fillId="4" borderId="0" xfId="0" applyFont="1" applyFill="1" applyAlignment="1">
      <alignment horizontal="center" vertical="center"/>
    </xf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29" xfId="0" applyFill="1" applyBorder="1"/>
    <xf numFmtId="0" fontId="15" fillId="2" borderId="0" xfId="0" applyFont="1" applyFill="1"/>
    <xf numFmtId="0" fontId="15" fillId="2" borderId="0" xfId="0" applyFont="1" applyFill="1" applyAlignment="1">
      <alignment horizontal="left"/>
    </xf>
    <xf numFmtId="0" fontId="15" fillId="2" borderId="22" xfId="0" applyFont="1" applyFill="1" applyBorder="1"/>
    <xf numFmtId="0" fontId="18" fillId="2" borderId="21" xfId="0" applyFont="1" applyFill="1" applyBorder="1" applyAlignment="1">
      <alignment horizontal="left" indent="1"/>
    </xf>
    <xf numFmtId="0" fontId="10" fillId="4" borderId="0" xfId="0" applyFont="1" applyFill="1"/>
    <xf numFmtId="0" fontId="10" fillId="6" borderId="0" xfId="0" applyFont="1" applyFill="1"/>
    <xf numFmtId="0" fontId="0" fillId="5" borderId="14" xfId="0" applyFill="1" applyBorder="1" applyAlignment="1">
      <alignment vertical="center"/>
    </xf>
    <xf numFmtId="0" fontId="0" fillId="7" borderId="14" xfId="0" applyFill="1" applyBorder="1" applyAlignment="1">
      <alignment horizontal="center" vertical="center"/>
    </xf>
    <xf numFmtId="165" fontId="0" fillId="5" borderId="0" xfId="0" applyNumberFormat="1" applyFill="1"/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vertical="center"/>
    </xf>
    <xf numFmtId="0" fontId="0" fillId="5" borderId="2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0" xfId="0" applyFill="1" applyBorder="1"/>
    <xf numFmtId="0" fontId="0" fillId="5" borderId="31" xfId="0" applyFill="1" applyBorder="1"/>
    <xf numFmtId="0" fontId="0" fillId="5" borderId="32" xfId="0" applyFill="1" applyBorder="1"/>
    <xf numFmtId="0" fontId="0" fillId="5" borderId="35" xfId="0" applyFill="1" applyBorder="1"/>
    <xf numFmtId="0" fontId="0" fillId="5" borderId="36" xfId="0" applyFill="1" applyBorder="1"/>
    <xf numFmtId="0" fontId="0" fillId="5" borderId="37" xfId="0" applyFill="1" applyBorder="1"/>
    <xf numFmtId="0" fontId="0" fillId="5" borderId="33" xfId="0" applyFill="1" applyBorder="1"/>
    <xf numFmtId="0" fontId="0" fillId="5" borderId="38" xfId="0" applyFill="1" applyBorder="1"/>
    <xf numFmtId="0" fontId="0" fillId="5" borderId="34" xfId="0" applyFill="1" applyBorder="1"/>
    <xf numFmtId="0" fontId="0" fillId="5" borderId="39" xfId="0" applyFill="1" applyBorder="1"/>
    <xf numFmtId="0" fontId="0" fillId="5" borderId="40" xfId="0" applyFill="1" applyBorder="1"/>
    <xf numFmtId="0" fontId="0" fillId="5" borderId="41" xfId="0" applyFill="1" applyBorder="1"/>
    <xf numFmtId="0" fontId="0" fillId="5" borderId="33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21" fillId="9" borderId="14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0" fillId="5" borderId="42" xfId="0" applyFill="1" applyBorder="1" applyAlignment="1">
      <alignment horizontal="center" vertical="center"/>
    </xf>
    <xf numFmtId="0" fontId="22" fillId="5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0" fontId="23" fillId="5" borderId="29" xfId="0" applyFont="1" applyFill="1" applyBorder="1" applyAlignment="1">
      <alignment horizontal="centerContinuous" vertical="center"/>
    </xf>
    <xf numFmtId="0" fontId="23" fillId="5" borderId="28" xfId="0" applyFont="1" applyFill="1" applyBorder="1" applyAlignment="1">
      <alignment horizontal="centerContinuous" vertical="center"/>
    </xf>
    <xf numFmtId="0" fontId="23" fillId="5" borderId="35" xfId="0" applyFont="1" applyFill="1" applyBorder="1" applyAlignment="1">
      <alignment horizontal="centerContinuous" vertical="center"/>
    </xf>
    <xf numFmtId="0" fontId="7" fillId="0" borderId="1" xfId="0" applyFont="1" applyBorder="1" applyAlignment="1">
      <alignment horizontal="left" vertical="center"/>
    </xf>
    <xf numFmtId="15" fontId="24" fillId="0" borderId="4" xfId="0" applyNumberFormat="1" applyFont="1" applyBorder="1"/>
    <xf numFmtId="15" fontId="24" fillId="0" borderId="1" xfId="0" applyNumberFormat="1" applyFont="1" applyBorder="1"/>
    <xf numFmtId="0" fontId="24" fillId="0" borderId="4" xfId="0" applyFont="1" applyBorder="1"/>
    <xf numFmtId="0" fontId="24" fillId="0" borderId="1" xfId="0" applyFont="1" applyBorder="1"/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15" fontId="24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12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2" borderId="0" xfId="0" applyFont="1" applyFill="1"/>
    <xf numFmtId="0" fontId="0" fillId="5" borderId="31" xfId="0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8" fillId="9" borderId="14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vertical="center" wrapText="1"/>
    </xf>
    <xf numFmtId="0" fontId="15" fillId="11" borderId="0" xfId="0" applyFont="1" applyFill="1" applyAlignment="1">
      <alignment horizontal="center" vertical="center" wrapText="1"/>
    </xf>
    <xf numFmtId="49" fontId="15" fillId="11" borderId="0" xfId="0" applyNumberFormat="1" applyFont="1" applyFill="1" applyAlignment="1">
      <alignment horizontal="center" vertical="center" wrapText="1"/>
    </xf>
    <xf numFmtId="0" fontId="0" fillId="11" borderId="0" xfId="0" applyFill="1"/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49" fontId="30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/>
    <xf numFmtId="0" fontId="17" fillId="8" borderId="0" xfId="0" applyFont="1" applyFill="1" applyAlignment="1">
      <alignment horizontal="left" vertical="center" wrapText="1"/>
    </xf>
    <xf numFmtId="0" fontId="33" fillId="8" borderId="0" xfId="0" applyFont="1" applyFill="1" applyAlignment="1">
      <alignment vertical="center" wrapText="1"/>
    </xf>
    <xf numFmtId="0" fontId="33" fillId="8" borderId="0" xfId="0" applyFont="1" applyFill="1" applyAlignment="1">
      <alignment horizontal="center" vertical="center" wrapText="1"/>
    </xf>
    <xf numFmtId="49" fontId="33" fillId="8" borderId="0" xfId="0" applyNumberFormat="1" applyFont="1" applyFill="1" applyAlignment="1">
      <alignment horizontal="center" vertical="center" wrapText="1"/>
    </xf>
    <xf numFmtId="0" fontId="32" fillId="8" borderId="0" xfId="0" applyFont="1" applyFill="1"/>
    <xf numFmtId="0" fontId="0" fillId="12" borderId="31" xfId="0" applyFill="1" applyBorder="1"/>
    <xf numFmtId="0" fontId="0" fillId="13" borderId="31" xfId="0" applyFill="1" applyBorder="1"/>
    <xf numFmtId="0" fontId="8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34" fillId="4" borderId="2" xfId="0" applyFont="1" applyFill="1" applyBorder="1" applyAlignment="1">
      <alignment horizontal="center" vertical="center" wrapText="1"/>
    </xf>
    <xf numFmtId="0" fontId="38" fillId="0" borderId="7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0" fontId="38" fillId="0" borderId="12" xfId="0" applyFont="1" applyBorder="1" applyAlignment="1">
      <alignment horizontal="left" vertical="center"/>
    </xf>
    <xf numFmtId="0" fontId="8" fillId="0" borderId="47" xfId="0" applyFont="1" applyBorder="1" applyAlignment="1">
      <alignment horizontal="center" vertical="center"/>
    </xf>
    <xf numFmtId="0" fontId="38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35" fillId="4" borderId="1" xfId="0" applyFont="1" applyFill="1" applyBorder="1" applyAlignment="1">
      <alignment horizontal="center"/>
    </xf>
    <xf numFmtId="0" fontId="36" fillId="4" borderId="0" xfId="0" applyFont="1" applyFill="1" applyAlignment="1">
      <alignment horizontal="center"/>
    </xf>
    <xf numFmtId="0" fontId="37" fillId="4" borderId="0" xfId="0" applyFont="1" applyFill="1" applyAlignment="1">
      <alignment horizontal="center"/>
    </xf>
    <xf numFmtId="164" fontId="37" fillId="4" borderId="5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15" fillId="2" borderId="21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165" fontId="19" fillId="5" borderId="0" xfId="0" applyNumberFormat="1" applyFont="1" applyFill="1" applyAlignment="1">
      <alignment horizontal="center" vertical="center" textRotation="90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5" borderId="43" xfId="0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5" xfId="0" applyFont="1" applyFill="1" applyBorder="1" applyAlignment="1">
      <alignment horizontal="center" vertical="center" wrapText="1"/>
    </xf>
    <xf numFmtId="0" fontId="15" fillId="5" borderId="46" xfId="0" applyFont="1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 wrapText="1"/>
    </xf>
    <xf numFmtId="0" fontId="0" fillId="5" borderId="53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5" borderId="54" xfId="0" applyFill="1" applyBorder="1"/>
    <xf numFmtId="0" fontId="0" fillId="5" borderId="49" xfId="0" applyFill="1" applyBorder="1"/>
    <xf numFmtId="0" fontId="0" fillId="5" borderId="55" xfId="0" applyFill="1" applyBorder="1"/>
    <xf numFmtId="0" fontId="0" fillId="5" borderId="56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</cellXfs>
  <cellStyles count="3">
    <cellStyle name="Normal" xfId="0" builtinId="0"/>
    <cellStyle name="Normal 2" xfId="2" xr:uid="{C9F2454E-1044-4ACA-AD7F-151C755DD6FA}"/>
    <cellStyle name="Normal 4" xfId="1" xr:uid="{AF0617DF-A1E1-46AC-B56B-EF571679A75E}"/>
  </cellStyles>
  <dxfs count="78"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border>
        <right style="thin">
          <color theme="0" tint="-0.24994659260841701"/>
        </right>
        <vertical/>
        <horizontal/>
      </border>
    </dxf>
    <dxf>
      <fill>
        <patternFill patternType="lightUp"/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border>
        <right style="thin">
          <color theme="0"/>
        </right>
        <vertical/>
        <horizontal/>
      </border>
    </dxf>
    <dxf>
      <font>
        <b/>
        <i val="0"/>
        <color theme="0" tint="-0.34998626667073579"/>
      </font>
    </dxf>
    <dxf>
      <fill>
        <patternFill>
          <bgColor rgb="FF33DDB5"/>
        </patternFill>
      </fill>
    </dxf>
    <dxf>
      <fill>
        <patternFill>
          <bgColor rgb="FFFF0000"/>
        </patternFill>
      </fill>
    </dxf>
    <dxf>
      <font>
        <color theme="0" tint="-0.499984740745262"/>
      </font>
    </dxf>
    <dxf>
      <fill>
        <patternFill>
          <bgColor rgb="FF95F9EB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border>
        <right style="thin">
          <color theme="0" tint="-0.24994659260841701"/>
        </right>
        <vertical/>
        <horizontal/>
      </border>
    </dxf>
    <dxf>
      <fill>
        <patternFill patternType="lightUp"/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border>
        <right style="thin">
          <color theme="0"/>
        </right>
        <vertical/>
        <horizontal/>
      </border>
    </dxf>
    <dxf>
      <font>
        <b/>
        <i val="0"/>
        <color theme="0" tint="-0.34998626667073579"/>
      </font>
    </dxf>
    <dxf>
      <fill>
        <patternFill>
          <bgColor rgb="FF33DDB5"/>
        </patternFill>
      </fill>
    </dxf>
    <dxf>
      <fill>
        <patternFill>
          <bgColor rgb="FFFF0000"/>
        </patternFill>
      </fill>
    </dxf>
    <dxf>
      <font>
        <color theme="0" tint="-0.499984740745262"/>
      </font>
    </dxf>
    <dxf>
      <fill>
        <patternFill>
          <bgColor rgb="FF95F9EB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border>
        <right style="thin">
          <color theme="0" tint="-0.24994659260841701"/>
        </right>
        <vertical/>
        <horizontal/>
      </border>
    </dxf>
    <dxf>
      <fill>
        <patternFill patternType="lightUp"/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border>
        <right style="thin">
          <color theme="0"/>
        </right>
        <vertical/>
        <horizontal/>
      </border>
    </dxf>
    <dxf>
      <font>
        <b/>
        <i val="0"/>
        <color theme="0" tint="-0.34998626667073579"/>
      </font>
    </dxf>
    <dxf>
      <fill>
        <patternFill>
          <bgColor rgb="FF33DDB5"/>
        </patternFill>
      </fill>
    </dxf>
    <dxf>
      <fill>
        <patternFill>
          <bgColor rgb="FFFF0000"/>
        </patternFill>
      </fill>
    </dxf>
    <dxf>
      <font>
        <color theme="0" tint="-0.499984740745262"/>
      </font>
    </dxf>
    <dxf>
      <fill>
        <patternFill>
          <bgColor rgb="FF95F9EB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font>
        <b val="0"/>
        <i val="0"/>
        <color theme="0" tint="-0.34998626667073579"/>
      </font>
      <fill>
        <patternFill>
          <bgColor theme="0" tint="-0.499984740745262"/>
        </patternFill>
      </fill>
    </dxf>
    <dxf>
      <border>
        <right style="thin">
          <color theme="0" tint="-0.24994659260841701"/>
        </right>
        <vertical/>
        <horizontal/>
      </border>
    </dxf>
    <dxf>
      <fill>
        <patternFill patternType="lightUp"/>
      </fill>
    </dxf>
    <dxf>
      <border>
        <right style="thin">
          <color theme="0"/>
        </right>
        <vertical/>
        <horizontal/>
      </border>
    </dxf>
    <dxf>
      <font>
        <b/>
        <i val="0"/>
        <color theme="0" tint="-0.34998626667073579"/>
      </font>
    </dxf>
    <dxf>
      <fill>
        <patternFill>
          <bgColor rgb="FF33DDB5"/>
        </patternFill>
      </fill>
    </dxf>
    <dxf>
      <fill>
        <patternFill>
          <bgColor rgb="FFFF0000"/>
        </patternFill>
      </fill>
    </dxf>
    <dxf>
      <font>
        <color theme="0" tint="-0.499984740745262"/>
      </font>
    </dxf>
    <dxf>
      <fill>
        <patternFill>
          <bgColor rgb="FF95F9EB"/>
        </patternFill>
      </fill>
    </dxf>
    <dxf>
      <numFmt numFmtId="165" formatCode="d\/mm\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d\/mm\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d\/mm\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d\/mm\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5F9EB"/>
      <color rgb="FF33D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464820</xdr:colOff>
      <xdr:row>0</xdr:row>
      <xdr:rowOff>0</xdr:rowOff>
    </xdr:from>
    <xdr:to>
      <xdr:col>1</xdr:col>
      <xdr:colOff>1143000</xdr:colOff>
      <xdr:row>2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C5136D-C420-5CA6-2BEA-9C014C10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67818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472440</xdr:colOff>
      <xdr:row>0</xdr:row>
      <xdr:rowOff>22860</xdr:rowOff>
    </xdr:from>
    <xdr:to>
      <xdr:col>1</xdr:col>
      <xdr:colOff>1310640</xdr:colOff>
      <xdr:row>2</xdr:row>
      <xdr:rowOff>167640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617E5F-CB02-4FAF-8448-9EB7AA35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22860"/>
          <a:ext cx="838200" cy="792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68580</xdr:rowOff>
    </xdr:from>
    <xdr:to>
      <xdr:col>27</xdr:col>
      <xdr:colOff>220980</xdr:colOff>
      <xdr:row>5</xdr:row>
      <xdr:rowOff>144780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19C5105-CC11-1FAC-7F69-AB56DEAA8EDC}"/>
            </a:ext>
          </a:extLst>
        </xdr:cNvPr>
        <xdr:cNvSpPr/>
      </xdr:nvSpPr>
      <xdr:spPr>
        <a:xfrm>
          <a:off x="7086600" y="883920"/>
          <a:ext cx="216408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29</xdr:col>
      <xdr:colOff>114300</xdr:colOff>
      <xdr:row>4</xdr:row>
      <xdr:rowOff>68580</xdr:rowOff>
    </xdr:from>
    <xdr:to>
      <xdr:col>31</xdr:col>
      <xdr:colOff>259080</xdr:colOff>
      <xdr:row>5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BDE9FCD-7D5A-4D68-82B2-0D70098021EA}"/>
            </a:ext>
          </a:extLst>
        </xdr:cNvPr>
        <xdr:cNvSpPr/>
      </xdr:nvSpPr>
      <xdr:spPr>
        <a:xfrm>
          <a:off x="9799320" y="883920"/>
          <a:ext cx="80010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320040</xdr:colOff>
      <xdr:row>4</xdr:row>
      <xdr:rowOff>68580</xdr:rowOff>
    </xdr:from>
    <xdr:to>
      <xdr:col>33</xdr:col>
      <xdr:colOff>289560</xdr:colOff>
      <xdr:row>5</xdr:row>
      <xdr:rowOff>144780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988A2BA-2363-4875-A47C-162B2FABB26F}"/>
            </a:ext>
          </a:extLst>
        </xdr:cNvPr>
        <xdr:cNvSpPr/>
      </xdr:nvSpPr>
      <xdr:spPr>
        <a:xfrm>
          <a:off x="10660380" y="883920"/>
          <a:ext cx="62484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68580</xdr:rowOff>
    </xdr:from>
    <xdr:to>
      <xdr:col>27</xdr:col>
      <xdr:colOff>220980</xdr:colOff>
      <xdr:row>5</xdr:row>
      <xdr:rowOff>144780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AC2F0AD-570B-4C5B-AE05-98B23A8C598A}"/>
            </a:ext>
          </a:extLst>
        </xdr:cNvPr>
        <xdr:cNvSpPr/>
      </xdr:nvSpPr>
      <xdr:spPr>
        <a:xfrm>
          <a:off x="7086600" y="883920"/>
          <a:ext cx="216408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29</xdr:col>
      <xdr:colOff>114300</xdr:colOff>
      <xdr:row>4</xdr:row>
      <xdr:rowOff>68580</xdr:rowOff>
    </xdr:from>
    <xdr:to>
      <xdr:col>31</xdr:col>
      <xdr:colOff>259080</xdr:colOff>
      <xdr:row>5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AB2E94C-2486-40DF-AEE5-63D48D3BBE55}"/>
            </a:ext>
          </a:extLst>
        </xdr:cNvPr>
        <xdr:cNvSpPr/>
      </xdr:nvSpPr>
      <xdr:spPr>
        <a:xfrm>
          <a:off x="9799320" y="883920"/>
          <a:ext cx="80010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320040</xdr:colOff>
      <xdr:row>4</xdr:row>
      <xdr:rowOff>68580</xdr:rowOff>
    </xdr:from>
    <xdr:to>
      <xdr:col>33</xdr:col>
      <xdr:colOff>289560</xdr:colOff>
      <xdr:row>5</xdr:row>
      <xdr:rowOff>144780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E3DFC57-EB05-455F-8801-94E109D2DCA0}"/>
            </a:ext>
          </a:extLst>
        </xdr:cNvPr>
        <xdr:cNvSpPr/>
      </xdr:nvSpPr>
      <xdr:spPr>
        <a:xfrm>
          <a:off x="10660380" y="883920"/>
          <a:ext cx="62484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68580</xdr:rowOff>
    </xdr:from>
    <xdr:to>
      <xdr:col>27</xdr:col>
      <xdr:colOff>220980</xdr:colOff>
      <xdr:row>5</xdr:row>
      <xdr:rowOff>144780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C8859F2-09C5-4C5C-95F3-66C9CFA58ADD}"/>
            </a:ext>
          </a:extLst>
        </xdr:cNvPr>
        <xdr:cNvSpPr/>
      </xdr:nvSpPr>
      <xdr:spPr>
        <a:xfrm>
          <a:off x="8961120" y="883920"/>
          <a:ext cx="216408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29</xdr:col>
      <xdr:colOff>114300</xdr:colOff>
      <xdr:row>4</xdr:row>
      <xdr:rowOff>68580</xdr:rowOff>
    </xdr:from>
    <xdr:to>
      <xdr:col>31</xdr:col>
      <xdr:colOff>259080</xdr:colOff>
      <xdr:row>5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69CEDAA-CAB9-43AF-9DB5-D34CA970C58D}"/>
            </a:ext>
          </a:extLst>
        </xdr:cNvPr>
        <xdr:cNvSpPr/>
      </xdr:nvSpPr>
      <xdr:spPr>
        <a:xfrm>
          <a:off x="11673840" y="883920"/>
          <a:ext cx="80010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320040</xdr:colOff>
      <xdr:row>4</xdr:row>
      <xdr:rowOff>68580</xdr:rowOff>
    </xdr:from>
    <xdr:to>
      <xdr:col>33</xdr:col>
      <xdr:colOff>289560</xdr:colOff>
      <xdr:row>5</xdr:row>
      <xdr:rowOff>144780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721A918-C379-4D49-8B41-B871ADB5F24D}"/>
            </a:ext>
          </a:extLst>
        </xdr:cNvPr>
        <xdr:cNvSpPr/>
      </xdr:nvSpPr>
      <xdr:spPr>
        <a:xfrm>
          <a:off x="12534900" y="883920"/>
          <a:ext cx="62484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68580</xdr:rowOff>
    </xdr:from>
    <xdr:to>
      <xdr:col>27</xdr:col>
      <xdr:colOff>220980</xdr:colOff>
      <xdr:row>5</xdr:row>
      <xdr:rowOff>144780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C7C31A9F-AAED-493B-8BAF-2D8907C1D17A}"/>
            </a:ext>
          </a:extLst>
        </xdr:cNvPr>
        <xdr:cNvSpPr/>
      </xdr:nvSpPr>
      <xdr:spPr>
        <a:xfrm>
          <a:off x="9182100" y="883920"/>
          <a:ext cx="220980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29</xdr:col>
      <xdr:colOff>114300</xdr:colOff>
      <xdr:row>4</xdr:row>
      <xdr:rowOff>68580</xdr:rowOff>
    </xdr:from>
    <xdr:to>
      <xdr:col>31</xdr:col>
      <xdr:colOff>259080</xdr:colOff>
      <xdr:row>5</xdr:row>
      <xdr:rowOff>144780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52EFAB9-2B69-4632-951D-0DDAB8F3CF4F}"/>
            </a:ext>
          </a:extLst>
        </xdr:cNvPr>
        <xdr:cNvSpPr/>
      </xdr:nvSpPr>
      <xdr:spPr>
        <a:xfrm>
          <a:off x="11955780" y="883920"/>
          <a:ext cx="81534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31</xdr:col>
      <xdr:colOff>320040</xdr:colOff>
      <xdr:row>4</xdr:row>
      <xdr:rowOff>68580</xdr:rowOff>
    </xdr:from>
    <xdr:to>
      <xdr:col>33</xdr:col>
      <xdr:colOff>289560</xdr:colOff>
      <xdr:row>5</xdr:row>
      <xdr:rowOff>144780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C9EA0B0-9E6A-4944-8BB3-F8FC1104B6DA}"/>
            </a:ext>
          </a:extLst>
        </xdr:cNvPr>
        <xdr:cNvSpPr/>
      </xdr:nvSpPr>
      <xdr:spPr>
        <a:xfrm>
          <a:off x="12832080" y="883920"/>
          <a:ext cx="640080" cy="266700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55C12-6164-4691-805C-A2640DB8516B}" name="DATOS" displayName="DATOS" ref="A1:L52" totalsRowShown="0" headerRowDxfId="77" dataDxfId="76">
  <autoFilter ref="A1:L52" xr:uid="{A4755C12-6164-4691-805C-A2640DB8516B}"/>
  <tableColumns count="12">
    <tableColumn id="1" xr3:uid="{6321F6E6-280C-40B3-AEC6-D2AD4269A8D3}" name="N°" dataDxfId="75"/>
    <tableColumn id="2" xr3:uid="{D5E117B8-413C-458A-AC02-7965C360C54C}" name="NOMBRES" dataDxfId="74"/>
    <tableColumn id="3" xr3:uid="{8D399356-A058-48A5-90DD-C78A98F0205D}" name="DNI" dataDxfId="73"/>
    <tableColumn id="4" xr3:uid="{8632B3CB-0FDA-4F36-81F3-81245BD9C527}" name="CLASE" dataDxfId="72"/>
    <tableColumn id="5" xr3:uid="{BB32E9B1-D6DC-4310-988E-85516E4B3803}" name="CARGO" dataDxfId="71"/>
    <tableColumn id="6" xr3:uid="{CECFEBD9-88B5-417F-A7E6-B47010B133B3}" name="Columna1" dataDxfId="70"/>
    <tableColumn id="7" xr3:uid="{DF4DEDDB-0E17-464A-9934-54ADEF0A60E7}" name="NRO CUENTA BBVA" dataDxfId="69"/>
    <tableColumn id="8" xr3:uid="{CEC11CFD-2F8D-46FB-B99A-4DD755381A67}" name="CCI BBVA" dataDxfId="68"/>
    <tableColumn id="9" xr3:uid="{7C574F33-486F-4FBC-B2BC-BA2F43ED9473}" name="NRO CUENTA BCP" dataDxfId="67"/>
    <tableColumn id="10" xr3:uid="{C51AE789-A5FA-425E-A5C3-0838F8481E94}" name="CCI BCP" dataDxfId="66"/>
    <tableColumn id="11" xr3:uid="{6CBD6188-6D25-4100-8D27-9EF497636459}" name="NRO CUENTA INTERBANK" dataDxfId="65"/>
    <tableColumn id="12" xr3:uid="{B9C5AE3D-D6A5-453F-9E77-EE3FFB0FA254}" name="CCI INTERBANK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673205-99D6-4CB5-85D5-DCE4DAA464C5}" name="Tabla6" displayName="Tabla6" ref="A4:D46" totalsRowShown="0">
  <autoFilter ref="A4:D46" xr:uid="{27673205-99D6-4CB5-85D5-DCE4DAA464C5}"/>
  <tableColumns count="4">
    <tableColumn id="1" xr3:uid="{5B488799-1A55-4A66-B911-15D680DC5EB2}" name="N°" dataDxfId="63"/>
    <tableColumn id="2" xr3:uid="{F58603B7-AE94-496A-B5A1-0B7A9EC03504}" name="APELLIDOS Y NOMBRES"/>
    <tableColumn id="3" xr3:uid="{112AC93C-CE4D-41B3-9FE1-2B15FBD0FC4A}" name="DNI" dataDxfId="62">
      <calculatedColumnFormula>_xlfn.XLOOKUP(Hoja1!B5,DATOS[NOMBRES],DATOS[DNI])</calculatedColumnFormula>
    </tableColumn>
    <tableColumn id="4" xr3:uid="{173D6773-4F28-4910-8E64-383BB421DB87}" name="CARGO" dataDxfId="61">
      <calculatedColumnFormula>_xlfn.XLOOKUP(Tabla6[[#This Row],[APELLIDOS Y NOMBRES]],DATOS[NOMBRES],DATOS[CARGO])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F33600-CB45-44E1-814E-7A33FBC7FCB4}" name="tFestivos" displayName="tFestivos" ref="AQ9:AQ15" totalsRowShown="0" headerRowDxfId="60" dataDxfId="59">
  <autoFilter ref="AQ9:AQ15" xr:uid="{1AF33600-CB45-44E1-814E-7A33FBC7FCB4}"/>
  <tableColumns count="1">
    <tableColumn id="1" xr3:uid="{B0154DFE-D06E-4ABA-A72B-9B43CA6C2AD9}" name="Festivos" dataDxfId="5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439AE-85CC-423F-B6C2-467758C92E3A}" name="TMESES" displayName="TMESES" ref="A1:B13" totalsRowShown="0">
  <autoFilter ref="A1:B13" xr:uid="{A4B439AE-85CC-423F-B6C2-467758C92E3A}"/>
  <tableColumns count="2">
    <tableColumn id="1" xr3:uid="{510D1D6C-3038-49A5-B05C-6C1FD2AD58EF}" name="MES "/>
    <tableColumn id="2" xr3:uid="{A8167DD2-31BC-494D-A5F0-A92166E4418C}" name="HAS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8010D-46A0-4BD6-994C-3F50515D0903}" name="tFestivos4" displayName="tFestivos4" ref="AT9:AT15" totalsRowShown="0" headerRowDxfId="57" dataDxfId="56">
  <autoFilter ref="AT9:AT15" xr:uid="{1AF33600-CB45-44E1-814E-7A33FBC7FCB4}"/>
  <tableColumns count="1">
    <tableColumn id="1" xr3:uid="{D66893A2-4462-4BB1-AA17-F20B949C7A00}" name="Festivos" dataDxfId="5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1B186F-07B7-48E7-8F63-F09E657594B3}" name="tFestivos46" displayName="tFestivos46" ref="AT9:AT15" totalsRowShown="0" headerRowDxfId="54" dataDxfId="53">
  <autoFilter ref="AT9:AT15" xr:uid="{1AF33600-CB45-44E1-814E-7A33FBC7FCB4}"/>
  <tableColumns count="1">
    <tableColumn id="1" xr3:uid="{8D95D540-EA91-441A-A9D2-066F18E4DA9C}" name="Festivos" dataDxfId="5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1AA60B-7C9B-4755-924F-38BA916DE3C2}" name="tFestivos468" displayName="tFestivos468" ref="AT9:AT15" totalsRowShown="0" headerRowDxfId="51" dataDxfId="50">
  <autoFilter ref="AT9:AT15" xr:uid="{1AF33600-CB45-44E1-814E-7A33FBC7FCB4}"/>
  <tableColumns count="1">
    <tableColumn id="1" xr3:uid="{7C22C614-060A-45F3-B62A-5DF2F928BBC5}" name="Festivos" dataDxfId="4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C1E1-6FB1-457D-9412-EC2A9B7C74CA}">
  <sheetPr codeName="Hoja1"/>
  <dimension ref="A1:C36"/>
  <sheetViews>
    <sheetView topLeftCell="A2" workbookViewId="0">
      <selection activeCell="C11" sqref="C11"/>
    </sheetView>
  </sheetViews>
  <sheetFormatPr baseColWidth="10" defaultColWidth="10.77734375" defaultRowHeight="14.4" x14ac:dyDescent="0.3"/>
  <cols>
    <col min="1" max="1" width="7.109375" customWidth="1"/>
    <col min="2" max="2" width="38.5546875" customWidth="1"/>
  </cols>
  <sheetData>
    <row r="1" spans="1:3" x14ac:dyDescent="0.3">
      <c r="B1" s="11" t="s">
        <v>27</v>
      </c>
      <c r="C1" s="11" t="s">
        <v>28</v>
      </c>
    </row>
    <row r="2" spans="1:3" ht="21" customHeight="1" x14ac:dyDescent="0.3">
      <c r="A2" s="12">
        <v>1</v>
      </c>
      <c r="B2" t="s">
        <v>18</v>
      </c>
      <c r="C2">
        <v>75396402</v>
      </c>
    </row>
    <row r="3" spans="1:3" ht="21" customHeight="1" x14ac:dyDescent="0.3">
      <c r="A3" s="12">
        <v>2</v>
      </c>
      <c r="B3" t="s">
        <v>16</v>
      </c>
      <c r="C3">
        <v>44184914</v>
      </c>
    </row>
    <row r="4" spans="1:3" ht="21" customHeight="1" x14ac:dyDescent="0.3">
      <c r="A4" s="12">
        <v>3</v>
      </c>
      <c r="B4" t="s">
        <v>17</v>
      </c>
      <c r="C4">
        <v>40839932</v>
      </c>
    </row>
    <row r="5" spans="1:3" ht="21" customHeight="1" x14ac:dyDescent="0.3">
      <c r="A5" s="12">
        <v>4</v>
      </c>
      <c r="B5" t="s">
        <v>22</v>
      </c>
      <c r="C5">
        <v>70833343</v>
      </c>
    </row>
    <row r="6" spans="1:3" ht="21" customHeight="1" x14ac:dyDescent="0.3">
      <c r="A6" s="12">
        <v>5</v>
      </c>
      <c r="B6" t="s">
        <v>21</v>
      </c>
      <c r="C6">
        <v>48492558</v>
      </c>
    </row>
    <row r="7" spans="1:3" ht="21" customHeight="1" x14ac:dyDescent="0.3">
      <c r="A7" s="12">
        <v>6</v>
      </c>
      <c r="B7" t="s">
        <v>25</v>
      </c>
      <c r="C7">
        <v>40889884</v>
      </c>
    </row>
    <row r="8" spans="1:3" ht="21" customHeight="1" x14ac:dyDescent="0.3">
      <c r="A8" s="12">
        <v>7</v>
      </c>
      <c r="B8" t="s">
        <v>19</v>
      </c>
      <c r="C8">
        <v>40861767</v>
      </c>
    </row>
    <row r="9" spans="1:3" ht="21" customHeight="1" x14ac:dyDescent="0.3">
      <c r="A9" s="12">
        <v>8</v>
      </c>
      <c r="B9" t="s">
        <v>26</v>
      </c>
      <c r="C9" s="13" t="s">
        <v>20</v>
      </c>
    </row>
    <row r="10" spans="1:3" ht="21" customHeight="1" x14ac:dyDescent="0.3">
      <c r="A10" s="12">
        <v>9</v>
      </c>
    </row>
    <row r="11" spans="1:3" ht="21" customHeight="1" x14ac:dyDescent="0.3">
      <c r="A11" s="12">
        <v>10</v>
      </c>
    </row>
    <row r="12" spans="1:3" ht="21" customHeight="1" x14ac:dyDescent="0.3">
      <c r="A12" s="12">
        <v>11</v>
      </c>
    </row>
    <row r="13" spans="1:3" ht="21" customHeight="1" x14ac:dyDescent="0.3">
      <c r="A13" s="12">
        <v>12</v>
      </c>
    </row>
    <row r="14" spans="1:3" ht="21" customHeight="1" x14ac:dyDescent="0.3">
      <c r="A14" s="12">
        <v>13</v>
      </c>
    </row>
    <row r="15" spans="1:3" ht="21" customHeight="1" x14ac:dyDescent="0.3">
      <c r="A15" s="12">
        <v>14</v>
      </c>
    </row>
    <row r="16" spans="1:3" ht="21" customHeight="1" x14ac:dyDescent="0.3">
      <c r="A16" s="12">
        <v>15</v>
      </c>
    </row>
    <row r="17" spans="1:1" ht="21" customHeight="1" x14ac:dyDescent="0.3">
      <c r="A17" s="12">
        <v>16</v>
      </c>
    </row>
    <row r="18" spans="1:1" ht="21" customHeight="1" x14ac:dyDescent="0.3">
      <c r="A18" s="12">
        <v>17</v>
      </c>
    </row>
    <row r="19" spans="1:1" ht="21" customHeight="1" x14ac:dyDescent="0.3">
      <c r="A19" s="12">
        <v>18</v>
      </c>
    </row>
    <row r="20" spans="1:1" ht="21" customHeight="1" x14ac:dyDescent="0.3">
      <c r="A20" s="12">
        <v>19</v>
      </c>
    </row>
    <row r="21" spans="1:1" ht="21" customHeight="1" x14ac:dyDescent="0.3">
      <c r="A21" s="12">
        <v>20</v>
      </c>
    </row>
    <row r="22" spans="1:1" ht="21" customHeight="1" x14ac:dyDescent="0.3">
      <c r="A22" s="12">
        <v>21</v>
      </c>
    </row>
    <row r="23" spans="1:1" ht="21" customHeight="1" x14ac:dyDescent="0.3">
      <c r="A23" s="12">
        <v>22</v>
      </c>
    </row>
    <row r="24" spans="1:1" ht="21" customHeight="1" x14ac:dyDescent="0.3">
      <c r="A24" s="12">
        <v>23</v>
      </c>
    </row>
    <row r="25" spans="1:1" ht="21" customHeight="1" x14ac:dyDescent="0.3">
      <c r="A25" s="12">
        <v>24</v>
      </c>
    </row>
    <row r="26" spans="1:1" ht="21" customHeight="1" x14ac:dyDescent="0.3">
      <c r="A26" s="12">
        <v>25</v>
      </c>
    </row>
    <row r="27" spans="1:1" ht="21" customHeight="1" x14ac:dyDescent="0.3">
      <c r="A27" s="12">
        <v>26</v>
      </c>
    </row>
    <row r="28" spans="1:1" ht="21" customHeight="1" x14ac:dyDescent="0.3">
      <c r="A28" s="12">
        <v>27</v>
      </c>
    </row>
    <row r="29" spans="1:1" ht="21" customHeight="1" x14ac:dyDescent="0.3">
      <c r="A29" s="12">
        <v>28</v>
      </c>
    </row>
    <row r="30" spans="1:1" ht="21" customHeight="1" x14ac:dyDescent="0.3">
      <c r="A30" s="12">
        <v>29</v>
      </c>
    </row>
    <row r="31" spans="1:1" ht="21" customHeight="1" x14ac:dyDescent="0.3">
      <c r="A31" s="12">
        <v>30</v>
      </c>
    </row>
    <row r="32" spans="1:1" ht="21" customHeight="1" x14ac:dyDescent="0.3">
      <c r="A32" s="12">
        <v>31</v>
      </c>
    </row>
    <row r="33" spans="1:1" ht="21" customHeight="1" x14ac:dyDescent="0.3">
      <c r="A33" s="12">
        <v>32</v>
      </c>
    </row>
    <row r="34" spans="1:1" ht="21" customHeight="1" x14ac:dyDescent="0.3">
      <c r="A34" s="12">
        <v>33</v>
      </c>
    </row>
    <row r="35" spans="1:1" ht="21" customHeight="1" x14ac:dyDescent="0.3">
      <c r="A35" s="12">
        <v>34</v>
      </c>
    </row>
    <row r="36" spans="1:1" ht="21" customHeight="1" x14ac:dyDescent="0.3">
      <c r="A36" s="1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8852-41C8-4D9A-8E90-849D0A169BDA}">
  <sheetPr codeName="Hoja2"/>
  <dimension ref="A1:L52"/>
  <sheetViews>
    <sheetView topLeftCell="A41" zoomScale="99" zoomScaleNormal="99" workbookViewId="0">
      <selection activeCell="B57" sqref="B57"/>
    </sheetView>
  </sheetViews>
  <sheetFormatPr baseColWidth="10" defaultColWidth="10.77734375" defaultRowHeight="14.4" x14ac:dyDescent="0.3"/>
  <cols>
    <col min="1" max="1" width="4.21875" customWidth="1"/>
    <col min="2" max="2" width="37.21875" customWidth="1"/>
    <col min="3" max="3" width="13.21875" customWidth="1"/>
    <col min="5" max="5" width="12.88671875" customWidth="1"/>
    <col min="7" max="7" width="24.33203125" customWidth="1"/>
    <col min="8" max="8" width="23.21875" customWidth="1"/>
    <col min="9" max="9" width="25.77734375" customWidth="1"/>
    <col min="10" max="10" width="30" customWidth="1"/>
    <col min="11" max="11" width="28.88671875" customWidth="1"/>
    <col min="12" max="12" width="25.33203125" customWidth="1"/>
  </cols>
  <sheetData>
    <row r="1" spans="1:12" ht="41.4" customHeight="1" x14ac:dyDescent="0.3">
      <c r="A1" s="11" t="s">
        <v>1</v>
      </c>
      <c r="B1" s="11" t="s">
        <v>27</v>
      </c>
      <c r="C1" s="11" t="s">
        <v>28</v>
      </c>
      <c r="D1" s="11" t="s">
        <v>85</v>
      </c>
      <c r="E1" s="11" t="s">
        <v>86</v>
      </c>
      <c r="F1" s="11" t="s">
        <v>119</v>
      </c>
      <c r="G1" s="113" t="s">
        <v>148</v>
      </c>
      <c r="H1" s="11" t="s">
        <v>149</v>
      </c>
      <c r="I1" s="113" t="s">
        <v>153</v>
      </c>
      <c r="J1" s="11" t="s">
        <v>154</v>
      </c>
      <c r="K1" s="11" t="s">
        <v>173</v>
      </c>
      <c r="L1" s="11" t="s">
        <v>174</v>
      </c>
    </row>
    <row r="2" spans="1:12" ht="28.2" customHeight="1" x14ac:dyDescent="0.3">
      <c r="A2" s="87">
        <v>1</v>
      </c>
      <c r="B2" s="88" t="s">
        <v>18</v>
      </c>
      <c r="C2" s="89">
        <v>75396402</v>
      </c>
      <c r="D2" s="89" t="s">
        <v>87</v>
      </c>
      <c r="E2" s="89" t="s">
        <v>88</v>
      </c>
      <c r="F2" s="89"/>
      <c r="G2" s="89" t="s">
        <v>206</v>
      </c>
      <c r="H2" s="89" t="s">
        <v>207</v>
      </c>
      <c r="I2" s="90" t="s">
        <v>155</v>
      </c>
      <c r="J2" s="90" t="s">
        <v>156</v>
      </c>
      <c r="K2" s="89"/>
      <c r="L2" s="89"/>
    </row>
    <row r="3" spans="1:12" ht="28.2" customHeight="1" x14ac:dyDescent="0.3">
      <c r="A3" s="87">
        <v>2</v>
      </c>
      <c r="B3" s="88" t="s">
        <v>16</v>
      </c>
      <c r="C3" s="89">
        <v>44184914</v>
      </c>
      <c r="D3" s="89" t="s">
        <v>87</v>
      </c>
      <c r="E3" s="89" t="s">
        <v>88</v>
      </c>
      <c r="F3" s="89"/>
      <c r="G3" s="89"/>
      <c r="H3" s="89"/>
      <c r="I3" s="90" t="s">
        <v>180</v>
      </c>
      <c r="J3" s="90" t="s">
        <v>181</v>
      </c>
      <c r="K3" s="89"/>
      <c r="L3" s="89"/>
    </row>
    <row r="4" spans="1:12" ht="28.2" customHeight="1" x14ac:dyDescent="0.3">
      <c r="A4" s="87">
        <v>3</v>
      </c>
      <c r="B4" s="88" t="s">
        <v>17</v>
      </c>
      <c r="C4" s="89">
        <v>40839932</v>
      </c>
      <c r="D4" s="89" t="s">
        <v>87</v>
      </c>
      <c r="E4" s="89" t="s">
        <v>88</v>
      </c>
      <c r="F4" s="89"/>
      <c r="G4" s="89"/>
      <c r="H4" s="89"/>
      <c r="I4" s="90" t="s">
        <v>204</v>
      </c>
      <c r="J4" s="90" t="s">
        <v>205</v>
      </c>
      <c r="K4" s="89"/>
      <c r="L4" s="89"/>
    </row>
    <row r="5" spans="1:12" ht="28.2" customHeight="1" x14ac:dyDescent="0.3">
      <c r="A5" s="87">
        <v>4</v>
      </c>
      <c r="B5" s="88" t="s">
        <v>22</v>
      </c>
      <c r="C5" s="89">
        <v>70833343</v>
      </c>
      <c r="D5" s="89" t="s">
        <v>87</v>
      </c>
      <c r="E5" s="89" t="s">
        <v>88</v>
      </c>
      <c r="F5" s="89"/>
      <c r="G5" s="89"/>
      <c r="H5" s="89"/>
      <c r="I5" s="90" t="s">
        <v>178</v>
      </c>
      <c r="J5" s="90" t="s">
        <v>179</v>
      </c>
      <c r="K5" s="89"/>
      <c r="L5" s="89"/>
    </row>
    <row r="6" spans="1:12" s="120" customFormat="1" ht="28.2" customHeight="1" x14ac:dyDescent="0.3">
      <c r="A6" s="116">
        <v>5</v>
      </c>
      <c r="B6" s="117" t="s">
        <v>21</v>
      </c>
      <c r="C6" s="118">
        <v>48492558</v>
      </c>
      <c r="D6" s="118" t="s">
        <v>87</v>
      </c>
      <c r="E6" s="118" t="s">
        <v>89</v>
      </c>
      <c r="F6" s="118" t="s">
        <v>122</v>
      </c>
      <c r="G6" s="118"/>
      <c r="H6" s="118"/>
      <c r="I6" s="119" t="s">
        <v>196</v>
      </c>
      <c r="J6" s="119"/>
      <c r="K6" s="118"/>
      <c r="L6" s="118"/>
    </row>
    <row r="7" spans="1:12" s="120" customFormat="1" ht="28.2" customHeight="1" x14ac:dyDescent="0.3">
      <c r="A7" s="116">
        <v>6</v>
      </c>
      <c r="B7" s="117" t="s">
        <v>25</v>
      </c>
      <c r="C7" s="118">
        <v>40889884</v>
      </c>
      <c r="D7" s="118" t="s">
        <v>87</v>
      </c>
      <c r="E7" s="118" t="s">
        <v>88</v>
      </c>
      <c r="F7" s="118"/>
      <c r="G7" s="118"/>
      <c r="H7" s="118"/>
      <c r="I7" s="119" t="s">
        <v>197</v>
      </c>
      <c r="J7" s="119" t="s">
        <v>217</v>
      </c>
      <c r="K7" s="118"/>
      <c r="L7" s="118"/>
    </row>
    <row r="8" spans="1:12" s="130" customFormat="1" ht="28.2" customHeight="1" x14ac:dyDescent="0.3">
      <c r="A8" s="126">
        <v>7</v>
      </c>
      <c r="B8" s="127" t="s">
        <v>19</v>
      </c>
      <c r="C8" s="128">
        <v>40861767</v>
      </c>
      <c r="D8" s="128" t="s">
        <v>87</v>
      </c>
      <c r="E8" s="128" t="s">
        <v>90</v>
      </c>
      <c r="F8" s="128" t="s">
        <v>123</v>
      </c>
      <c r="G8" s="128" t="s">
        <v>169</v>
      </c>
      <c r="H8" s="128" t="s">
        <v>170</v>
      </c>
      <c r="I8" s="129"/>
      <c r="J8" s="129"/>
      <c r="K8" s="128"/>
      <c r="L8" s="128"/>
    </row>
    <row r="9" spans="1:12" s="125" customFormat="1" ht="28.2" customHeight="1" x14ac:dyDescent="0.3">
      <c r="A9" s="121">
        <v>8</v>
      </c>
      <c r="B9" s="122" t="s">
        <v>26</v>
      </c>
      <c r="C9" s="123" t="s">
        <v>20</v>
      </c>
      <c r="D9" s="124" t="s">
        <v>87</v>
      </c>
      <c r="E9" s="124" t="s">
        <v>91</v>
      </c>
      <c r="F9" s="124"/>
      <c r="G9" s="124"/>
      <c r="H9" s="124"/>
      <c r="I9" s="123"/>
      <c r="J9" s="123"/>
      <c r="K9" s="124"/>
      <c r="L9" s="124"/>
    </row>
    <row r="10" spans="1:12" ht="28.2" customHeight="1" x14ac:dyDescent="0.3">
      <c r="A10" s="87">
        <v>9</v>
      </c>
      <c r="B10" s="88" t="s">
        <v>92</v>
      </c>
      <c r="C10" s="89">
        <v>41056694</v>
      </c>
      <c r="D10" s="89" t="s">
        <v>93</v>
      </c>
      <c r="E10" s="89" t="s">
        <v>94</v>
      </c>
      <c r="F10" s="89"/>
      <c r="G10" s="89"/>
      <c r="H10" s="89"/>
      <c r="I10" s="90"/>
      <c r="J10" s="90"/>
      <c r="K10" s="89" t="s">
        <v>175</v>
      </c>
      <c r="L10" s="89" t="s">
        <v>176</v>
      </c>
    </row>
    <row r="11" spans="1:12" ht="28.2" customHeight="1" x14ac:dyDescent="0.3">
      <c r="A11" s="87">
        <v>10</v>
      </c>
      <c r="B11" s="88" t="s">
        <v>95</v>
      </c>
      <c r="C11" s="89">
        <v>76470794</v>
      </c>
      <c r="D11" s="89" t="s">
        <v>96</v>
      </c>
      <c r="E11" s="89" t="s">
        <v>97</v>
      </c>
      <c r="F11" s="89"/>
      <c r="G11" s="89"/>
      <c r="H11" s="89"/>
      <c r="I11" s="90" t="s">
        <v>187</v>
      </c>
      <c r="J11" s="90" t="s">
        <v>188</v>
      </c>
      <c r="K11" s="89"/>
      <c r="L11" s="89"/>
    </row>
    <row r="12" spans="1:12" ht="28.2" customHeight="1" x14ac:dyDescent="0.3">
      <c r="A12" s="87">
        <v>11</v>
      </c>
      <c r="B12" s="88" t="s">
        <v>98</v>
      </c>
      <c r="C12" s="89">
        <v>71234038</v>
      </c>
      <c r="D12" s="89" t="s">
        <v>93</v>
      </c>
      <c r="E12" s="89" t="s">
        <v>99</v>
      </c>
      <c r="F12" s="89"/>
      <c r="G12" s="89" t="s">
        <v>185</v>
      </c>
      <c r="H12" s="89" t="s">
        <v>186</v>
      </c>
      <c r="I12" s="90"/>
      <c r="J12" s="90"/>
      <c r="K12" s="89"/>
      <c r="L12" s="89"/>
    </row>
    <row r="13" spans="1:12" ht="28.2" customHeight="1" x14ac:dyDescent="0.3">
      <c r="A13" s="87">
        <v>12</v>
      </c>
      <c r="B13" s="88" t="s">
        <v>100</v>
      </c>
      <c r="C13" s="90" t="s">
        <v>124</v>
      </c>
      <c r="D13" s="89" t="s">
        <v>87</v>
      </c>
      <c r="E13" s="89" t="s">
        <v>101</v>
      </c>
      <c r="F13" s="89"/>
      <c r="G13" s="90" t="s">
        <v>161</v>
      </c>
      <c r="H13" s="89" t="s">
        <v>147</v>
      </c>
      <c r="I13" s="90"/>
      <c r="J13" s="90"/>
      <c r="K13" s="89"/>
      <c r="L13" s="89"/>
    </row>
    <row r="14" spans="1:12" ht="28.2" customHeight="1" x14ac:dyDescent="0.3">
      <c r="A14" s="87">
        <v>13</v>
      </c>
      <c r="B14" s="88" t="s">
        <v>102</v>
      </c>
      <c r="C14" s="89">
        <v>26683098</v>
      </c>
      <c r="D14" s="89" t="s">
        <v>96</v>
      </c>
      <c r="E14" s="89" t="s">
        <v>103</v>
      </c>
      <c r="F14" s="89"/>
      <c r="G14" s="89"/>
      <c r="H14" s="89"/>
      <c r="I14" s="90" t="s">
        <v>183</v>
      </c>
      <c r="J14" s="90" t="s">
        <v>184</v>
      </c>
      <c r="K14" s="89"/>
      <c r="L14" s="89"/>
    </row>
    <row r="15" spans="1:12" ht="28.2" customHeight="1" x14ac:dyDescent="0.3">
      <c r="A15" s="87">
        <v>14</v>
      </c>
      <c r="B15" s="88" t="s">
        <v>104</v>
      </c>
      <c r="C15" s="90" t="s">
        <v>105</v>
      </c>
      <c r="D15" s="89" t="s">
        <v>87</v>
      </c>
      <c r="E15" s="89" t="s">
        <v>89</v>
      </c>
      <c r="F15" s="89" t="s">
        <v>122</v>
      </c>
      <c r="G15" s="89" t="s">
        <v>162</v>
      </c>
      <c r="H15" s="89" t="s">
        <v>152</v>
      </c>
      <c r="I15" s="90"/>
      <c r="J15" s="90"/>
      <c r="K15" s="89"/>
      <c r="L15" s="89"/>
    </row>
    <row r="16" spans="1:12" ht="28.2" customHeight="1" x14ac:dyDescent="0.3">
      <c r="A16" s="87">
        <v>15</v>
      </c>
      <c r="B16" s="88" t="s">
        <v>106</v>
      </c>
      <c r="C16" s="89">
        <v>44723682</v>
      </c>
      <c r="D16" s="89" t="s">
        <v>87</v>
      </c>
      <c r="E16" s="89" t="s">
        <v>88</v>
      </c>
      <c r="F16" s="89"/>
      <c r="G16" s="89" t="s">
        <v>157</v>
      </c>
      <c r="H16" s="89" t="s">
        <v>158</v>
      </c>
      <c r="I16" s="90"/>
      <c r="J16" s="90"/>
      <c r="K16" s="89"/>
      <c r="L16" s="89"/>
    </row>
    <row r="17" spans="1:12" ht="28.2" customHeight="1" x14ac:dyDescent="0.3">
      <c r="A17" s="87">
        <v>16</v>
      </c>
      <c r="B17" s="88" t="s">
        <v>107</v>
      </c>
      <c r="C17" s="89">
        <v>78202475</v>
      </c>
      <c r="D17" s="89" t="s">
        <v>87</v>
      </c>
      <c r="E17" s="89" t="s">
        <v>89</v>
      </c>
      <c r="F17" s="89" t="s">
        <v>120</v>
      </c>
      <c r="G17" s="89" t="s">
        <v>182</v>
      </c>
      <c r="H17" s="89" t="s">
        <v>191</v>
      </c>
      <c r="I17" s="90"/>
      <c r="J17" s="90"/>
      <c r="K17" s="89"/>
      <c r="L17" s="89"/>
    </row>
    <row r="18" spans="1:12" ht="28.2" customHeight="1" x14ac:dyDescent="0.3">
      <c r="A18" s="87">
        <v>17</v>
      </c>
      <c r="B18" s="88" t="s">
        <v>108</v>
      </c>
      <c r="C18" s="89">
        <v>44758063</v>
      </c>
      <c r="D18" s="89" t="s">
        <v>87</v>
      </c>
      <c r="E18" s="89" t="s">
        <v>89</v>
      </c>
      <c r="F18" s="89" t="s">
        <v>121</v>
      </c>
      <c r="G18" s="89" t="s">
        <v>194</v>
      </c>
      <c r="H18" s="89" t="s">
        <v>195</v>
      </c>
      <c r="I18" s="90"/>
      <c r="J18" s="90"/>
      <c r="K18" s="89"/>
      <c r="L18" s="89"/>
    </row>
    <row r="19" spans="1:12" ht="28.2" customHeight="1" x14ac:dyDescent="0.3">
      <c r="A19" s="87">
        <v>18</v>
      </c>
      <c r="B19" s="88" t="s">
        <v>109</v>
      </c>
      <c r="C19" s="89">
        <v>46906026</v>
      </c>
      <c r="D19" s="89" t="s">
        <v>87</v>
      </c>
      <c r="E19" s="89" t="s">
        <v>88</v>
      </c>
      <c r="F19" s="89"/>
      <c r="G19" s="89" t="s">
        <v>159</v>
      </c>
      <c r="H19" s="89" t="s">
        <v>160</v>
      </c>
      <c r="I19" s="90"/>
      <c r="J19" s="90"/>
      <c r="K19" s="89"/>
      <c r="L19" s="89"/>
    </row>
    <row r="20" spans="1:12" ht="28.2" customHeight="1" x14ac:dyDescent="0.3">
      <c r="A20" s="87">
        <v>19</v>
      </c>
      <c r="B20" s="88" t="s">
        <v>131</v>
      </c>
      <c r="C20" s="89">
        <v>72188706</v>
      </c>
      <c r="D20" s="89" t="s">
        <v>110</v>
      </c>
      <c r="E20" s="89" t="s">
        <v>111</v>
      </c>
      <c r="F20" s="89"/>
      <c r="G20" s="89"/>
      <c r="H20" s="89"/>
      <c r="I20" s="90" t="s">
        <v>198</v>
      </c>
      <c r="J20" s="90" t="s">
        <v>199</v>
      </c>
      <c r="K20" s="89"/>
      <c r="L20" s="89"/>
    </row>
    <row r="21" spans="1:12" ht="28.2" customHeight="1" x14ac:dyDescent="0.3">
      <c r="A21" s="87">
        <v>20</v>
      </c>
      <c r="B21" s="88" t="s">
        <v>112</v>
      </c>
      <c r="C21" s="89"/>
      <c r="D21" s="89" t="s">
        <v>87</v>
      </c>
      <c r="E21" s="89" t="s">
        <v>113</v>
      </c>
      <c r="F21" s="89"/>
      <c r="G21" s="89"/>
      <c r="H21" s="89"/>
      <c r="I21" s="90"/>
      <c r="J21" s="90"/>
      <c r="K21" s="89"/>
      <c r="L21" s="89"/>
    </row>
    <row r="22" spans="1:12" s="130" customFormat="1" ht="28.2" customHeight="1" x14ac:dyDescent="0.3">
      <c r="A22" s="126">
        <v>21</v>
      </c>
      <c r="B22" s="127" t="s">
        <v>114</v>
      </c>
      <c r="C22" s="128">
        <v>74367601</v>
      </c>
      <c r="D22" s="128" t="s">
        <v>87</v>
      </c>
      <c r="E22" s="128" t="s">
        <v>88</v>
      </c>
      <c r="F22" s="128"/>
      <c r="G22" s="128" t="s">
        <v>167</v>
      </c>
      <c r="H22" s="128" t="s">
        <v>168</v>
      </c>
      <c r="I22" s="129"/>
      <c r="J22" s="129"/>
      <c r="K22" s="128"/>
      <c r="L22" s="128"/>
    </row>
    <row r="23" spans="1:12" ht="28.2" customHeight="1" x14ac:dyDescent="0.3">
      <c r="A23" s="87">
        <v>22</v>
      </c>
      <c r="B23" s="88" t="s">
        <v>115</v>
      </c>
      <c r="C23" s="89">
        <v>47109805</v>
      </c>
      <c r="D23" s="89" t="s">
        <v>87</v>
      </c>
      <c r="E23" s="89" t="s">
        <v>89</v>
      </c>
      <c r="F23" s="89" t="s">
        <v>120</v>
      </c>
      <c r="G23" s="89"/>
      <c r="H23" s="89"/>
      <c r="I23" s="90" t="s">
        <v>165</v>
      </c>
      <c r="J23" s="90" t="s">
        <v>166</v>
      </c>
      <c r="K23" s="89"/>
      <c r="L23" s="89"/>
    </row>
    <row r="24" spans="1:12" s="125" customFormat="1" ht="28.2" customHeight="1" x14ac:dyDescent="0.3">
      <c r="A24" s="121">
        <v>23</v>
      </c>
      <c r="B24" s="122" t="s">
        <v>125</v>
      </c>
      <c r="C24" s="124">
        <v>70522697</v>
      </c>
      <c r="D24" s="124" t="s">
        <v>96</v>
      </c>
      <c r="E24" s="124" t="s">
        <v>126</v>
      </c>
      <c r="F24" s="124"/>
      <c r="G24" s="124"/>
      <c r="H24" s="124"/>
      <c r="I24" s="123"/>
      <c r="J24" s="123"/>
      <c r="K24" s="124"/>
      <c r="L24" s="124"/>
    </row>
    <row r="25" spans="1:12" s="125" customFormat="1" ht="28.2" customHeight="1" x14ac:dyDescent="0.3">
      <c r="A25" s="121">
        <v>24</v>
      </c>
      <c r="B25" s="122" t="s">
        <v>127</v>
      </c>
      <c r="C25" s="124"/>
      <c r="D25" s="124" t="s">
        <v>96</v>
      </c>
      <c r="E25" s="124" t="s">
        <v>99</v>
      </c>
      <c r="F25" s="124"/>
      <c r="G25" s="124"/>
      <c r="H25" s="124"/>
      <c r="I25" s="123"/>
      <c r="J25" s="123"/>
      <c r="K25" s="124"/>
      <c r="L25" s="124"/>
    </row>
    <row r="26" spans="1:12" s="125" customFormat="1" ht="28.2" customHeight="1" x14ac:dyDescent="0.3">
      <c r="A26" s="121">
        <v>25</v>
      </c>
      <c r="B26" s="122" t="s">
        <v>129</v>
      </c>
      <c r="C26" s="124"/>
      <c r="D26" s="124" t="s">
        <v>96</v>
      </c>
      <c r="E26" s="124" t="s">
        <v>130</v>
      </c>
      <c r="F26" s="124"/>
      <c r="G26" s="124"/>
      <c r="H26" s="124"/>
      <c r="I26" s="123"/>
      <c r="J26" s="123"/>
      <c r="K26" s="124"/>
      <c r="L26" s="124"/>
    </row>
    <row r="27" spans="1:12" ht="28.2" customHeight="1" x14ac:dyDescent="0.3">
      <c r="A27" s="87">
        <v>26</v>
      </c>
      <c r="B27" s="88" t="s">
        <v>133</v>
      </c>
      <c r="C27" s="89">
        <v>41018582</v>
      </c>
      <c r="D27" s="89" t="s">
        <v>87</v>
      </c>
      <c r="E27" s="89" t="s">
        <v>89</v>
      </c>
      <c r="F27" s="89" t="s">
        <v>122</v>
      </c>
      <c r="G27" s="89" t="s">
        <v>150</v>
      </c>
      <c r="H27" s="89" t="s">
        <v>151</v>
      </c>
      <c r="I27" s="90"/>
      <c r="J27" s="90"/>
      <c r="K27" s="89"/>
      <c r="L27" s="89"/>
    </row>
    <row r="28" spans="1:12" ht="28.2" customHeight="1" x14ac:dyDescent="0.3">
      <c r="A28" s="87">
        <v>27</v>
      </c>
      <c r="B28" s="88" t="s">
        <v>139</v>
      </c>
      <c r="C28" s="89">
        <v>61415253</v>
      </c>
      <c r="D28" s="89" t="s">
        <v>96</v>
      </c>
      <c r="E28" s="89" t="s">
        <v>130</v>
      </c>
      <c r="F28" s="89"/>
      <c r="G28" s="89"/>
      <c r="H28" s="89"/>
      <c r="I28" s="90" t="s">
        <v>200</v>
      </c>
      <c r="J28" s="90" t="s">
        <v>201</v>
      </c>
      <c r="K28" s="89"/>
      <c r="L28" s="89"/>
    </row>
    <row r="29" spans="1:12" ht="28.2" customHeight="1" x14ac:dyDescent="0.3">
      <c r="A29" s="87">
        <v>28</v>
      </c>
      <c r="B29" s="88" t="s">
        <v>239</v>
      </c>
      <c r="C29" s="89">
        <v>73536489</v>
      </c>
      <c r="D29" s="89" t="s">
        <v>87</v>
      </c>
      <c r="E29" s="89" t="s">
        <v>143</v>
      </c>
      <c r="F29" s="89"/>
      <c r="G29" s="89"/>
      <c r="H29" s="89"/>
      <c r="I29" s="90" t="s">
        <v>163</v>
      </c>
      <c r="J29" s="90" t="s">
        <v>164</v>
      </c>
      <c r="K29" s="89"/>
      <c r="L29" s="89"/>
    </row>
    <row r="30" spans="1:12" s="130" customFormat="1" ht="28.2" customHeight="1" x14ac:dyDescent="0.3">
      <c r="A30" s="126">
        <v>29</v>
      </c>
      <c r="B30" s="127" t="s">
        <v>177</v>
      </c>
      <c r="C30" s="128">
        <v>76338169</v>
      </c>
      <c r="D30" s="128" t="s">
        <v>87</v>
      </c>
      <c r="E30" s="128" t="s">
        <v>144</v>
      </c>
      <c r="F30" s="128"/>
      <c r="G30" s="128" t="s">
        <v>193</v>
      </c>
      <c r="H30" s="128" t="s">
        <v>192</v>
      </c>
      <c r="I30" s="129"/>
      <c r="J30" s="129"/>
      <c r="K30" s="128"/>
      <c r="L30" s="128"/>
    </row>
    <row r="31" spans="1:12" ht="28.2" customHeight="1" x14ac:dyDescent="0.3">
      <c r="A31" s="87">
        <v>30</v>
      </c>
      <c r="B31" s="88" t="s">
        <v>190</v>
      </c>
      <c r="C31" s="89">
        <v>44365799</v>
      </c>
      <c r="D31" s="89" t="s">
        <v>87</v>
      </c>
      <c r="E31" s="89" t="s">
        <v>89</v>
      </c>
      <c r="F31" s="89" t="s">
        <v>145</v>
      </c>
      <c r="G31" s="89"/>
      <c r="H31" s="89"/>
      <c r="I31" s="90" t="s">
        <v>189</v>
      </c>
      <c r="J31" s="90"/>
      <c r="K31" s="89"/>
      <c r="L31" s="89"/>
    </row>
    <row r="32" spans="1:12" ht="28.2" customHeight="1" x14ac:dyDescent="0.3">
      <c r="A32" s="87">
        <v>31</v>
      </c>
      <c r="B32" s="88" t="s">
        <v>202</v>
      </c>
      <c r="C32" s="89">
        <v>47099079</v>
      </c>
      <c r="D32" s="89" t="s">
        <v>87</v>
      </c>
      <c r="E32" s="89" t="s">
        <v>89</v>
      </c>
      <c r="F32" s="89" t="s">
        <v>203</v>
      </c>
      <c r="G32" s="89"/>
      <c r="H32" s="89"/>
      <c r="I32" s="90"/>
      <c r="J32" s="90"/>
      <c r="K32" s="89"/>
      <c r="L32" s="89"/>
    </row>
    <row r="33" spans="1:12" ht="28.2" customHeight="1" x14ac:dyDescent="0.3">
      <c r="A33" s="87">
        <v>32</v>
      </c>
      <c r="B33" s="88" t="s">
        <v>208</v>
      </c>
      <c r="C33" s="89">
        <v>74808890</v>
      </c>
      <c r="D33" s="89" t="s">
        <v>87</v>
      </c>
      <c r="E33" s="89" t="s">
        <v>88</v>
      </c>
      <c r="F33" s="89"/>
      <c r="G33" s="89"/>
      <c r="H33" s="89"/>
      <c r="I33" s="90"/>
      <c r="J33" s="90"/>
      <c r="K33" s="89"/>
      <c r="L33" s="89"/>
    </row>
    <row r="34" spans="1:12" ht="28.2" customHeight="1" x14ac:dyDescent="0.3">
      <c r="A34" s="87">
        <v>33</v>
      </c>
      <c r="B34" s="88" t="s">
        <v>209</v>
      </c>
      <c r="C34" s="89">
        <v>45366294</v>
      </c>
      <c r="D34" s="89" t="s">
        <v>87</v>
      </c>
      <c r="E34" s="89" t="s">
        <v>88</v>
      </c>
      <c r="F34" s="89"/>
      <c r="G34" s="89"/>
      <c r="H34" s="89"/>
      <c r="I34" s="90"/>
      <c r="J34" s="90"/>
      <c r="K34" s="89"/>
      <c r="L34" s="89"/>
    </row>
    <row r="35" spans="1:12" ht="28.2" customHeight="1" x14ac:dyDescent="0.3">
      <c r="A35" s="87">
        <v>34</v>
      </c>
      <c r="B35" s="88" t="s">
        <v>210</v>
      </c>
      <c r="C35" s="90" t="s">
        <v>211</v>
      </c>
      <c r="D35" s="89" t="s">
        <v>87</v>
      </c>
      <c r="E35" s="89" t="s">
        <v>89</v>
      </c>
      <c r="F35" s="89"/>
      <c r="G35" s="89"/>
      <c r="H35" s="89"/>
      <c r="I35" s="90"/>
      <c r="J35" s="90"/>
      <c r="K35" s="89"/>
      <c r="L35" s="89"/>
    </row>
    <row r="36" spans="1:12" ht="28.2" customHeight="1" x14ac:dyDescent="0.3">
      <c r="A36" s="87">
        <v>35</v>
      </c>
      <c r="B36" s="88" t="s">
        <v>212</v>
      </c>
      <c r="C36" s="89">
        <v>47846597</v>
      </c>
      <c r="D36" s="89" t="s">
        <v>87</v>
      </c>
      <c r="E36" s="89" t="s">
        <v>89</v>
      </c>
      <c r="F36" s="89"/>
      <c r="G36" s="89"/>
      <c r="H36" s="89"/>
      <c r="I36" s="90"/>
      <c r="J36" s="90"/>
      <c r="K36" s="89"/>
      <c r="L36" s="89"/>
    </row>
    <row r="37" spans="1:12" ht="28.95" customHeight="1" x14ac:dyDescent="0.3">
      <c r="A37" s="87">
        <v>36</v>
      </c>
      <c r="B37" s="88" t="s">
        <v>213</v>
      </c>
      <c r="C37" s="90" t="s">
        <v>214</v>
      </c>
      <c r="D37" s="89" t="s">
        <v>87</v>
      </c>
      <c r="E37" s="89" t="s">
        <v>88</v>
      </c>
      <c r="F37" s="89"/>
      <c r="G37" s="89"/>
      <c r="H37" s="89"/>
      <c r="I37" s="89"/>
      <c r="J37" s="90"/>
      <c r="K37" s="89"/>
      <c r="L37" s="89"/>
    </row>
    <row r="38" spans="1:12" ht="28.95" customHeight="1" x14ac:dyDescent="0.3">
      <c r="A38" s="87">
        <v>37</v>
      </c>
      <c r="B38" s="88" t="s">
        <v>215</v>
      </c>
      <c r="C38" s="90" t="s">
        <v>216</v>
      </c>
      <c r="D38" s="89" t="s">
        <v>87</v>
      </c>
      <c r="E38" s="89" t="s">
        <v>88</v>
      </c>
      <c r="F38" s="89"/>
      <c r="G38" s="89"/>
      <c r="H38" s="89"/>
      <c r="I38" s="89"/>
      <c r="J38" s="90"/>
      <c r="K38" s="89"/>
      <c r="L38" s="89"/>
    </row>
    <row r="39" spans="1:12" ht="28.8" customHeight="1" x14ac:dyDescent="0.3">
      <c r="A39" s="87">
        <v>38</v>
      </c>
      <c r="B39" s="88" t="s">
        <v>218</v>
      </c>
      <c r="C39" s="90" t="s">
        <v>219</v>
      </c>
      <c r="D39" s="89" t="s">
        <v>87</v>
      </c>
      <c r="E39" s="89" t="s">
        <v>88</v>
      </c>
      <c r="F39" s="89"/>
      <c r="G39" s="89"/>
      <c r="H39" s="89"/>
      <c r="I39" s="89"/>
      <c r="J39" s="90"/>
      <c r="K39" s="89"/>
      <c r="L39" s="89"/>
    </row>
    <row r="40" spans="1:12" ht="28.8" customHeight="1" x14ac:dyDescent="0.3">
      <c r="A40" s="87">
        <v>39</v>
      </c>
      <c r="B40" s="88" t="s">
        <v>220</v>
      </c>
      <c r="C40" s="90" t="s">
        <v>221</v>
      </c>
      <c r="D40" s="89" t="s">
        <v>87</v>
      </c>
      <c r="E40" s="89" t="s">
        <v>88</v>
      </c>
      <c r="F40" s="89"/>
      <c r="G40" s="89"/>
      <c r="H40" s="89"/>
      <c r="I40" s="89"/>
      <c r="J40" s="90"/>
      <c r="K40" s="89"/>
      <c r="L40" s="89"/>
    </row>
    <row r="41" spans="1:12" ht="28.8" customHeight="1" x14ac:dyDescent="0.3">
      <c r="A41" s="87">
        <v>40</v>
      </c>
      <c r="B41" s="88" t="s">
        <v>222</v>
      </c>
      <c r="C41" s="90" t="s">
        <v>223</v>
      </c>
      <c r="D41" s="89" t="s">
        <v>87</v>
      </c>
      <c r="E41" s="89" t="s">
        <v>89</v>
      </c>
      <c r="F41" s="89"/>
      <c r="G41" s="89"/>
      <c r="H41" s="89"/>
      <c r="I41" s="89"/>
      <c r="J41" s="90"/>
      <c r="K41" s="89"/>
      <c r="L41" s="89"/>
    </row>
    <row r="42" spans="1:12" ht="28.8" customHeight="1" x14ac:dyDescent="0.3">
      <c r="A42" s="87">
        <v>41</v>
      </c>
      <c r="B42" s="88" t="s">
        <v>224</v>
      </c>
      <c r="C42" s="90" t="s">
        <v>225</v>
      </c>
      <c r="D42" s="89" t="s">
        <v>87</v>
      </c>
      <c r="E42" s="89" t="s">
        <v>89</v>
      </c>
      <c r="F42" s="89"/>
      <c r="G42" s="89"/>
      <c r="H42" s="89"/>
      <c r="I42" s="89"/>
      <c r="J42" s="90"/>
      <c r="K42" s="89"/>
      <c r="L42" s="89"/>
    </row>
    <row r="43" spans="1:12" ht="28.8" customHeight="1" x14ac:dyDescent="0.3">
      <c r="A43" s="87">
        <v>42</v>
      </c>
      <c r="B43" s="88" t="s">
        <v>226</v>
      </c>
      <c r="C43" s="90" t="s">
        <v>227</v>
      </c>
      <c r="D43" s="89" t="s">
        <v>87</v>
      </c>
      <c r="E43" s="89" t="s">
        <v>89</v>
      </c>
      <c r="F43" s="89"/>
      <c r="G43" s="89"/>
      <c r="H43" s="89"/>
      <c r="I43" s="89"/>
      <c r="J43" s="90"/>
      <c r="K43" s="89"/>
      <c r="L43" s="89"/>
    </row>
    <row r="44" spans="1:12" ht="28.8" customHeight="1" x14ac:dyDescent="0.3">
      <c r="A44" s="87">
        <v>43</v>
      </c>
      <c r="B44" s="88" t="s">
        <v>230</v>
      </c>
      <c r="C44" s="89">
        <v>43187398</v>
      </c>
      <c r="D44" s="89" t="s">
        <v>87</v>
      </c>
      <c r="E44" s="89" t="s">
        <v>89</v>
      </c>
      <c r="F44" s="89"/>
      <c r="G44" s="89"/>
      <c r="H44" s="89"/>
      <c r="I44" s="89"/>
      <c r="J44" s="90"/>
      <c r="K44" s="89"/>
      <c r="L44" s="89"/>
    </row>
    <row r="45" spans="1:12" ht="28.8" customHeight="1" x14ac:dyDescent="0.3">
      <c r="A45" s="87">
        <v>44</v>
      </c>
      <c r="B45" s="88" t="s">
        <v>232</v>
      </c>
      <c r="C45" s="90" t="s">
        <v>233</v>
      </c>
      <c r="D45" s="89" t="s">
        <v>87</v>
      </c>
      <c r="E45" s="89" t="s">
        <v>89</v>
      </c>
      <c r="F45" s="89"/>
      <c r="G45" s="89"/>
      <c r="H45" s="89"/>
      <c r="I45" s="89"/>
      <c r="J45" s="90"/>
      <c r="K45" s="89"/>
      <c r="L45" s="89"/>
    </row>
    <row r="46" spans="1:12" ht="28.8" customHeight="1" x14ac:dyDescent="0.3">
      <c r="A46" s="87">
        <v>45</v>
      </c>
      <c r="B46" s="88" t="s">
        <v>234</v>
      </c>
      <c r="C46" s="90" t="s">
        <v>235</v>
      </c>
      <c r="D46" s="89" t="s">
        <v>87</v>
      </c>
      <c r="E46" s="89" t="s">
        <v>89</v>
      </c>
      <c r="F46" s="89"/>
      <c r="G46" s="89"/>
      <c r="H46" s="89"/>
      <c r="I46" s="89"/>
      <c r="J46" s="90"/>
      <c r="K46" s="89"/>
      <c r="L46" s="89"/>
    </row>
    <row r="47" spans="1:12" ht="28.8" customHeight="1" x14ac:dyDescent="0.3">
      <c r="A47" s="87">
        <v>46</v>
      </c>
      <c r="B47" s="88" t="s">
        <v>236</v>
      </c>
      <c r="C47" s="90" t="s">
        <v>237</v>
      </c>
      <c r="D47" s="89" t="s">
        <v>87</v>
      </c>
      <c r="E47" s="89" t="s">
        <v>88</v>
      </c>
      <c r="F47" s="89"/>
      <c r="G47" s="89"/>
      <c r="H47" s="89"/>
      <c r="I47" s="89"/>
      <c r="J47" s="90"/>
      <c r="K47" s="89"/>
      <c r="L47" s="89"/>
    </row>
    <row r="48" spans="1:12" ht="28.8" customHeight="1" x14ac:dyDescent="0.3">
      <c r="A48" s="87">
        <v>47</v>
      </c>
      <c r="B48" s="88" t="s">
        <v>240</v>
      </c>
      <c r="C48" s="90" t="s">
        <v>241</v>
      </c>
      <c r="D48" s="89" t="s">
        <v>87</v>
      </c>
      <c r="E48" s="89" t="s">
        <v>88</v>
      </c>
      <c r="F48" s="89"/>
      <c r="G48" s="89"/>
      <c r="H48" s="89"/>
      <c r="I48" s="89"/>
      <c r="J48" s="90"/>
      <c r="K48" s="89"/>
      <c r="L48" s="89"/>
    </row>
    <row r="49" spans="1:12" ht="28.8" customHeight="1" x14ac:dyDescent="0.3">
      <c r="A49" s="87">
        <v>48</v>
      </c>
      <c r="B49" s="88" t="s">
        <v>242</v>
      </c>
      <c r="C49" s="90" t="s">
        <v>243</v>
      </c>
      <c r="D49" s="89" t="s">
        <v>87</v>
      </c>
      <c r="E49" s="89" t="s">
        <v>88</v>
      </c>
      <c r="F49" s="89"/>
      <c r="G49" s="89"/>
      <c r="H49" s="89"/>
      <c r="I49" s="89"/>
      <c r="J49" s="90"/>
      <c r="K49" s="89"/>
      <c r="L49" s="89"/>
    </row>
    <row r="50" spans="1:12" ht="28.8" customHeight="1" x14ac:dyDescent="0.3">
      <c r="A50" s="87">
        <v>49</v>
      </c>
      <c r="B50" s="88" t="s">
        <v>244</v>
      </c>
      <c r="C50" s="90" t="s">
        <v>245</v>
      </c>
      <c r="D50" s="89" t="s">
        <v>87</v>
      </c>
      <c r="E50" s="89" t="s">
        <v>88</v>
      </c>
      <c r="F50" s="89"/>
      <c r="G50" s="89"/>
      <c r="H50" s="89"/>
      <c r="I50" s="89"/>
      <c r="J50" s="90"/>
      <c r="K50" s="89"/>
      <c r="L50" s="89"/>
    </row>
    <row r="51" spans="1:12" ht="28.8" customHeight="1" x14ac:dyDescent="0.3">
      <c r="A51" s="87">
        <v>50</v>
      </c>
      <c r="B51" s="88" t="s">
        <v>246</v>
      </c>
      <c r="C51" s="90" t="s">
        <v>247</v>
      </c>
      <c r="D51" s="89" t="s">
        <v>87</v>
      </c>
      <c r="E51" s="89" t="s">
        <v>88</v>
      </c>
      <c r="F51" s="89"/>
      <c r="G51" s="89"/>
      <c r="H51" s="89"/>
      <c r="I51" s="89"/>
      <c r="J51" s="90"/>
      <c r="K51" s="89"/>
      <c r="L51" s="89"/>
    </row>
    <row r="52" spans="1:12" ht="28.8" customHeight="1" x14ac:dyDescent="0.3">
      <c r="A52" s="87">
        <v>51</v>
      </c>
      <c r="B52" s="88" t="s">
        <v>248</v>
      </c>
      <c r="C52" s="90" t="s">
        <v>249</v>
      </c>
      <c r="D52" s="89" t="s">
        <v>87</v>
      </c>
      <c r="E52" s="89" t="s">
        <v>89</v>
      </c>
      <c r="F52" s="89"/>
      <c r="G52" s="89"/>
      <c r="H52" s="89"/>
      <c r="I52" s="89"/>
      <c r="J52" s="90"/>
      <c r="K52" s="89"/>
      <c r="L52" s="8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84C7-A196-4CFB-BEDC-54CFF8E6AE5F}">
  <dimension ref="A1"/>
  <sheetViews>
    <sheetView workbookViewId="0"/>
  </sheetViews>
  <sheetFormatPr baseColWidth="10" defaultColWidth="10.777343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95DB-821C-46BF-9DCD-49B077EA1E02}">
  <dimension ref="A4:D46"/>
  <sheetViews>
    <sheetView topLeftCell="A5" workbookViewId="0">
      <selection activeCell="H22" sqref="H22"/>
    </sheetView>
  </sheetViews>
  <sheetFormatPr baseColWidth="10" defaultColWidth="10.77734375" defaultRowHeight="14.4" x14ac:dyDescent="0.3"/>
  <cols>
    <col min="1" max="1" width="5" customWidth="1"/>
    <col min="2" max="2" width="41" customWidth="1"/>
    <col min="4" max="4" width="16.5546875" customWidth="1"/>
  </cols>
  <sheetData>
    <row r="4" spans="1:4" ht="28.2" customHeight="1" x14ac:dyDescent="0.3">
      <c r="A4" t="s">
        <v>1</v>
      </c>
      <c r="B4" s="11" t="s">
        <v>29</v>
      </c>
      <c r="C4" t="s">
        <v>28</v>
      </c>
      <c r="D4" t="s">
        <v>86</v>
      </c>
    </row>
    <row r="5" spans="1:4" ht="25.95" customHeight="1" x14ac:dyDescent="0.3">
      <c r="A5" s="106">
        <v>1</v>
      </c>
      <c r="B5" t="s">
        <v>102</v>
      </c>
      <c r="C5" s="18">
        <f>IF(_xlfn.XLOOKUP(Hoja1!B5,DATOS[NOMBRES],DATOS[DNI])="","",_xlfn.XLOOKUP(Hoja1!B5,DATOS[NOMBRES],DATOS[DNI]))</f>
        <v>26683098</v>
      </c>
      <c r="D5" s="108" t="str">
        <f>IF(_xlfn.XLOOKUP(Tabla6[[#This Row],[APELLIDOS Y NOMBRES]],DATOS[NOMBRES],DATOS[CARGO])="","",_xlfn.XLOOKUP(Tabla6[[#This Row],[APELLIDOS Y NOMBRES]],DATOS[NOMBRES],DATOS[CARGO]))</f>
        <v>RESIDENTE</v>
      </c>
    </row>
    <row r="6" spans="1:4" ht="25.95" customHeight="1" x14ac:dyDescent="0.3">
      <c r="A6" s="106">
        <v>2</v>
      </c>
      <c r="B6" t="s">
        <v>95</v>
      </c>
      <c r="C6" s="18">
        <f>IF(_xlfn.XLOOKUP(Hoja1!B6,DATOS[NOMBRES],DATOS[DNI])="","",_xlfn.XLOOKUP(Hoja1!B6,DATOS[NOMBRES],DATOS[DNI]))</f>
        <v>76470794</v>
      </c>
      <c r="D6" s="108" t="str">
        <f>IF(_xlfn.XLOOKUP(Tabla6[[#This Row],[APELLIDOS Y NOMBRES]],DATOS[NOMBRES],DATOS[CARGO])="","",_xlfn.XLOOKUP(Tabla6[[#This Row],[APELLIDOS Y NOMBRES]],DATOS[NOMBRES],DATOS[CARGO]))</f>
        <v>ING. CALIDAD</v>
      </c>
    </row>
    <row r="7" spans="1:4" ht="25.95" customHeight="1" x14ac:dyDescent="0.3">
      <c r="A7" s="106">
        <v>3</v>
      </c>
      <c r="B7" t="s">
        <v>98</v>
      </c>
      <c r="C7" s="18">
        <f>IF(_xlfn.XLOOKUP(Hoja1!B7,DATOS[NOMBRES],DATOS[DNI])="","",_xlfn.XLOOKUP(Hoja1!B7,DATOS[NOMBRES],DATOS[DNI]))</f>
        <v>71234038</v>
      </c>
      <c r="D7" s="108" t="str">
        <f>IF(_xlfn.XLOOKUP(Tabla6[[#This Row],[APELLIDOS Y NOMBRES]],DATOS[NOMBRES],DATOS[CARGO])="","",_xlfn.XLOOKUP(Tabla6[[#This Row],[APELLIDOS Y NOMBRES]],DATOS[NOMBRES],DATOS[CARGO]))</f>
        <v>ASIS. ING.</v>
      </c>
    </row>
    <row r="8" spans="1:4" ht="25.95" customHeight="1" x14ac:dyDescent="0.3">
      <c r="A8" s="106">
        <v>4</v>
      </c>
      <c r="B8" t="s">
        <v>92</v>
      </c>
      <c r="C8" s="18">
        <f>IF(_xlfn.XLOOKUP(Hoja1!B8,DATOS[NOMBRES],DATOS[DNI])="","",_xlfn.XLOOKUP(Hoja1!B8,DATOS[NOMBRES],DATOS[DNI]))</f>
        <v>41056694</v>
      </c>
      <c r="D8" s="108" t="str">
        <f>IF(_xlfn.XLOOKUP(Tabla6[[#This Row],[APELLIDOS Y NOMBRES]],DATOS[NOMBRES],DATOS[CARGO])="","",_xlfn.XLOOKUP(Tabla6[[#This Row],[APELLIDOS Y NOMBRES]],DATOS[NOMBRES],DATOS[CARGO]))</f>
        <v>LOGISTICO</v>
      </c>
    </row>
    <row r="9" spans="1:4" ht="25.95" customHeight="1" x14ac:dyDescent="0.3">
      <c r="A9" s="106">
        <v>5</v>
      </c>
      <c r="B9" t="s">
        <v>131</v>
      </c>
      <c r="C9" s="18">
        <f>IF(_xlfn.XLOOKUP(Hoja1!B9,DATOS[NOMBRES],DATOS[DNI])="","",_xlfn.XLOOKUP(Hoja1!B9,DATOS[NOMBRES],DATOS[DNI]))</f>
        <v>72188706</v>
      </c>
      <c r="D9" s="108" t="str">
        <f>IF(_xlfn.XLOOKUP(Tabla6[[#This Row],[APELLIDOS Y NOMBRES]],DATOS[NOMBRES],DATOS[CARGO])="","",_xlfn.XLOOKUP(Tabla6[[#This Row],[APELLIDOS Y NOMBRES]],DATOS[NOMBRES],DATOS[CARGO]))</f>
        <v>TOPOGRAFO</v>
      </c>
    </row>
    <row r="10" spans="1:4" ht="25.95" customHeight="1" x14ac:dyDescent="0.3">
      <c r="A10" s="106">
        <v>6</v>
      </c>
      <c r="B10" t="s">
        <v>100</v>
      </c>
      <c r="C10" s="18" t="str">
        <f>IF(_xlfn.XLOOKUP(Hoja1!B10,DATOS[NOMBRES],DATOS[DNI])="","",_xlfn.XLOOKUP(Hoja1!B10,DATOS[NOMBRES],DATOS[DNI]))</f>
        <v>00662471</v>
      </c>
      <c r="D10" s="108" t="str">
        <f>IF(_xlfn.XLOOKUP(Tabla6[[#This Row],[APELLIDOS Y NOMBRES]],DATOS[NOMBRES],DATOS[CARGO])="","",_xlfn.XLOOKUP(Tabla6[[#This Row],[APELLIDOS Y NOMBRES]],DATOS[NOMBRES],DATOS[CARGO]))</f>
        <v>MAESTRO OBRA</v>
      </c>
    </row>
    <row r="11" spans="1:4" ht="25.95" customHeight="1" x14ac:dyDescent="0.3">
      <c r="A11" s="106">
        <v>7</v>
      </c>
      <c r="B11" t="s">
        <v>125</v>
      </c>
      <c r="C11" s="18">
        <f>IF(_xlfn.XLOOKUP(Hoja1!B11,DATOS[NOMBRES],DATOS[DNI])="","",_xlfn.XLOOKUP(Hoja1!B11,DATOS[NOMBRES],DATOS[DNI]))</f>
        <v>70522697</v>
      </c>
      <c r="D11" s="108" t="str">
        <f>IF(_xlfn.XLOOKUP(Tabla6[[#This Row],[APELLIDOS Y NOMBRES]],DATOS[NOMBRES],DATOS[CARGO])="","",_xlfn.XLOOKUP(Tabla6[[#This Row],[APELLIDOS Y NOMBRES]],DATOS[NOMBRES],DATOS[CARGO]))</f>
        <v>REPRESENTANTE</v>
      </c>
    </row>
    <row r="12" spans="1:4" ht="25.95" customHeight="1" x14ac:dyDescent="0.3">
      <c r="A12" s="106">
        <v>8</v>
      </c>
      <c r="B12" t="s">
        <v>127</v>
      </c>
      <c r="C12" s="18" t="str">
        <f>IF(_xlfn.XLOOKUP(Hoja1!B12,DATOS[NOMBRES],DATOS[DNI])="","",_xlfn.XLOOKUP(Hoja1!B12,DATOS[NOMBRES],DATOS[DNI]))</f>
        <v/>
      </c>
      <c r="D12" s="108" t="str">
        <f>IF(_xlfn.XLOOKUP(Tabla6[[#This Row],[APELLIDOS Y NOMBRES]],DATOS[NOMBRES],DATOS[CARGO])="","",_xlfn.XLOOKUP(Tabla6[[#This Row],[APELLIDOS Y NOMBRES]],DATOS[NOMBRES],DATOS[CARGO]))</f>
        <v>ASIS. ING.</v>
      </c>
    </row>
    <row r="13" spans="1:4" ht="25.95" customHeight="1" x14ac:dyDescent="0.3">
      <c r="A13" s="106">
        <v>9</v>
      </c>
      <c r="B13" t="s">
        <v>129</v>
      </c>
      <c r="C13" s="18" t="str">
        <f>IF(_xlfn.XLOOKUP(Hoja1!B13,DATOS[NOMBRES],DATOS[DNI])="","",_xlfn.XLOOKUP(Hoja1!B13,DATOS[NOMBRES],DATOS[DNI]))</f>
        <v/>
      </c>
      <c r="D13" s="108" t="str">
        <f>IF(_xlfn.XLOOKUP(Tabla6[[#This Row],[APELLIDOS Y NOMBRES]],DATOS[NOMBRES],DATOS[CARGO])="","",_xlfn.XLOOKUP(Tabla6[[#This Row],[APELLIDOS Y NOMBRES]],DATOS[NOMBRES],DATOS[CARGO]))</f>
        <v>ESP. SEGURIDAD</v>
      </c>
    </row>
    <row r="14" spans="1:4" ht="25.95" customHeight="1" x14ac:dyDescent="0.3">
      <c r="A14" s="106">
        <v>10</v>
      </c>
      <c r="C14" s="18" t="e">
        <f>IF(_xlfn.XLOOKUP(Hoja1!B14,DATOS[NOMBRES],DATOS[DNI])="","",_xlfn.XLOOKUP(Hoja1!B14,DATOS[NOMBRES],DATOS[DNI]))</f>
        <v>#N/A</v>
      </c>
      <c r="D14" s="108" t="e">
        <f>IF(_xlfn.XLOOKUP(Tabla6[[#This Row],[APELLIDOS Y NOMBRES]],DATOS[NOMBRES],DATOS[CARGO])="","",_xlfn.XLOOKUP(Tabla6[[#This Row],[APELLIDOS Y NOMBRES]],DATOS[NOMBRES],DATOS[CARGO]))</f>
        <v>#N/A</v>
      </c>
    </row>
    <row r="15" spans="1:4" x14ac:dyDescent="0.3">
      <c r="D15" s="108"/>
    </row>
    <row r="16" spans="1:4" ht="18" x14ac:dyDescent="0.3">
      <c r="B16" s="107" t="s">
        <v>128</v>
      </c>
      <c r="D16" s="108"/>
    </row>
    <row r="17" spans="1:4" ht="25.2" customHeight="1" x14ac:dyDescent="0.3">
      <c r="A17" s="105">
        <v>1</v>
      </c>
      <c r="B17" t="s">
        <v>21</v>
      </c>
      <c r="C17" s="18">
        <f>IF(_xlfn.XLOOKUP(Hoja1!B17,DATOS[NOMBRES],DATOS[DNI])="","",_xlfn.XLOOKUP(Hoja1!B17,DATOS[NOMBRES],DATOS[DNI]))</f>
        <v>48492558</v>
      </c>
      <c r="D17" s="108" t="str">
        <f>IF(_xlfn.XLOOKUP(Tabla6[[#This Row],[APELLIDOS Y NOMBRES]],DATOS[NOMBRES],DATOS[CARGO])="","",_xlfn.XLOOKUP(Tabla6[[#This Row],[APELLIDOS Y NOMBRES]],DATOS[NOMBRES],DATOS[CARGO]))</f>
        <v>OPERARIO</v>
      </c>
    </row>
    <row r="18" spans="1:4" ht="25.2" customHeight="1" x14ac:dyDescent="0.3">
      <c r="A18" s="105">
        <v>2</v>
      </c>
      <c r="B18" t="s">
        <v>104</v>
      </c>
      <c r="C18" s="18" t="str">
        <f>IF(_xlfn.XLOOKUP(Hoja1!B18,DATOS[NOMBRES],DATOS[DNI])="","",_xlfn.XLOOKUP(Hoja1!B18,DATOS[NOMBRES],DATOS[DNI]))</f>
        <v>00515241</v>
      </c>
      <c r="D18" s="108" t="str">
        <f>IF(_xlfn.XLOOKUP(Tabla6[[#This Row],[APELLIDOS Y NOMBRES]],DATOS[NOMBRES],DATOS[CARGO])="","",_xlfn.XLOOKUP(Tabla6[[#This Row],[APELLIDOS Y NOMBRES]],DATOS[NOMBRES],DATOS[CARGO]))</f>
        <v>OPERARIO</v>
      </c>
    </row>
    <row r="19" spans="1:4" ht="25.2" customHeight="1" x14ac:dyDescent="0.3">
      <c r="A19" s="105">
        <v>3</v>
      </c>
      <c r="B19" t="s">
        <v>107</v>
      </c>
      <c r="C19" s="18">
        <f>IF(_xlfn.XLOOKUP(Hoja1!B19,DATOS[NOMBRES],DATOS[DNI])="","",_xlfn.XLOOKUP(Hoja1!B19,DATOS[NOMBRES],DATOS[DNI]))</f>
        <v>78202475</v>
      </c>
      <c r="D19" s="108" t="str">
        <f>IF(_xlfn.XLOOKUP(Tabla6[[#This Row],[APELLIDOS Y NOMBRES]],DATOS[NOMBRES],DATOS[CARGO])="","",_xlfn.XLOOKUP(Tabla6[[#This Row],[APELLIDOS Y NOMBRES]],DATOS[NOMBRES],DATOS[CARGO]))</f>
        <v>OPERARIO</v>
      </c>
    </row>
    <row r="20" spans="1:4" ht="25.2" customHeight="1" x14ac:dyDescent="0.3">
      <c r="A20" s="105">
        <v>4</v>
      </c>
      <c r="B20" t="s">
        <v>108</v>
      </c>
      <c r="C20" s="18">
        <f>IF(_xlfn.XLOOKUP(Hoja1!B20,DATOS[NOMBRES],DATOS[DNI])="","",_xlfn.XLOOKUP(Hoja1!B20,DATOS[NOMBRES],DATOS[DNI]))</f>
        <v>44758063</v>
      </c>
      <c r="D20" s="108" t="str">
        <f>IF(_xlfn.XLOOKUP(Tabla6[[#This Row],[APELLIDOS Y NOMBRES]],DATOS[NOMBRES],DATOS[CARGO])="","",_xlfn.XLOOKUP(Tabla6[[#This Row],[APELLIDOS Y NOMBRES]],DATOS[NOMBRES],DATOS[CARGO]))</f>
        <v>OPERARIO</v>
      </c>
    </row>
    <row r="21" spans="1:4" ht="25.2" customHeight="1" x14ac:dyDescent="0.3">
      <c r="A21" s="105">
        <v>5</v>
      </c>
      <c r="B21" t="s">
        <v>115</v>
      </c>
      <c r="C21" s="18">
        <f>IF(_xlfn.XLOOKUP(Hoja1!B21,DATOS[NOMBRES],DATOS[DNI])="","",_xlfn.XLOOKUP(Hoja1!B21,DATOS[NOMBRES],DATOS[DNI]))</f>
        <v>47109805</v>
      </c>
      <c r="D21" s="108" t="str">
        <f>IF(_xlfn.XLOOKUP(Tabla6[[#This Row],[APELLIDOS Y NOMBRES]],DATOS[NOMBRES],DATOS[CARGO])="","",_xlfn.XLOOKUP(Tabla6[[#This Row],[APELLIDOS Y NOMBRES]],DATOS[NOMBRES],DATOS[CARGO]))</f>
        <v>OPERARIO</v>
      </c>
    </row>
    <row r="22" spans="1:4" ht="25.2" customHeight="1" x14ac:dyDescent="0.3">
      <c r="A22" s="105">
        <v>6</v>
      </c>
      <c r="B22" t="s">
        <v>19</v>
      </c>
      <c r="C22" s="18">
        <f>IF(_xlfn.XLOOKUP(Hoja1!B22,DATOS[NOMBRES],DATOS[DNI])="","",_xlfn.XLOOKUP(Hoja1!B22,DATOS[NOMBRES],DATOS[DNI]))</f>
        <v>40861767</v>
      </c>
      <c r="D22" s="108" t="str">
        <f>IF(_xlfn.XLOOKUP(Tabla6[[#This Row],[APELLIDOS Y NOMBRES]],DATOS[NOMBRES],DATOS[CARGO])="","",_xlfn.XLOOKUP(Tabla6[[#This Row],[APELLIDOS Y NOMBRES]],DATOS[NOMBRES],DATOS[CARGO]))</f>
        <v>OPERARIO/VOLQUETERO</v>
      </c>
    </row>
    <row r="23" spans="1:4" ht="25.2" customHeight="1" x14ac:dyDescent="0.3">
      <c r="A23" s="105">
        <v>7</v>
      </c>
      <c r="B23" t="s">
        <v>18</v>
      </c>
      <c r="C23" s="18">
        <f>IF(_xlfn.XLOOKUP(Hoja1!B23,DATOS[NOMBRES],DATOS[DNI])="","",_xlfn.XLOOKUP(Hoja1!B23,DATOS[NOMBRES],DATOS[DNI]))</f>
        <v>75396402</v>
      </c>
      <c r="D23" s="108" t="str">
        <f>IF(_xlfn.XLOOKUP(Tabla6[[#This Row],[APELLIDOS Y NOMBRES]],DATOS[NOMBRES],DATOS[CARGO])="","",_xlfn.XLOOKUP(Tabla6[[#This Row],[APELLIDOS Y NOMBRES]],DATOS[NOMBRES],DATOS[CARGO]))</f>
        <v>PEON</v>
      </c>
    </row>
    <row r="24" spans="1:4" ht="25.2" customHeight="1" x14ac:dyDescent="0.3">
      <c r="A24" s="105">
        <v>8</v>
      </c>
      <c r="B24" t="s">
        <v>16</v>
      </c>
      <c r="C24" s="18">
        <f>IF(_xlfn.XLOOKUP(Hoja1!B24,DATOS[NOMBRES],DATOS[DNI])="","",_xlfn.XLOOKUP(Hoja1!B24,DATOS[NOMBRES],DATOS[DNI]))</f>
        <v>44184914</v>
      </c>
      <c r="D24" s="108" t="str">
        <f>IF(_xlfn.XLOOKUP(Tabla6[[#This Row],[APELLIDOS Y NOMBRES]],DATOS[NOMBRES],DATOS[CARGO])="","",_xlfn.XLOOKUP(Tabla6[[#This Row],[APELLIDOS Y NOMBRES]],DATOS[NOMBRES],DATOS[CARGO]))</f>
        <v>PEON</v>
      </c>
    </row>
    <row r="25" spans="1:4" ht="25.2" customHeight="1" x14ac:dyDescent="0.3">
      <c r="A25" s="105">
        <v>9</v>
      </c>
      <c r="B25" t="s">
        <v>17</v>
      </c>
      <c r="C25" s="18">
        <f>IF(_xlfn.XLOOKUP(Hoja1!B25,DATOS[NOMBRES],DATOS[DNI])="","",_xlfn.XLOOKUP(Hoja1!B25,DATOS[NOMBRES],DATOS[DNI]))</f>
        <v>40839932</v>
      </c>
      <c r="D25" s="108" t="str">
        <f>IF(_xlfn.XLOOKUP(Tabla6[[#This Row],[APELLIDOS Y NOMBRES]],DATOS[NOMBRES],DATOS[CARGO])="","",_xlfn.XLOOKUP(Tabla6[[#This Row],[APELLIDOS Y NOMBRES]],DATOS[NOMBRES],DATOS[CARGO]))</f>
        <v>PEON</v>
      </c>
    </row>
    <row r="26" spans="1:4" ht="25.2" customHeight="1" x14ac:dyDescent="0.3">
      <c r="A26" s="105">
        <v>10</v>
      </c>
      <c r="B26" t="s">
        <v>22</v>
      </c>
      <c r="C26" s="18">
        <f>IF(_xlfn.XLOOKUP(Hoja1!B26,DATOS[NOMBRES],DATOS[DNI])="","",_xlfn.XLOOKUP(Hoja1!B26,DATOS[NOMBRES],DATOS[DNI]))</f>
        <v>70833343</v>
      </c>
      <c r="D26" s="108" t="str">
        <f>IF(_xlfn.XLOOKUP(Tabla6[[#This Row],[APELLIDOS Y NOMBRES]],DATOS[NOMBRES],DATOS[CARGO])="","",_xlfn.XLOOKUP(Tabla6[[#This Row],[APELLIDOS Y NOMBRES]],DATOS[NOMBRES],DATOS[CARGO]))</f>
        <v>PEON</v>
      </c>
    </row>
    <row r="27" spans="1:4" ht="25.2" customHeight="1" x14ac:dyDescent="0.3">
      <c r="A27" s="105">
        <v>11</v>
      </c>
      <c r="B27" t="s">
        <v>25</v>
      </c>
      <c r="C27" s="18">
        <f>IF(_xlfn.XLOOKUP(Hoja1!B27,DATOS[NOMBRES],DATOS[DNI])="","",_xlfn.XLOOKUP(Hoja1!B27,DATOS[NOMBRES],DATOS[DNI]))</f>
        <v>40889884</v>
      </c>
      <c r="D27" s="108" t="str">
        <f>IF(_xlfn.XLOOKUP(Tabla6[[#This Row],[APELLIDOS Y NOMBRES]],DATOS[NOMBRES],DATOS[CARGO])="","",_xlfn.XLOOKUP(Tabla6[[#This Row],[APELLIDOS Y NOMBRES]],DATOS[NOMBRES],DATOS[CARGO]))</f>
        <v>PEON</v>
      </c>
    </row>
    <row r="28" spans="1:4" ht="25.2" customHeight="1" x14ac:dyDescent="0.3">
      <c r="A28" s="105">
        <v>12</v>
      </c>
      <c r="B28" t="s">
        <v>106</v>
      </c>
      <c r="C28" s="18">
        <f>IF(_xlfn.XLOOKUP(Hoja1!B28,DATOS[NOMBRES],DATOS[DNI])="","",_xlfn.XLOOKUP(Hoja1!B28,DATOS[NOMBRES],DATOS[DNI]))</f>
        <v>44723682</v>
      </c>
      <c r="D28" s="108" t="str">
        <f>IF(_xlfn.XLOOKUP(Tabla6[[#This Row],[APELLIDOS Y NOMBRES]],DATOS[NOMBRES],DATOS[CARGO])="","",_xlfn.XLOOKUP(Tabla6[[#This Row],[APELLIDOS Y NOMBRES]],DATOS[NOMBRES],DATOS[CARGO]))</f>
        <v>PEON</v>
      </c>
    </row>
    <row r="29" spans="1:4" ht="25.2" customHeight="1" x14ac:dyDescent="0.3">
      <c r="A29" s="105">
        <v>13</v>
      </c>
      <c r="B29" t="s">
        <v>109</v>
      </c>
      <c r="C29" s="18">
        <f>IF(_xlfn.XLOOKUP(Hoja1!B29,DATOS[NOMBRES],DATOS[DNI])="","",_xlfn.XLOOKUP(Hoja1!B29,DATOS[NOMBRES],DATOS[DNI]))</f>
        <v>46906026</v>
      </c>
      <c r="D29" s="108" t="str">
        <f>IF(_xlfn.XLOOKUP(Tabla6[[#This Row],[APELLIDOS Y NOMBRES]],DATOS[NOMBRES],DATOS[CARGO])="","",_xlfn.XLOOKUP(Tabla6[[#This Row],[APELLIDOS Y NOMBRES]],DATOS[NOMBRES],DATOS[CARGO]))</f>
        <v>PEON</v>
      </c>
    </row>
    <row r="30" spans="1:4" ht="25.2" customHeight="1" x14ac:dyDescent="0.3">
      <c r="A30" s="105">
        <v>14</v>
      </c>
      <c r="B30" t="s">
        <v>114</v>
      </c>
      <c r="C30" s="18">
        <f>IF(_xlfn.XLOOKUP(Hoja1!B30,DATOS[NOMBRES],DATOS[DNI])="","",_xlfn.XLOOKUP(Hoja1!B30,DATOS[NOMBRES],DATOS[DNI]))</f>
        <v>74367601</v>
      </c>
      <c r="D30" s="108" t="str">
        <f>IF(_xlfn.XLOOKUP(Tabla6[[#This Row],[APELLIDOS Y NOMBRES]],DATOS[NOMBRES],DATOS[CARGO])="","",_xlfn.XLOOKUP(Tabla6[[#This Row],[APELLIDOS Y NOMBRES]],DATOS[NOMBRES],DATOS[CARGO]))</f>
        <v>PEON</v>
      </c>
    </row>
    <row r="31" spans="1:4" ht="25.2" customHeight="1" x14ac:dyDescent="0.3">
      <c r="A31" s="105">
        <v>15</v>
      </c>
      <c r="B31" t="s">
        <v>112</v>
      </c>
      <c r="C31" s="18" t="str">
        <f>IF(_xlfn.XLOOKUP(Hoja1!B31,DATOS[NOMBRES],DATOS[DNI])="","",_xlfn.XLOOKUP(Hoja1!B31,DATOS[NOMBRES],DATOS[DNI]))</f>
        <v/>
      </c>
      <c r="D31" s="108" t="str">
        <f>IF(_xlfn.XLOOKUP(Tabla6[[#This Row],[APELLIDOS Y NOMBRES]],DATOS[NOMBRES],DATOS[CARGO])="","",_xlfn.XLOOKUP(Tabla6[[#This Row],[APELLIDOS Y NOMBRES]],DATOS[NOMBRES],DATOS[CARGO]))</f>
        <v>OPERARIO MAQU.</v>
      </c>
    </row>
    <row r="32" spans="1:4" ht="25.2" customHeight="1" x14ac:dyDescent="0.3">
      <c r="A32" s="105">
        <v>16</v>
      </c>
      <c r="C32" s="18" t="e">
        <f>IF(_xlfn.XLOOKUP(Hoja1!B32,DATOS[NOMBRES],DATOS[DNI])="","",_xlfn.XLOOKUP(Hoja1!B32,DATOS[NOMBRES],DATOS[DNI]))</f>
        <v>#N/A</v>
      </c>
      <c r="D32" s="108" t="e">
        <f>IF(_xlfn.XLOOKUP(Tabla6[[#This Row],[APELLIDOS Y NOMBRES]],DATOS[NOMBRES],DATOS[CARGO])="","",_xlfn.XLOOKUP(Tabla6[[#This Row],[APELLIDOS Y NOMBRES]],DATOS[NOMBRES],DATOS[CARGO]))</f>
        <v>#N/A</v>
      </c>
    </row>
    <row r="33" spans="1:4" ht="25.2" customHeight="1" x14ac:dyDescent="0.3">
      <c r="A33" s="105">
        <v>17</v>
      </c>
      <c r="C33" s="18" t="e">
        <f>IF(_xlfn.XLOOKUP(Hoja1!B33,DATOS[NOMBRES],DATOS[DNI])="","",_xlfn.XLOOKUP(Hoja1!B33,DATOS[NOMBRES],DATOS[DNI]))</f>
        <v>#N/A</v>
      </c>
      <c r="D33" s="108" t="e">
        <f>IF(_xlfn.XLOOKUP(Tabla6[[#This Row],[APELLIDOS Y NOMBRES]],DATOS[NOMBRES],DATOS[CARGO])="","",_xlfn.XLOOKUP(Tabla6[[#This Row],[APELLIDOS Y NOMBRES]],DATOS[NOMBRES],DATOS[CARGO]))</f>
        <v>#N/A</v>
      </c>
    </row>
    <row r="34" spans="1:4" ht="25.2" customHeight="1" x14ac:dyDescent="0.3">
      <c r="A34" s="105">
        <v>18</v>
      </c>
      <c r="C34" s="18" t="e">
        <f>IF(_xlfn.XLOOKUP(Hoja1!B34,DATOS[NOMBRES],DATOS[DNI])="","",_xlfn.XLOOKUP(Hoja1!B34,DATOS[NOMBRES],DATOS[DNI]))</f>
        <v>#N/A</v>
      </c>
      <c r="D34" s="108" t="e">
        <f>IF(_xlfn.XLOOKUP(Tabla6[[#This Row],[APELLIDOS Y NOMBRES]],DATOS[NOMBRES],DATOS[CARGO])="","",_xlfn.XLOOKUP(Tabla6[[#This Row],[APELLIDOS Y NOMBRES]],DATOS[NOMBRES],DATOS[CARGO]))</f>
        <v>#N/A</v>
      </c>
    </row>
    <row r="35" spans="1:4" ht="25.2" customHeight="1" x14ac:dyDescent="0.3">
      <c r="A35" s="105">
        <v>19</v>
      </c>
      <c r="C35" s="18" t="e">
        <f>IF(_xlfn.XLOOKUP(Hoja1!B35,DATOS[NOMBRES],DATOS[DNI])="","",_xlfn.XLOOKUP(Hoja1!B35,DATOS[NOMBRES],DATOS[DNI]))</f>
        <v>#N/A</v>
      </c>
      <c r="D35" s="108" t="e">
        <f>IF(_xlfn.XLOOKUP(Tabla6[[#This Row],[APELLIDOS Y NOMBRES]],DATOS[NOMBRES],DATOS[CARGO])="","",_xlfn.XLOOKUP(Tabla6[[#This Row],[APELLIDOS Y NOMBRES]],DATOS[NOMBRES],DATOS[CARGO]))</f>
        <v>#N/A</v>
      </c>
    </row>
    <row r="36" spans="1:4" ht="25.2" customHeight="1" x14ac:dyDescent="0.3">
      <c r="A36" s="105">
        <v>20</v>
      </c>
      <c r="C36" s="18" t="e">
        <f>IF(_xlfn.XLOOKUP(Hoja1!B36,DATOS[NOMBRES],DATOS[DNI])="","",_xlfn.XLOOKUP(Hoja1!B36,DATOS[NOMBRES],DATOS[DNI]))</f>
        <v>#N/A</v>
      </c>
      <c r="D36" s="108" t="e">
        <f>IF(_xlfn.XLOOKUP(Tabla6[[#This Row],[APELLIDOS Y NOMBRES]],DATOS[NOMBRES],DATOS[CARGO])="","",_xlfn.XLOOKUP(Tabla6[[#This Row],[APELLIDOS Y NOMBRES]],DATOS[NOMBRES],DATOS[CARGO]))</f>
        <v>#N/A</v>
      </c>
    </row>
    <row r="37" spans="1:4" ht="25.2" customHeight="1" x14ac:dyDescent="0.3">
      <c r="A37" s="105">
        <v>21</v>
      </c>
      <c r="C37" s="18" t="e">
        <f>IF(_xlfn.XLOOKUP(Hoja1!B37,DATOS[NOMBRES],DATOS[DNI])="","",_xlfn.XLOOKUP(Hoja1!B37,DATOS[NOMBRES],DATOS[DNI]))</f>
        <v>#N/A</v>
      </c>
      <c r="D37" s="108" t="e">
        <f>IF(_xlfn.XLOOKUP(Tabla6[[#This Row],[APELLIDOS Y NOMBRES]],DATOS[NOMBRES],DATOS[CARGO])="","",_xlfn.XLOOKUP(Tabla6[[#This Row],[APELLIDOS Y NOMBRES]],DATOS[NOMBRES],DATOS[CARGO]))</f>
        <v>#N/A</v>
      </c>
    </row>
    <row r="38" spans="1:4" ht="25.2" customHeight="1" x14ac:dyDescent="0.3">
      <c r="A38" s="105">
        <v>22</v>
      </c>
      <c r="C38" s="18" t="e">
        <f>IF(_xlfn.XLOOKUP(Hoja1!B38,DATOS[NOMBRES],DATOS[DNI])="","",_xlfn.XLOOKUP(Hoja1!B38,DATOS[NOMBRES],DATOS[DNI]))</f>
        <v>#N/A</v>
      </c>
      <c r="D38" s="108" t="e">
        <f>IF(_xlfn.XLOOKUP(Tabla6[[#This Row],[APELLIDOS Y NOMBRES]],DATOS[NOMBRES],DATOS[CARGO])="","",_xlfn.XLOOKUP(Tabla6[[#This Row],[APELLIDOS Y NOMBRES]],DATOS[NOMBRES],DATOS[CARGO]))</f>
        <v>#N/A</v>
      </c>
    </row>
    <row r="39" spans="1:4" ht="25.2" customHeight="1" x14ac:dyDescent="0.3">
      <c r="A39" s="105">
        <v>23</v>
      </c>
      <c r="C39" s="18" t="e">
        <f>IF(_xlfn.XLOOKUP(Hoja1!B39,DATOS[NOMBRES],DATOS[DNI])="","",_xlfn.XLOOKUP(Hoja1!B39,DATOS[NOMBRES],DATOS[DNI]))</f>
        <v>#N/A</v>
      </c>
      <c r="D39" s="108" t="e">
        <f>IF(_xlfn.XLOOKUP(Tabla6[[#This Row],[APELLIDOS Y NOMBRES]],DATOS[NOMBRES],DATOS[CARGO])="","",_xlfn.XLOOKUP(Tabla6[[#This Row],[APELLIDOS Y NOMBRES]],DATOS[NOMBRES],DATOS[CARGO]))</f>
        <v>#N/A</v>
      </c>
    </row>
    <row r="40" spans="1:4" ht="25.2" customHeight="1" x14ac:dyDescent="0.3">
      <c r="A40" s="105">
        <v>24</v>
      </c>
      <c r="C40" s="18" t="e">
        <f>IF(_xlfn.XLOOKUP(Hoja1!B40,DATOS[NOMBRES],DATOS[DNI])="","",_xlfn.XLOOKUP(Hoja1!B40,DATOS[NOMBRES],DATOS[DNI]))</f>
        <v>#N/A</v>
      </c>
      <c r="D40" s="108" t="e">
        <f>IF(_xlfn.XLOOKUP(Tabla6[[#This Row],[APELLIDOS Y NOMBRES]],DATOS[NOMBRES],DATOS[CARGO])="","",_xlfn.XLOOKUP(Tabla6[[#This Row],[APELLIDOS Y NOMBRES]],DATOS[NOMBRES],DATOS[CARGO]))</f>
        <v>#N/A</v>
      </c>
    </row>
    <row r="41" spans="1:4" ht="25.2" customHeight="1" x14ac:dyDescent="0.3">
      <c r="A41" s="105">
        <v>25</v>
      </c>
      <c r="C41" s="18" t="e">
        <f>IF(_xlfn.XLOOKUP(Hoja1!B41,DATOS[NOMBRES],DATOS[DNI])="","",_xlfn.XLOOKUP(Hoja1!B41,DATOS[NOMBRES],DATOS[DNI]))</f>
        <v>#N/A</v>
      </c>
      <c r="D41" s="108" t="e">
        <f>IF(_xlfn.XLOOKUP(Tabla6[[#This Row],[APELLIDOS Y NOMBRES]],DATOS[NOMBRES],DATOS[CARGO])="","",_xlfn.XLOOKUP(Tabla6[[#This Row],[APELLIDOS Y NOMBRES]],DATOS[NOMBRES],DATOS[CARGO]))</f>
        <v>#N/A</v>
      </c>
    </row>
    <row r="42" spans="1:4" ht="25.2" customHeight="1" x14ac:dyDescent="0.3">
      <c r="A42" s="105">
        <v>26</v>
      </c>
      <c r="C42" s="18" t="e">
        <f>IF(_xlfn.XLOOKUP(Hoja1!B42,DATOS[NOMBRES],DATOS[DNI])="","",_xlfn.XLOOKUP(Hoja1!B42,DATOS[NOMBRES],DATOS[DNI]))</f>
        <v>#N/A</v>
      </c>
      <c r="D42" s="108" t="e">
        <f>IF(_xlfn.XLOOKUP(Tabla6[[#This Row],[APELLIDOS Y NOMBRES]],DATOS[NOMBRES],DATOS[CARGO])="","",_xlfn.XLOOKUP(Tabla6[[#This Row],[APELLIDOS Y NOMBRES]],DATOS[NOMBRES],DATOS[CARGO]))</f>
        <v>#N/A</v>
      </c>
    </row>
    <row r="43" spans="1:4" ht="25.2" customHeight="1" x14ac:dyDescent="0.3">
      <c r="A43" s="105">
        <v>27</v>
      </c>
      <c r="C43" s="18" t="e">
        <f>IF(_xlfn.XLOOKUP(Hoja1!B43,DATOS[NOMBRES],DATOS[DNI])="","",_xlfn.XLOOKUP(Hoja1!B43,DATOS[NOMBRES],DATOS[DNI]))</f>
        <v>#N/A</v>
      </c>
      <c r="D43" s="108" t="e">
        <f>IF(_xlfn.XLOOKUP(Tabla6[[#This Row],[APELLIDOS Y NOMBRES]],DATOS[NOMBRES],DATOS[CARGO])="","",_xlfn.XLOOKUP(Tabla6[[#This Row],[APELLIDOS Y NOMBRES]],DATOS[NOMBRES],DATOS[CARGO]))</f>
        <v>#N/A</v>
      </c>
    </row>
    <row r="44" spans="1:4" ht="25.2" customHeight="1" x14ac:dyDescent="0.3">
      <c r="A44" s="105">
        <v>28</v>
      </c>
      <c r="C44" s="18" t="e">
        <f>IF(_xlfn.XLOOKUP(Hoja1!B44,DATOS[NOMBRES],DATOS[DNI])="","",_xlfn.XLOOKUP(Hoja1!B44,DATOS[NOMBRES],DATOS[DNI]))</f>
        <v>#N/A</v>
      </c>
      <c r="D44" s="108" t="e">
        <f>IF(_xlfn.XLOOKUP(Tabla6[[#This Row],[APELLIDOS Y NOMBRES]],DATOS[NOMBRES],DATOS[CARGO])="","",_xlfn.XLOOKUP(Tabla6[[#This Row],[APELLIDOS Y NOMBRES]],DATOS[NOMBRES],DATOS[CARGO]))</f>
        <v>#N/A</v>
      </c>
    </row>
    <row r="45" spans="1:4" ht="25.2" customHeight="1" x14ac:dyDescent="0.3">
      <c r="A45" s="105">
        <v>29</v>
      </c>
      <c r="C45" s="18" t="e">
        <f>IF(_xlfn.XLOOKUP(Hoja1!B45,DATOS[NOMBRES],DATOS[DNI])="","",_xlfn.XLOOKUP(Hoja1!B45,DATOS[NOMBRES],DATOS[DNI]))</f>
        <v>#N/A</v>
      </c>
      <c r="D45" s="108" t="e">
        <f>IF(_xlfn.XLOOKUP(Tabla6[[#This Row],[APELLIDOS Y NOMBRES]],DATOS[NOMBRES],DATOS[CARGO])="","",_xlfn.XLOOKUP(Tabla6[[#This Row],[APELLIDOS Y NOMBRES]],DATOS[NOMBRES],DATOS[CARGO]))</f>
        <v>#N/A</v>
      </c>
    </row>
    <row r="46" spans="1:4" ht="25.2" customHeight="1" x14ac:dyDescent="0.3">
      <c r="A46" s="105">
        <v>30</v>
      </c>
      <c r="C46" s="18" t="e">
        <f>IF(_xlfn.XLOOKUP(Hoja1!B46,DATOS[NOMBRES],DATOS[DNI])="","",_xlfn.XLOOKUP(Hoja1!B46,DATOS[NOMBRES],DATOS[DNI]))</f>
        <v>#N/A</v>
      </c>
      <c r="D46" s="108" t="e">
        <f>IF(_xlfn.XLOOKUP(Tabla6[[#This Row],[APELLIDOS Y NOMBRES]],DATOS[NOMBRES],DATOS[CARGO])="","",_xlfn.XLOOKUP(Tabla6[[#This Row],[APELLIDOS Y NOMBRES]],DATOS[NOMBRES],DATOS[CARGO]))</f>
        <v>#N/A</v>
      </c>
    </row>
  </sheetData>
  <pageMargins left="0.7" right="0.7" top="0.36" bottom="0.25" header="0.3" footer="0.3"/>
  <pageSetup paperSize="9" orientation="portrait" horizontalDpi="4294967293" r:id="rId1"/>
  <ignoredErrors>
    <ignoredError sqref="C5:C6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3673EE3-B07C-4B88-AE4B-12647890087C}">
          <x14:formula1>
            <xm:f>'DATOS GRALES 1'!$B$2:$B$36</xm:f>
          </x14:formula1>
          <xm:sqref>B5:B14 B17:B46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D53A-412F-45DE-BDD5-1AA2EF9C4B44}">
  <sheetPr codeName="Hoja3">
    <pageSetUpPr fitToPage="1"/>
  </sheetPr>
  <dimension ref="A1:L83"/>
  <sheetViews>
    <sheetView workbookViewId="0">
      <selection activeCell="B71" sqref="B71"/>
    </sheetView>
  </sheetViews>
  <sheetFormatPr baseColWidth="10" defaultColWidth="10.77734375" defaultRowHeight="14.4" x14ac:dyDescent="0.3"/>
  <cols>
    <col min="1" max="1" width="3.6640625" customWidth="1"/>
    <col min="2" max="2" width="32" customWidth="1"/>
    <col min="3" max="3" width="9.33203125" customWidth="1"/>
    <col min="4" max="4" width="7.88671875" style="17" customWidth="1"/>
    <col min="6" max="6" width="7.88671875" style="17" customWidth="1"/>
    <col min="12" max="12" width="18.6640625" customWidth="1"/>
  </cols>
  <sheetData>
    <row r="1" spans="1:12" ht="26.25" customHeight="1" x14ac:dyDescent="0.5">
      <c r="A1" s="158"/>
      <c r="B1" s="156"/>
      <c r="C1" s="160" t="s">
        <v>0</v>
      </c>
      <c r="D1" s="160"/>
      <c r="E1" s="160"/>
      <c r="F1" s="160"/>
      <c r="G1" s="160"/>
      <c r="H1" s="160"/>
      <c r="I1" s="160"/>
      <c r="J1" s="160"/>
      <c r="K1" s="160"/>
      <c r="L1" s="160"/>
    </row>
    <row r="2" spans="1:12" ht="19.5" customHeight="1" x14ac:dyDescent="0.35">
      <c r="A2" s="158"/>
      <c r="B2" s="156"/>
      <c r="C2" s="161" t="s">
        <v>23</v>
      </c>
      <c r="D2" s="161"/>
      <c r="E2" s="161"/>
      <c r="F2" s="161"/>
      <c r="G2" s="161"/>
      <c r="H2" s="161"/>
      <c r="I2" s="161"/>
      <c r="J2" s="161"/>
      <c r="K2" s="161"/>
      <c r="L2" s="161"/>
    </row>
    <row r="3" spans="1:12" ht="25.2" customHeight="1" x14ac:dyDescent="0.4">
      <c r="A3" s="159"/>
      <c r="B3" s="157"/>
      <c r="C3" s="162" t="s">
        <v>24</v>
      </c>
      <c r="D3" s="162"/>
      <c r="E3" s="162"/>
      <c r="F3" s="162"/>
      <c r="G3" s="162"/>
      <c r="H3" s="162"/>
      <c r="I3" s="162"/>
      <c r="J3" s="162"/>
      <c r="K3" s="162"/>
      <c r="L3" s="162"/>
    </row>
    <row r="4" spans="1:12" s="3" customFormat="1" ht="13.2" x14ac:dyDescent="0.25">
      <c r="A4" s="154" t="s">
        <v>1</v>
      </c>
      <c r="B4" s="14" t="s">
        <v>2</v>
      </c>
      <c r="C4" s="165" t="s">
        <v>3</v>
      </c>
      <c r="D4" s="163" t="s">
        <v>4</v>
      </c>
      <c r="E4" s="163"/>
      <c r="F4" s="163" t="s">
        <v>5</v>
      </c>
      <c r="G4" s="163"/>
      <c r="H4" s="164" t="s">
        <v>6</v>
      </c>
      <c r="I4" s="164"/>
      <c r="J4" s="14" t="s">
        <v>7</v>
      </c>
      <c r="K4" s="154" t="s">
        <v>8</v>
      </c>
      <c r="L4" s="154" t="s">
        <v>9</v>
      </c>
    </row>
    <row r="5" spans="1:12" ht="13.5" customHeight="1" x14ac:dyDescent="0.3">
      <c r="A5" s="154"/>
      <c r="B5" s="154" t="s">
        <v>10</v>
      </c>
      <c r="C5" s="166"/>
      <c r="D5" s="154" t="s">
        <v>11</v>
      </c>
      <c r="E5" s="155" t="s">
        <v>12</v>
      </c>
      <c r="F5" s="154" t="s">
        <v>11</v>
      </c>
      <c r="G5" s="155" t="s">
        <v>12</v>
      </c>
      <c r="H5" s="14" t="s">
        <v>13</v>
      </c>
      <c r="I5" s="14" t="s">
        <v>14</v>
      </c>
      <c r="J5" s="154" t="s">
        <v>15</v>
      </c>
      <c r="K5" s="154"/>
      <c r="L5" s="154"/>
    </row>
    <row r="6" spans="1:12" ht="18" customHeight="1" x14ac:dyDescent="0.3">
      <c r="A6" s="154"/>
      <c r="B6" s="154"/>
      <c r="C6" s="167"/>
      <c r="D6" s="154"/>
      <c r="E6" s="155"/>
      <c r="F6" s="154"/>
      <c r="G6" s="155"/>
      <c r="H6" s="15" t="s">
        <v>12</v>
      </c>
      <c r="I6" s="15" t="s">
        <v>12</v>
      </c>
      <c r="J6" s="154"/>
      <c r="K6" s="154"/>
      <c r="L6" s="154"/>
    </row>
    <row r="7" spans="1:12" ht="19.95" customHeight="1" x14ac:dyDescent="0.3">
      <c r="A7" s="5">
        <v>1</v>
      </c>
      <c r="B7" s="99" t="s">
        <v>18</v>
      </c>
      <c r="C7" s="109">
        <f>IFERROR(VLOOKUP(B7,'DATOS GRALES 1'!$B$2:$C$52,2,0)," ")</f>
        <v>75396402</v>
      </c>
      <c r="D7" s="95">
        <v>45909</v>
      </c>
      <c r="E7" s="97"/>
      <c r="F7" s="95">
        <v>45909</v>
      </c>
      <c r="G7" s="6"/>
      <c r="H7" s="6"/>
      <c r="I7" s="6"/>
      <c r="J7" s="7"/>
      <c r="K7" s="7"/>
      <c r="L7" s="7"/>
    </row>
    <row r="8" spans="1:12" ht="19.95" customHeight="1" x14ac:dyDescent="0.3">
      <c r="A8" s="2">
        <v>2</v>
      </c>
      <c r="B8" s="100" t="s">
        <v>16</v>
      </c>
      <c r="C8" s="109">
        <f>IFERROR(VLOOKUP(B8,'DATOS GRALES 1'!$B$2:$C$52,2,0)," ")</f>
        <v>44184914</v>
      </c>
      <c r="D8" s="96">
        <v>45909</v>
      </c>
      <c r="E8" s="98"/>
      <c r="F8" s="96">
        <v>45909</v>
      </c>
      <c r="G8" s="9"/>
      <c r="H8" s="8"/>
      <c r="I8" s="9"/>
      <c r="J8" s="9"/>
      <c r="K8" s="9"/>
      <c r="L8" s="10"/>
    </row>
    <row r="9" spans="1:12" ht="19.95" customHeight="1" x14ac:dyDescent="0.3">
      <c r="A9" s="2">
        <f t="shared" ref="A9:A39" si="0">+A8+1</f>
        <v>3</v>
      </c>
      <c r="B9" s="100" t="s">
        <v>17</v>
      </c>
      <c r="C9" s="109">
        <f>IFERROR(VLOOKUP(B9,'DATOS GRALES 1'!$B$2:$C$52,2,0)," ")</f>
        <v>40839932</v>
      </c>
      <c r="D9" s="96">
        <v>45909</v>
      </c>
      <c r="E9" s="98"/>
      <c r="F9" s="95">
        <v>45909</v>
      </c>
      <c r="G9" s="9"/>
      <c r="H9" s="8"/>
      <c r="I9" s="9"/>
      <c r="J9" s="9"/>
      <c r="K9" s="9"/>
      <c r="L9" s="10"/>
    </row>
    <row r="10" spans="1:12" ht="19.95" customHeight="1" x14ac:dyDescent="0.3">
      <c r="A10" s="2">
        <f t="shared" si="0"/>
        <v>4</v>
      </c>
      <c r="B10" s="100" t="s">
        <v>22</v>
      </c>
      <c r="C10" s="109">
        <f>IFERROR(VLOOKUP(B10,'DATOS GRALES 1'!$B$2:$C$52,2,0)," ")</f>
        <v>70833343</v>
      </c>
      <c r="D10" s="96">
        <v>45909</v>
      </c>
      <c r="E10" s="98"/>
      <c r="F10" s="96">
        <v>45909</v>
      </c>
      <c r="G10" s="9"/>
      <c r="H10" s="8"/>
      <c r="I10" s="9"/>
      <c r="J10" s="9"/>
      <c r="K10" s="9"/>
      <c r="L10" s="10"/>
    </row>
    <row r="11" spans="1:12" ht="19.95" customHeight="1" x14ac:dyDescent="0.3">
      <c r="A11" s="2">
        <f t="shared" si="0"/>
        <v>5</v>
      </c>
      <c r="B11" s="100" t="s">
        <v>21</v>
      </c>
      <c r="C11" s="109">
        <f>IFERROR(VLOOKUP(B11,'DATOS GRALES 1'!$B$2:$C$52,2,0)," ")</f>
        <v>48492558</v>
      </c>
      <c r="D11" s="96">
        <v>45909</v>
      </c>
      <c r="E11" s="98"/>
      <c r="F11" s="95">
        <v>45909</v>
      </c>
      <c r="G11" s="9"/>
      <c r="H11" s="8"/>
      <c r="I11" s="9"/>
      <c r="J11" s="9"/>
      <c r="K11" s="9"/>
      <c r="L11" s="10"/>
    </row>
    <row r="12" spans="1:12" ht="19.95" customHeight="1" x14ac:dyDescent="0.3">
      <c r="A12" s="2">
        <f t="shared" si="0"/>
        <v>6</v>
      </c>
      <c r="B12" s="100" t="s">
        <v>25</v>
      </c>
      <c r="C12" s="109">
        <f>IFERROR(VLOOKUP(B12,'DATOS GRALES 1'!$B$2:$C$52,2,0)," ")</f>
        <v>40889884</v>
      </c>
      <c r="D12" s="96">
        <v>45909</v>
      </c>
      <c r="E12" s="98"/>
      <c r="F12" s="96">
        <v>45909</v>
      </c>
      <c r="G12" s="9"/>
      <c r="H12" s="8"/>
      <c r="I12" s="9"/>
      <c r="J12" s="9"/>
      <c r="K12" s="9"/>
      <c r="L12" s="10"/>
    </row>
    <row r="13" spans="1:12" ht="19.95" customHeight="1" x14ac:dyDescent="0.3">
      <c r="A13" s="2">
        <f t="shared" si="0"/>
        <v>7</v>
      </c>
      <c r="B13" s="100" t="s">
        <v>19</v>
      </c>
      <c r="C13" s="109">
        <f>IFERROR(VLOOKUP(B13,'DATOS GRALES 1'!$B$2:$C$52,2,0)," ")</f>
        <v>40861767</v>
      </c>
      <c r="D13" s="96">
        <v>45909</v>
      </c>
      <c r="E13" s="98"/>
      <c r="F13" s="95">
        <v>45909</v>
      </c>
      <c r="G13" s="9"/>
      <c r="H13" s="8"/>
      <c r="I13" s="9"/>
      <c r="J13" s="9"/>
      <c r="K13" s="9"/>
      <c r="L13" s="10"/>
    </row>
    <row r="14" spans="1:12" ht="19.95" customHeight="1" x14ac:dyDescent="0.3">
      <c r="A14" s="2">
        <f t="shared" si="0"/>
        <v>8</v>
      </c>
      <c r="B14" s="100" t="s">
        <v>26</v>
      </c>
      <c r="C14" s="109" t="str">
        <f>IFERROR(VLOOKUP(B14,'DATOS GRALES 1'!$B$2:$C$52,2,0)," ")</f>
        <v>00487377</v>
      </c>
      <c r="D14" s="96">
        <v>45909</v>
      </c>
      <c r="E14" s="98"/>
      <c r="F14" s="96">
        <v>45909</v>
      </c>
      <c r="G14" s="9"/>
      <c r="H14" s="8"/>
      <c r="I14" s="9"/>
      <c r="J14" s="9"/>
      <c r="K14" s="9"/>
      <c r="L14" s="10"/>
    </row>
    <row r="15" spans="1:12" ht="19.95" customHeight="1" x14ac:dyDescent="0.3">
      <c r="A15" s="2">
        <f t="shared" si="0"/>
        <v>9</v>
      </c>
      <c r="B15" s="100" t="s">
        <v>18</v>
      </c>
      <c r="C15" s="109">
        <f>IFERROR(VLOOKUP(B15,'DATOS GRALES 1'!$B$2:$C$52,2,0)," ")</f>
        <v>75396402</v>
      </c>
      <c r="D15" s="96">
        <v>45910</v>
      </c>
      <c r="E15" s="98"/>
      <c r="F15" s="96">
        <v>45910</v>
      </c>
      <c r="G15" s="9"/>
      <c r="H15" s="8"/>
      <c r="I15" s="9"/>
      <c r="J15" s="9"/>
      <c r="K15" s="9"/>
      <c r="L15" s="10"/>
    </row>
    <row r="16" spans="1:12" ht="19.95" customHeight="1" x14ac:dyDescent="0.3">
      <c r="A16" s="2">
        <f t="shared" si="0"/>
        <v>10</v>
      </c>
      <c r="B16" s="100" t="s">
        <v>16</v>
      </c>
      <c r="C16" s="109">
        <f>IFERROR(VLOOKUP(B16,'DATOS GRALES 1'!$B$2:$C$52,2,0)," ")</f>
        <v>44184914</v>
      </c>
      <c r="D16" s="96">
        <v>45910</v>
      </c>
      <c r="E16" s="98"/>
      <c r="F16" s="96">
        <v>45910</v>
      </c>
      <c r="G16" s="9"/>
      <c r="H16" s="8"/>
      <c r="I16" s="9"/>
      <c r="J16" s="9"/>
      <c r="K16" s="9"/>
      <c r="L16" s="10"/>
    </row>
    <row r="17" spans="1:12" ht="19.95" customHeight="1" x14ac:dyDescent="0.3">
      <c r="A17" s="2">
        <f t="shared" si="0"/>
        <v>11</v>
      </c>
      <c r="B17" s="100" t="s">
        <v>17</v>
      </c>
      <c r="C17" s="109">
        <f>IFERROR(VLOOKUP(B17,'DATOS GRALES 1'!$B$2:$C$52,2,0)," ")</f>
        <v>40839932</v>
      </c>
      <c r="D17" s="96">
        <v>45910</v>
      </c>
      <c r="E17" s="98"/>
      <c r="F17" s="96">
        <v>45910</v>
      </c>
      <c r="G17" s="9"/>
      <c r="H17" s="8"/>
      <c r="I17" s="9"/>
      <c r="J17" s="9"/>
      <c r="K17" s="9"/>
      <c r="L17" s="10"/>
    </row>
    <row r="18" spans="1:12" ht="19.95" customHeight="1" x14ac:dyDescent="0.3">
      <c r="A18" s="2">
        <f t="shared" si="0"/>
        <v>12</v>
      </c>
      <c r="B18" s="100" t="s">
        <v>22</v>
      </c>
      <c r="C18" s="109">
        <f>IFERROR(VLOOKUP(B18,'DATOS GRALES 1'!$B$2:$C$52,2,0)," ")</f>
        <v>70833343</v>
      </c>
      <c r="D18" s="96">
        <v>45910</v>
      </c>
      <c r="E18" s="98"/>
      <c r="F18" s="96">
        <v>45910</v>
      </c>
      <c r="G18" s="9"/>
      <c r="H18" s="8"/>
      <c r="I18" s="9"/>
      <c r="J18" s="9"/>
      <c r="K18" s="9"/>
      <c r="L18" s="10"/>
    </row>
    <row r="19" spans="1:12" ht="19.95" customHeight="1" x14ac:dyDescent="0.3">
      <c r="A19" s="2">
        <f t="shared" si="0"/>
        <v>13</v>
      </c>
      <c r="B19" s="100" t="s">
        <v>21</v>
      </c>
      <c r="C19" s="109">
        <f>IFERROR(VLOOKUP(B19,'DATOS GRALES 1'!$B$2:$C$52,2,0)," ")</f>
        <v>48492558</v>
      </c>
      <c r="D19" s="96">
        <v>45910</v>
      </c>
      <c r="E19" s="98"/>
      <c r="F19" s="96">
        <v>45910</v>
      </c>
      <c r="G19" s="9"/>
      <c r="H19" s="8"/>
      <c r="I19" s="9"/>
      <c r="J19" s="9"/>
      <c r="K19" s="9"/>
      <c r="L19" s="10"/>
    </row>
    <row r="20" spans="1:12" ht="19.95" customHeight="1" x14ac:dyDescent="0.3">
      <c r="A20" s="2">
        <f t="shared" si="0"/>
        <v>14</v>
      </c>
      <c r="B20" s="100" t="s">
        <v>25</v>
      </c>
      <c r="C20" s="109">
        <f>IFERROR(VLOOKUP(B20,'DATOS GRALES 1'!$B$2:$C$52,2,0)," ")</f>
        <v>40889884</v>
      </c>
      <c r="D20" s="96">
        <v>45910</v>
      </c>
      <c r="E20" s="98"/>
      <c r="F20" s="96">
        <v>45910</v>
      </c>
      <c r="G20" s="9"/>
      <c r="H20" s="8"/>
      <c r="I20" s="9"/>
      <c r="J20" s="9"/>
      <c r="K20" s="9"/>
      <c r="L20" s="10"/>
    </row>
    <row r="21" spans="1:12" ht="19.95" customHeight="1" x14ac:dyDescent="0.3">
      <c r="A21" s="2">
        <v>15</v>
      </c>
      <c r="B21" s="100" t="s">
        <v>19</v>
      </c>
      <c r="C21" s="109">
        <f>IFERROR(VLOOKUP(B21,'DATOS GRALES 1'!$B$2:$C$52,2,0)," ")</f>
        <v>40861767</v>
      </c>
      <c r="D21" s="96">
        <v>45910</v>
      </c>
      <c r="E21" s="98"/>
      <c r="F21" s="96">
        <v>45910</v>
      </c>
      <c r="G21" s="9"/>
      <c r="H21" s="8"/>
      <c r="I21" s="9"/>
      <c r="J21" s="9"/>
      <c r="K21" s="9"/>
      <c r="L21" s="10"/>
    </row>
    <row r="22" spans="1:12" ht="19.95" customHeight="1" x14ac:dyDescent="0.3">
      <c r="A22" s="2">
        <f t="shared" si="0"/>
        <v>16</v>
      </c>
      <c r="B22" s="100" t="s">
        <v>26</v>
      </c>
      <c r="C22" s="109" t="str">
        <f>IFERROR(VLOOKUP(B22,'DATOS GRALES 1'!$B$2:$C$52,2,0)," ")</f>
        <v>00487377</v>
      </c>
      <c r="D22" s="96">
        <v>45910</v>
      </c>
      <c r="E22" s="98"/>
      <c r="F22" s="96">
        <v>45910</v>
      </c>
      <c r="G22" s="9"/>
      <c r="H22" s="8"/>
      <c r="I22" s="9"/>
      <c r="J22" s="9"/>
      <c r="K22" s="9"/>
      <c r="L22" s="10"/>
    </row>
    <row r="23" spans="1:12" ht="19.95" customHeight="1" x14ac:dyDescent="0.3">
      <c r="A23" s="2">
        <v>17</v>
      </c>
      <c r="B23" s="100" t="s">
        <v>18</v>
      </c>
      <c r="C23" s="109">
        <f>IFERROR(VLOOKUP(B23,'DATOS GRALES 1'!$B$2:$C$52,2,0)," ")</f>
        <v>75396402</v>
      </c>
      <c r="D23" s="96">
        <v>45911</v>
      </c>
      <c r="E23" s="98"/>
      <c r="F23" s="96">
        <v>45911</v>
      </c>
      <c r="G23" s="9"/>
      <c r="H23" s="8"/>
      <c r="I23" s="9"/>
      <c r="J23" s="9"/>
      <c r="K23" s="9"/>
      <c r="L23" s="10"/>
    </row>
    <row r="24" spans="1:12" ht="19.95" customHeight="1" x14ac:dyDescent="0.3">
      <c r="A24" s="2">
        <v>18</v>
      </c>
      <c r="B24" s="100" t="s">
        <v>16</v>
      </c>
      <c r="C24" s="109">
        <f>IFERROR(VLOOKUP(B24,'DATOS GRALES 1'!$B$2:$C$52,2,0)," ")</f>
        <v>44184914</v>
      </c>
      <c r="D24" s="96">
        <v>45911</v>
      </c>
      <c r="E24" s="98"/>
      <c r="F24" s="96">
        <v>45911</v>
      </c>
      <c r="G24" s="9"/>
      <c r="H24" s="8"/>
      <c r="I24" s="9"/>
      <c r="J24" s="9"/>
      <c r="K24" s="9"/>
      <c r="L24" s="10"/>
    </row>
    <row r="25" spans="1:12" ht="19.95" customHeight="1" x14ac:dyDescent="0.3">
      <c r="A25" s="2">
        <v>19</v>
      </c>
      <c r="B25" s="100" t="s">
        <v>17</v>
      </c>
      <c r="C25" s="109">
        <f>IFERROR(VLOOKUP(B25,'DATOS GRALES 1'!$B$2:$C$52,2,0)," ")</f>
        <v>40839932</v>
      </c>
      <c r="D25" s="96">
        <v>45911</v>
      </c>
      <c r="E25" s="98"/>
      <c r="F25" s="96">
        <v>45911</v>
      </c>
      <c r="G25" s="9"/>
      <c r="H25" s="8"/>
      <c r="I25" s="9"/>
      <c r="J25" s="9"/>
      <c r="K25" s="9"/>
      <c r="L25" s="10"/>
    </row>
    <row r="26" spans="1:12" ht="19.95" customHeight="1" x14ac:dyDescent="0.3">
      <c r="A26" s="2">
        <v>20</v>
      </c>
      <c r="B26" s="100" t="s">
        <v>22</v>
      </c>
      <c r="C26" s="109">
        <f>IFERROR(VLOOKUP(B26,'DATOS GRALES 1'!$B$2:$C$52,2,0)," ")</f>
        <v>70833343</v>
      </c>
      <c r="D26" s="96">
        <v>45911</v>
      </c>
      <c r="E26" s="98"/>
      <c r="F26" s="96">
        <v>45911</v>
      </c>
      <c r="G26" s="9"/>
      <c r="H26" s="8"/>
      <c r="I26" s="9"/>
      <c r="J26" s="9"/>
      <c r="K26" s="9"/>
      <c r="L26" s="10"/>
    </row>
    <row r="27" spans="1:12" ht="19.95" customHeight="1" x14ac:dyDescent="0.3">
      <c r="A27" s="2">
        <v>21</v>
      </c>
      <c r="B27" s="100" t="s">
        <v>21</v>
      </c>
      <c r="C27" s="109">
        <f>IFERROR(VLOOKUP(B27,'DATOS GRALES 1'!$B$2:$C$52,2,0)," ")</f>
        <v>48492558</v>
      </c>
      <c r="D27" s="96">
        <v>45911</v>
      </c>
      <c r="E27" s="98"/>
      <c r="F27" s="96">
        <v>45911</v>
      </c>
      <c r="G27" s="9"/>
      <c r="H27" s="8"/>
      <c r="I27" s="9"/>
      <c r="J27" s="9"/>
      <c r="K27" s="9"/>
      <c r="L27" s="10"/>
    </row>
    <row r="28" spans="1:12" ht="19.95" customHeight="1" x14ac:dyDescent="0.3">
      <c r="A28" s="2">
        <v>22</v>
      </c>
      <c r="B28" s="100" t="s">
        <v>25</v>
      </c>
      <c r="C28" s="109">
        <f>IFERROR(VLOOKUP(B28,'DATOS GRALES 1'!$B$2:$C$52,2,0)," ")</f>
        <v>40889884</v>
      </c>
      <c r="D28" s="96">
        <v>45911</v>
      </c>
      <c r="E28" s="98"/>
      <c r="F28" s="96">
        <v>45911</v>
      </c>
      <c r="G28" s="9"/>
      <c r="H28" s="8"/>
      <c r="I28" s="9"/>
      <c r="J28" s="9"/>
      <c r="K28" s="9"/>
      <c r="L28" s="10"/>
    </row>
    <row r="29" spans="1:12" ht="19.95" customHeight="1" x14ac:dyDescent="0.3">
      <c r="A29" s="2">
        <v>23</v>
      </c>
      <c r="B29" s="100" t="s">
        <v>19</v>
      </c>
      <c r="C29" s="109">
        <f>IFERROR(VLOOKUP(B29,'DATOS GRALES 1'!$B$2:$C$52,2,0)," ")</f>
        <v>40861767</v>
      </c>
      <c r="D29" s="96">
        <v>45911</v>
      </c>
      <c r="E29" s="98"/>
      <c r="F29" s="96">
        <v>45911</v>
      </c>
      <c r="G29" s="9"/>
      <c r="H29" s="8"/>
      <c r="I29" s="9"/>
      <c r="J29" s="9"/>
      <c r="K29" s="9"/>
      <c r="L29" s="10"/>
    </row>
    <row r="30" spans="1:12" ht="19.95" customHeight="1" x14ac:dyDescent="0.3">
      <c r="A30" s="2">
        <f t="shared" si="0"/>
        <v>24</v>
      </c>
      <c r="B30" s="100" t="s">
        <v>18</v>
      </c>
      <c r="C30" s="109">
        <f>IFERROR(VLOOKUP(B30,'DATOS GRALES 1'!$B$2:$C$52,2,0)," ")</f>
        <v>75396402</v>
      </c>
      <c r="D30" s="96">
        <v>45912</v>
      </c>
      <c r="E30" s="98"/>
      <c r="F30" s="96">
        <v>45912</v>
      </c>
      <c r="G30" s="9"/>
      <c r="H30" s="8"/>
      <c r="I30" s="9"/>
      <c r="J30" s="9"/>
      <c r="K30" s="9"/>
      <c r="L30" s="10"/>
    </row>
    <row r="31" spans="1:12" ht="19.95" customHeight="1" x14ac:dyDescent="0.3">
      <c r="A31" s="2">
        <f t="shared" si="0"/>
        <v>25</v>
      </c>
      <c r="B31" s="100" t="s">
        <v>16</v>
      </c>
      <c r="C31" s="109">
        <f>IFERROR(VLOOKUP(B31,'DATOS GRALES 1'!$B$2:$C$52,2,0)," ")</f>
        <v>44184914</v>
      </c>
      <c r="D31" s="96">
        <v>45912</v>
      </c>
      <c r="E31" s="98"/>
      <c r="F31" s="96">
        <v>45912</v>
      </c>
      <c r="G31" s="9"/>
      <c r="H31" s="8"/>
      <c r="I31" s="9"/>
      <c r="J31" s="9"/>
      <c r="K31" s="9"/>
      <c r="L31" s="10"/>
    </row>
    <row r="32" spans="1:12" ht="19.95" customHeight="1" x14ac:dyDescent="0.3">
      <c r="A32" s="2">
        <f t="shared" si="0"/>
        <v>26</v>
      </c>
      <c r="B32" s="100" t="s">
        <v>17</v>
      </c>
      <c r="C32" s="109">
        <f>IFERROR(VLOOKUP(B32,'DATOS GRALES 1'!$B$2:$C$52,2,0)," ")</f>
        <v>40839932</v>
      </c>
      <c r="D32" s="96">
        <v>45912</v>
      </c>
      <c r="E32" s="98"/>
      <c r="F32" s="96">
        <v>45912</v>
      </c>
      <c r="G32" s="9"/>
      <c r="H32" s="8"/>
      <c r="I32" s="9"/>
      <c r="J32" s="9"/>
      <c r="K32" s="9"/>
      <c r="L32" s="10"/>
    </row>
    <row r="33" spans="1:12" ht="19.95" customHeight="1" x14ac:dyDescent="0.3">
      <c r="A33" s="2">
        <v>27</v>
      </c>
      <c r="B33" s="100" t="s">
        <v>22</v>
      </c>
      <c r="C33" s="109">
        <f>IFERROR(VLOOKUP(B33,'DATOS GRALES 1'!$B$2:$C$52,2,0)," ")</f>
        <v>70833343</v>
      </c>
      <c r="D33" s="96">
        <v>45912</v>
      </c>
      <c r="E33" s="98"/>
      <c r="F33" s="96">
        <v>45912</v>
      </c>
      <c r="G33" s="9"/>
      <c r="H33" s="8"/>
      <c r="I33" s="9"/>
      <c r="J33" s="9"/>
      <c r="K33" s="9"/>
      <c r="L33" s="10"/>
    </row>
    <row r="34" spans="1:12" ht="19.95" customHeight="1" x14ac:dyDescent="0.3">
      <c r="A34" s="2">
        <v>28</v>
      </c>
      <c r="B34" s="100" t="s">
        <v>21</v>
      </c>
      <c r="C34" s="109">
        <f>IFERROR(VLOOKUP(B34,'DATOS GRALES 1'!$B$2:$C$52,2,0)," ")</f>
        <v>48492558</v>
      </c>
      <c r="D34" s="96">
        <v>45912</v>
      </c>
      <c r="E34" s="98"/>
      <c r="F34" s="96">
        <v>45912</v>
      </c>
      <c r="G34" s="9"/>
      <c r="H34" s="8"/>
      <c r="I34" s="9"/>
      <c r="J34" s="9"/>
      <c r="K34" s="9"/>
      <c r="L34" s="10"/>
    </row>
    <row r="35" spans="1:12" ht="19.95" customHeight="1" x14ac:dyDescent="0.3">
      <c r="A35" s="2">
        <v>29</v>
      </c>
      <c r="B35" s="100" t="s">
        <v>25</v>
      </c>
      <c r="C35" s="109">
        <f>IFERROR(VLOOKUP(B35,'DATOS GRALES 1'!$B$2:$C$52,2,0)," ")</f>
        <v>40889884</v>
      </c>
      <c r="D35" s="96">
        <v>45912</v>
      </c>
      <c r="E35" s="98"/>
      <c r="F35" s="96">
        <v>45912</v>
      </c>
      <c r="G35" s="9"/>
      <c r="H35" s="8"/>
      <c r="I35" s="9"/>
      <c r="J35" s="9"/>
      <c r="K35" s="9"/>
      <c r="L35" s="10"/>
    </row>
    <row r="36" spans="1:12" ht="19.95" customHeight="1" x14ac:dyDescent="0.3">
      <c r="A36" s="2">
        <v>30</v>
      </c>
      <c r="B36" s="100" t="s">
        <v>19</v>
      </c>
      <c r="C36" s="109">
        <f>IFERROR(VLOOKUP(B36,'DATOS GRALES 1'!$B$2:$C$52,2,0)," ")</f>
        <v>40861767</v>
      </c>
      <c r="D36" s="96">
        <v>45912</v>
      </c>
      <c r="E36" s="98"/>
      <c r="F36" s="96">
        <v>45912</v>
      </c>
      <c r="G36" s="9"/>
      <c r="H36" s="8"/>
      <c r="I36" s="9"/>
      <c r="J36" s="9"/>
      <c r="K36" s="9"/>
      <c r="L36" s="10"/>
    </row>
    <row r="37" spans="1:12" ht="19.95" customHeight="1" x14ac:dyDescent="0.3">
      <c r="A37" s="2">
        <f t="shared" si="0"/>
        <v>31</v>
      </c>
      <c r="B37" s="100" t="s">
        <v>18</v>
      </c>
      <c r="C37" s="109">
        <f>IFERROR(VLOOKUP(B37,'DATOS GRALES 1'!$B$2:$C$52,2,0)," ")</f>
        <v>75396402</v>
      </c>
      <c r="D37" s="96">
        <v>45913</v>
      </c>
      <c r="E37" s="98"/>
      <c r="F37" s="96">
        <v>45913</v>
      </c>
      <c r="G37" s="9"/>
      <c r="H37" s="8"/>
      <c r="I37" s="9"/>
      <c r="J37" s="9"/>
      <c r="K37" s="9"/>
      <c r="L37" s="10"/>
    </row>
    <row r="38" spans="1:12" ht="19.95" customHeight="1" x14ac:dyDescent="0.3">
      <c r="A38" s="2">
        <f t="shared" si="0"/>
        <v>32</v>
      </c>
      <c r="B38" s="100" t="s">
        <v>16</v>
      </c>
      <c r="C38" s="109">
        <f>IFERROR(VLOOKUP(B38,'DATOS GRALES 1'!$B$2:$C$52,2,0)," ")</f>
        <v>44184914</v>
      </c>
      <c r="D38" s="96">
        <v>45913</v>
      </c>
      <c r="E38" s="98"/>
      <c r="F38" s="96">
        <v>45913</v>
      </c>
      <c r="G38" s="9"/>
      <c r="H38" s="8"/>
      <c r="I38" s="9"/>
      <c r="J38" s="9"/>
      <c r="K38" s="9"/>
      <c r="L38" s="10"/>
    </row>
    <row r="39" spans="1:12" ht="19.95" customHeight="1" x14ac:dyDescent="0.3">
      <c r="A39" s="2">
        <f t="shared" si="0"/>
        <v>33</v>
      </c>
      <c r="B39" s="100" t="s">
        <v>17</v>
      </c>
      <c r="C39" s="109">
        <f>IFERROR(VLOOKUP(B39,'DATOS GRALES 1'!$B$2:$C$52,2,0)," ")</f>
        <v>40839932</v>
      </c>
      <c r="D39" s="96">
        <v>45913</v>
      </c>
      <c r="E39" s="98"/>
      <c r="F39" s="96">
        <v>45913</v>
      </c>
      <c r="G39" s="9"/>
      <c r="H39" s="8"/>
      <c r="I39" s="9"/>
      <c r="J39" s="9"/>
      <c r="K39" s="9"/>
      <c r="L39" s="10"/>
    </row>
    <row r="40" spans="1:12" ht="19.95" customHeight="1" x14ac:dyDescent="0.3">
      <c r="A40" s="2">
        <v>34</v>
      </c>
      <c r="B40" s="100" t="s">
        <v>22</v>
      </c>
      <c r="C40" s="109">
        <f>IFERROR(VLOOKUP(B40,'DATOS GRALES 1'!$B$2:$C$52,2,0)," ")</f>
        <v>70833343</v>
      </c>
      <c r="D40" s="96">
        <v>45913</v>
      </c>
      <c r="E40" s="98"/>
      <c r="F40" s="96">
        <v>45913</v>
      </c>
      <c r="G40" s="9"/>
      <c r="H40" s="8"/>
      <c r="I40" s="9"/>
      <c r="J40" s="9"/>
      <c r="K40" s="9"/>
      <c r="L40" s="10"/>
    </row>
    <row r="41" spans="1:12" ht="19.95" customHeight="1" x14ac:dyDescent="0.3">
      <c r="A41" s="2">
        <v>35</v>
      </c>
      <c r="B41" s="100" t="s">
        <v>21</v>
      </c>
      <c r="C41" s="109">
        <f>IFERROR(VLOOKUP(B41,'DATOS GRALES 1'!$B$2:$C$52,2,0)," ")</f>
        <v>48492558</v>
      </c>
      <c r="D41" s="96">
        <v>45913</v>
      </c>
      <c r="E41" s="98"/>
      <c r="F41" s="96">
        <v>45913</v>
      </c>
      <c r="G41" s="9"/>
      <c r="H41" s="8"/>
      <c r="I41" s="9"/>
      <c r="J41" s="9"/>
      <c r="K41" s="9"/>
      <c r="L41" s="10"/>
    </row>
    <row r="42" spans="1:12" ht="19.95" customHeight="1" x14ac:dyDescent="0.3">
      <c r="A42" s="2">
        <v>36</v>
      </c>
      <c r="B42" s="100" t="s">
        <v>25</v>
      </c>
      <c r="C42" s="109">
        <f>IFERROR(VLOOKUP(B42,'DATOS GRALES 1'!$B$2:$C$52,2,0)," ")</f>
        <v>40889884</v>
      </c>
      <c r="D42" s="96">
        <v>45913</v>
      </c>
      <c r="E42" s="98"/>
      <c r="F42" s="96">
        <v>45913</v>
      </c>
      <c r="G42" s="9"/>
      <c r="H42" s="8"/>
      <c r="I42" s="9"/>
      <c r="J42" s="9"/>
      <c r="K42" s="9"/>
      <c r="L42" s="10"/>
    </row>
    <row r="43" spans="1:12" ht="19.95" customHeight="1" x14ac:dyDescent="0.3">
      <c r="A43" s="2">
        <v>37</v>
      </c>
      <c r="B43" s="101" t="s">
        <v>19</v>
      </c>
      <c r="C43" s="109">
        <f>IFERROR(VLOOKUP(B43,'DATOS GRALES 1'!$B$2:$C$52,2,0)," ")</f>
        <v>40861767</v>
      </c>
      <c r="D43" s="96">
        <v>45913</v>
      </c>
      <c r="E43" s="98"/>
      <c r="F43" s="96">
        <v>45913</v>
      </c>
      <c r="G43" s="9"/>
      <c r="H43" s="8"/>
      <c r="I43" s="9"/>
      <c r="J43" s="9"/>
      <c r="K43" s="9"/>
      <c r="L43" s="10"/>
    </row>
    <row r="44" spans="1:12" ht="19.95" customHeight="1" x14ac:dyDescent="0.3">
      <c r="A44" s="2">
        <v>38</v>
      </c>
      <c r="B44" s="101" t="s">
        <v>18</v>
      </c>
      <c r="C44" s="109">
        <f>IFERROR(VLOOKUP(B44,'DATOS GRALES 1'!$B$2:$C$52,2,0)," ")</f>
        <v>75396402</v>
      </c>
      <c r="D44" s="96">
        <v>45915</v>
      </c>
      <c r="E44" s="98"/>
      <c r="F44" s="96">
        <v>45915</v>
      </c>
      <c r="G44" s="9"/>
      <c r="H44" s="8"/>
      <c r="I44" s="9"/>
      <c r="J44" s="9"/>
      <c r="K44" s="9"/>
      <c r="L44" s="10"/>
    </row>
    <row r="45" spans="1:12" ht="19.95" customHeight="1" x14ac:dyDescent="0.3">
      <c r="A45" s="2">
        <v>39</v>
      </c>
      <c r="B45" s="100" t="s">
        <v>16</v>
      </c>
      <c r="C45" s="109">
        <f>IFERROR(VLOOKUP(B45,'DATOS GRALES 1'!$B$2:$C$52,2,0)," ")</f>
        <v>44184914</v>
      </c>
      <c r="D45" s="96">
        <v>45915</v>
      </c>
      <c r="E45" s="98"/>
      <c r="F45" s="96">
        <v>45915</v>
      </c>
      <c r="G45" s="9"/>
      <c r="H45" s="8"/>
      <c r="I45" s="9"/>
      <c r="J45" s="9"/>
      <c r="K45" s="9"/>
      <c r="L45" s="10"/>
    </row>
    <row r="46" spans="1:12" ht="19.95" customHeight="1" x14ac:dyDescent="0.3">
      <c r="A46" s="1">
        <v>40</v>
      </c>
      <c r="B46" s="101" t="s">
        <v>17</v>
      </c>
      <c r="C46" s="109">
        <f>IFERROR(VLOOKUP(B46,'DATOS GRALES 1'!$B$2:$C$52,2,0)," ")</f>
        <v>40839932</v>
      </c>
      <c r="D46" s="96">
        <v>45915</v>
      </c>
      <c r="E46" s="98"/>
      <c r="F46" s="96">
        <v>45915</v>
      </c>
      <c r="G46" s="9"/>
      <c r="H46" s="8"/>
      <c r="I46" s="9"/>
      <c r="J46" s="9"/>
      <c r="K46" s="9"/>
      <c r="L46" s="10"/>
    </row>
    <row r="47" spans="1:12" ht="19.95" customHeight="1" x14ac:dyDescent="0.3">
      <c r="A47" s="1">
        <v>41</v>
      </c>
      <c r="B47" s="100" t="s">
        <v>22</v>
      </c>
      <c r="C47" s="109">
        <f>IFERROR(VLOOKUP(B47,'DATOS GRALES 1'!$B$2:$C$52,2,0)," ")</f>
        <v>70833343</v>
      </c>
      <c r="D47" s="96">
        <v>45915</v>
      </c>
      <c r="E47" s="102"/>
      <c r="F47" s="96">
        <v>45915</v>
      </c>
      <c r="G47" s="4"/>
      <c r="H47" s="4"/>
      <c r="I47" s="4"/>
      <c r="J47" s="1"/>
      <c r="K47" s="1"/>
      <c r="L47" s="1"/>
    </row>
    <row r="48" spans="1:12" ht="19.95" customHeight="1" x14ac:dyDescent="0.3">
      <c r="A48" s="1">
        <v>42</v>
      </c>
      <c r="B48" s="100" t="s">
        <v>21</v>
      </c>
      <c r="C48" s="109">
        <f>IFERROR(VLOOKUP(B48,'DATOS GRALES 1'!$B$2:$C$52,2,0)," ")</f>
        <v>48492558</v>
      </c>
      <c r="D48" s="96">
        <v>45915</v>
      </c>
      <c r="E48" s="102"/>
      <c r="F48" s="96">
        <v>45915</v>
      </c>
      <c r="G48" s="4"/>
      <c r="H48" s="4"/>
      <c r="I48" s="4"/>
      <c r="J48" s="1"/>
      <c r="K48" s="1"/>
      <c r="L48" s="1"/>
    </row>
    <row r="49" spans="1:12" ht="19.95" customHeight="1" x14ac:dyDescent="0.3">
      <c r="A49" s="1">
        <v>43</v>
      </c>
      <c r="B49" s="100" t="s">
        <v>25</v>
      </c>
      <c r="C49" s="109">
        <f>IFERROR(VLOOKUP(B49,'DATOS GRALES 1'!$B$2:$C$52,2,0)," ")</f>
        <v>40889884</v>
      </c>
      <c r="D49" s="96">
        <v>45915</v>
      </c>
      <c r="E49" s="102"/>
      <c r="F49" s="96">
        <v>45915</v>
      </c>
      <c r="G49" s="4"/>
      <c r="H49" s="4"/>
      <c r="I49" s="4"/>
      <c r="J49" s="1"/>
      <c r="K49" s="1"/>
      <c r="L49" s="1"/>
    </row>
    <row r="50" spans="1:12" ht="19.95" customHeight="1" x14ac:dyDescent="0.3">
      <c r="A50" s="1">
        <v>44</v>
      </c>
      <c r="B50" s="100" t="s">
        <v>19</v>
      </c>
      <c r="C50" s="109">
        <f>IFERROR(VLOOKUP(B50,'DATOS GRALES 1'!$B$2:$C$52,2,0)," ")</f>
        <v>40861767</v>
      </c>
      <c r="D50" s="96">
        <v>45915</v>
      </c>
      <c r="E50" s="102"/>
      <c r="F50" s="96">
        <v>45915</v>
      </c>
      <c r="G50" s="4"/>
      <c r="H50" s="4"/>
      <c r="I50" s="4"/>
      <c r="J50" s="1"/>
      <c r="K50" s="1"/>
      <c r="L50" s="1"/>
    </row>
    <row r="51" spans="1:12" ht="19.95" customHeight="1" x14ac:dyDescent="0.3">
      <c r="A51" s="1">
        <v>45</v>
      </c>
      <c r="B51" s="99" t="s">
        <v>104</v>
      </c>
      <c r="C51" s="109" t="str">
        <f>IFERROR(VLOOKUP(B51,'DATOS GRALES 1'!$B$2:$C$52,2,0)," ")</f>
        <v>00515241</v>
      </c>
      <c r="D51" s="103">
        <v>45915</v>
      </c>
      <c r="E51" s="102"/>
      <c r="F51" s="103">
        <v>45915</v>
      </c>
      <c r="G51" s="4"/>
      <c r="H51" s="4"/>
      <c r="I51" s="4"/>
      <c r="J51" s="1"/>
      <c r="K51" s="1"/>
      <c r="L51" s="1"/>
    </row>
    <row r="52" spans="1:12" ht="19.95" customHeight="1" x14ac:dyDescent="0.3">
      <c r="A52" s="1">
        <v>46</v>
      </c>
      <c r="B52" s="99" t="s">
        <v>106</v>
      </c>
      <c r="C52" s="109">
        <f>IFERROR(VLOOKUP(B52,'DATOS GRALES 1'!$B$2:$C$52,2,0)," ")</f>
        <v>44723682</v>
      </c>
      <c r="D52" s="103">
        <v>45915</v>
      </c>
      <c r="E52" s="102"/>
      <c r="F52" s="103">
        <v>45915</v>
      </c>
      <c r="G52" s="4"/>
      <c r="H52" s="4"/>
      <c r="I52" s="4"/>
      <c r="J52" s="1"/>
      <c r="K52" s="1"/>
      <c r="L52" s="1"/>
    </row>
    <row r="53" spans="1:12" ht="19.95" customHeight="1" x14ac:dyDescent="0.3">
      <c r="A53" s="1">
        <v>47</v>
      </c>
      <c r="B53" s="99" t="s">
        <v>18</v>
      </c>
      <c r="C53" s="109">
        <f>IFERROR(VLOOKUP(B53,'DATOS GRALES 1'!$B$2:$C$52,2,0)," ")</f>
        <v>75396402</v>
      </c>
      <c r="D53" s="103">
        <v>45916</v>
      </c>
      <c r="E53" s="102"/>
      <c r="F53" s="103">
        <v>45916</v>
      </c>
      <c r="G53" s="4"/>
      <c r="H53" s="4"/>
      <c r="I53" s="4"/>
      <c r="J53" s="1"/>
      <c r="K53" s="1"/>
      <c r="L53" s="1"/>
    </row>
    <row r="54" spans="1:12" ht="19.95" customHeight="1" x14ac:dyDescent="0.3">
      <c r="A54" s="1">
        <v>48</v>
      </c>
      <c r="B54" s="99" t="s">
        <v>16</v>
      </c>
      <c r="C54" s="109">
        <f>IFERROR(VLOOKUP(B54,'DATOS GRALES 1'!$B$2:$C$52,2,0)," ")</f>
        <v>44184914</v>
      </c>
      <c r="D54" s="103">
        <v>45916</v>
      </c>
      <c r="E54" s="102"/>
      <c r="F54" s="103">
        <v>45916</v>
      </c>
      <c r="G54" s="4"/>
      <c r="H54" s="4"/>
      <c r="I54" s="4"/>
      <c r="J54" s="1"/>
      <c r="K54" s="1"/>
      <c r="L54" s="1"/>
    </row>
    <row r="55" spans="1:12" ht="19.95" customHeight="1" x14ac:dyDescent="0.3">
      <c r="A55" s="1">
        <v>49</v>
      </c>
      <c r="B55" s="99" t="s">
        <v>17</v>
      </c>
      <c r="C55" s="109">
        <f>IFERROR(VLOOKUP(B55,'DATOS GRALES 1'!$B$2:$C$52,2,0)," ")</f>
        <v>40839932</v>
      </c>
      <c r="D55" s="103">
        <v>45916</v>
      </c>
      <c r="E55" s="102"/>
      <c r="F55" s="103">
        <v>45916</v>
      </c>
      <c r="G55" s="4"/>
      <c r="H55" s="4"/>
      <c r="I55" s="4"/>
      <c r="J55" s="1"/>
      <c r="K55" s="1"/>
      <c r="L55" s="1"/>
    </row>
    <row r="56" spans="1:12" ht="19.95" customHeight="1" x14ac:dyDescent="0.3">
      <c r="A56" s="1">
        <v>50</v>
      </c>
      <c r="B56" s="99" t="s">
        <v>22</v>
      </c>
      <c r="C56" s="109">
        <f>IFERROR(VLOOKUP(B56,'DATOS GRALES 1'!$B$2:$C$52,2,0)," ")</f>
        <v>70833343</v>
      </c>
      <c r="D56" s="103">
        <v>45916</v>
      </c>
      <c r="E56" s="102"/>
      <c r="F56" s="103">
        <v>45916</v>
      </c>
      <c r="G56" s="4"/>
      <c r="H56" s="4"/>
      <c r="I56" s="4"/>
      <c r="J56" s="1"/>
      <c r="K56" s="1"/>
      <c r="L56" s="1"/>
    </row>
    <row r="57" spans="1:12" ht="19.95" customHeight="1" x14ac:dyDescent="0.3">
      <c r="A57" s="1">
        <v>51</v>
      </c>
      <c r="B57" s="99" t="s">
        <v>21</v>
      </c>
      <c r="C57" s="109">
        <f>IFERROR(VLOOKUP(B57,'DATOS GRALES 1'!$B$2:$C$52,2,0)," ")</f>
        <v>48492558</v>
      </c>
      <c r="D57" s="103">
        <v>45916</v>
      </c>
      <c r="E57" s="102"/>
      <c r="F57" s="103">
        <v>45916</v>
      </c>
      <c r="G57" s="4"/>
      <c r="H57" s="4"/>
      <c r="I57" s="4"/>
      <c r="J57" s="1"/>
      <c r="K57" s="1"/>
      <c r="L57" s="1"/>
    </row>
    <row r="58" spans="1:12" ht="19.95" customHeight="1" x14ac:dyDescent="0.3">
      <c r="A58" s="1">
        <v>52</v>
      </c>
      <c r="B58" s="99" t="s">
        <v>25</v>
      </c>
      <c r="C58" s="109">
        <f>IFERROR(VLOOKUP(B58,'DATOS GRALES 1'!$B$2:$C$52,2,0)," ")</f>
        <v>40889884</v>
      </c>
      <c r="D58" s="103">
        <v>45916</v>
      </c>
      <c r="E58" s="102"/>
      <c r="F58" s="103">
        <v>45916</v>
      </c>
      <c r="G58" s="4"/>
      <c r="H58" s="4"/>
      <c r="I58" s="4"/>
      <c r="J58" s="1"/>
      <c r="K58" s="1"/>
      <c r="L58" s="1"/>
    </row>
    <row r="59" spans="1:12" ht="19.95" customHeight="1" x14ac:dyDescent="0.3">
      <c r="A59" s="1">
        <v>53</v>
      </c>
      <c r="B59" s="99" t="s">
        <v>19</v>
      </c>
      <c r="C59" s="109">
        <f>IFERROR(VLOOKUP(B59,'DATOS GRALES 1'!$B$2:$C$52,2,0)," ")</f>
        <v>40861767</v>
      </c>
      <c r="D59" s="103">
        <v>45916</v>
      </c>
      <c r="E59" s="102"/>
      <c r="F59" s="103">
        <v>45916</v>
      </c>
      <c r="G59" s="4"/>
      <c r="H59" s="4"/>
      <c r="I59" s="4"/>
      <c r="J59" s="1"/>
      <c r="K59" s="1"/>
      <c r="L59" s="1"/>
    </row>
    <row r="60" spans="1:12" ht="19.95" customHeight="1" x14ac:dyDescent="0.3">
      <c r="A60" s="1">
        <v>54</v>
      </c>
      <c r="B60" s="99" t="s">
        <v>104</v>
      </c>
      <c r="C60" s="109" t="str">
        <f>IFERROR(VLOOKUP(B60,'DATOS GRALES 1'!$B$2:$C$52,2,0)," ")</f>
        <v>00515241</v>
      </c>
      <c r="D60" s="103">
        <v>45916</v>
      </c>
      <c r="E60" s="102"/>
      <c r="F60" s="103">
        <v>45916</v>
      </c>
      <c r="G60" s="4"/>
      <c r="H60" s="4"/>
      <c r="I60" s="4"/>
      <c r="J60" s="1"/>
      <c r="K60" s="1"/>
      <c r="L60" s="1"/>
    </row>
    <row r="61" spans="1:12" ht="19.95" customHeight="1" x14ac:dyDescent="0.3">
      <c r="A61" s="1">
        <v>55</v>
      </c>
      <c r="B61" s="99" t="s">
        <v>106</v>
      </c>
      <c r="C61" s="109">
        <f>IFERROR(VLOOKUP(B61,'DATOS GRALES 1'!$B$2:$C$52,2,0)," ")</f>
        <v>44723682</v>
      </c>
      <c r="D61" s="103">
        <v>45916</v>
      </c>
      <c r="E61" s="102"/>
      <c r="F61" s="103">
        <v>45916</v>
      </c>
      <c r="G61" s="4"/>
      <c r="H61" s="4"/>
      <c r="I61" s="4"/>
      <c r="J61" s="1"/>
      <c r="K61" s="1"/>
      <c r="L61" s="1"/>
    </row>
    <row r="62" spans="1:12" ht="19.95" customHeight="1" x14ac:dyDescent="0.3">
      <c r="A62" s="1">
        <v>56</v>
      </c>
      <c r="B62" s="99" t="s">
        <v>18</v>
      </c>
      <c r="C62" s="109">
        <f>IFERROR(VLOOKUP(B62,'DATOS GRALES 1'!$B$2:$C$52,2,0)," ")</f>
        <v>75396402</v>
      </c>
      <c r="D62" s="103">
        <v>45917</v>
      </c>
      <c r="E62" s="102"/>
      <c r="F62" s="103">
        <v>45917</v>
      </c>
      <c r="G62" s="4"/>
      <c r="H62" s="4"/>
      <c r="I62" s="4"/>
      <c r="J62" s="1"/>
      <c r="K62" s="1"/>
      <c r="L62" s="1"/>
    </row>
    <row r="63" spans="1:12" ht="19.95" customHeight="1" x14ac:dyDescent="0.3">
      <c r="A63" s="1">
        <v>57</v>
      </c>
      <c r="B63" s="99" t="s">
        <v>16</v>
      </c>
      <c r="C63" s="109">
        <f>IFERROR(VLOOKUP(B63,'DATOS GRALES 1'!$B$2:$C$52,2,0)," ")</f>
        <v>44184914</v>
      </c>
      <c r="D63" s="103">
        <v>45917</v>
      </c>
      <c r="E63" s="102"/>
      <c r="F63" s="103">
        <v>45917</v>
      </c>
      <c r="G63" s="4"/>
      <c r="H63" s="4"/>
      <c r="I63" s="4"/>
      <c r="J63" s="1"/>
      <c r="K63" s="1"/>
      <c r="L63" s="1"/>
    </row>
    <row r="64" spans="1:12" ht="19.95" customHeight="1" x14ac:dyDescent="0.3">
      <c r="A64" s="1">
        <v>58</v>
      </c>
      <c r="B64" s="99" t="s">
        <v>17</v>
      </c>
      <c r="C64" s="109">
        <f>IFERROR(VLOOKUP(B64,'DATOS GRALES 1'!$B$2:$C$52,2,0)," ")</f>
        <v>40839932</v>
      </c>
      <c r="D64" s="103">
        <v>45917</v>
      </c>
      <c r="E64" s="102"/>
      <c r="F64" s="103">
        <v>45917</v>
      </c>
      <c r="G64" s="4"/>
      <c r="H64" s="4"/>
      <c r="I64" s="4"/>
      <c r="J64" s="1"/>
      <c r="K64" s="1"/>
      <c r="L64" s="1"/>
    </row>
    <row r="65" spans="1:12" ht="19.95" customHeight="1" x14ac:dyDescent="0.3">
      <c r="A65" s="1">
        <v>59</v>
      </c>
      <c r="B65" s="99" t="s">
        <v>22</v>
      </c>
      <c r="C65" s="109">
        <f>IFERROR(VLOOKUP(B65,'DATOS GRALES 1'!$B$2:$C$52,2,0)," ")</f>
        <v>70833343</v>
      </c>
      <c r="D65" s="103">
        <v>45917</v>
      </c>
      <c r="E65" s="102"/>
      <c r="F65" s="103">
        <v>45917</v>
      </c>
      <c r="G65" s="4"/>
      <c r="H65" s="4"/>
      <c r="I65" s="4"/>
      <c r="J65" s="1"/>
      <c r="K65" s="1"/>
      <c r="L65" s="1"/>
    </row>
    <row r="66" spans="1:12" ht="19.95" customHeight="1" x14ac:dyDescent="0.3">
      <c r="A66" s="1">
        <v>60</v>
      </c>
      <c r="B66" s="99" t="s">
        <v>21</v>
      </c>
      <c r="C66" s="109">
        <f>IFERROR(VLOOKUP(B66,'DATOS GRALES 1'!$B$2:$C$52,2,0)," ")</f>
        <v>48492558</v>
      </c>
      <c r="D66" s="103">
        <v>45917</v>
      </c>
      <c r="E66" s="102"/>
      <c r="F66" s="103">
        <v>45917</v>
      </c>
      <c r="G66" s="4"/>
      <c r="H66" s="4"/>
      <c r="I66" s="4"/>
      <c r="J66" s="1"/>
      <c r="K66" s="1"/>
      <c r="L66" s="1"/>
    </row>
    <row r="67" spans="1:12" ht="19.95" customHeight="1" x14ac:dyDescent="0.3">
      <c r="A67" s="1">
        <v>61</v>
      </c>
      <c r="B67" s="99" t="s">
        <v>25</v>
      </c>
      <c r="C67" s="109">
        <f>IFERROR(VLOOKUP(B67,'DATOS GRALES 1'!$B$2:$C$52,2,0)," ")</f>
        <v>40889884</v>
      </c>
      <c r="D67" s="103">
        <v>45917</v>
      </c>
      <c r="E67" s="102"/>
      <c r="F67" s="103">
        <v>45917</v>
      </c>
      <c r="G67" s="4"/>
      <c r="H67" s="4"/>
      <c r="I67" s="4"/>
      <c r="J67" s="1"/>
      <c r="K67" s="1"/>
      <c r="L67" s="1"/>
    </row>
    <row r="68" spans="1:12" ht="19.95" customHeight="1" x14ac:dyDescent="0.3">
      <c r="A68" s="1">
        <v>62</v>
      </c>
      <c r="B68" s="99" t="s">
        <v>19</v>
      </c>
      <c r="C68" s="109">
        <f>IFERROR(VLOOKUP(B68,'DATOS GRALES 1'!$B$2:$C$52,2,0)," ")</f>
        <v>40861767</v>
      </c>
      <c r="D68" s="103">
        <v>45917</v>
      </c>
      <c r="E68" s="102"/>
      <c r="F68" s="103">
        <v>45917</v>
      </c>
      <c r="G68" s="4"/>
      <c r="H68" s="4"/>
      <c r="I68" s="4"/>
      <c r="J68" s="1"/>
      <c r="K68" s="1"/>
      <c r="L68" s="1"/>
    </row>
    <row r="69" spans="1:12" ht="19.95" customHeight="1" x14ac:dyDescent="0.3">
      <c r="A69" s="1">
        <v>63</v>
      </c>
      <c r="B69" s="99" t="s">
        <v>104</v>
      </c>
      <c r="C69" s="109" t="str">
        <f>IFERROR(VLOOKUP(B69,'DATOS GRALES 1'!$B$2:$C$52,2,0)," ")</f>
        <v>00515241</v>
      </c>
      <c r="D69" s="103">
        <v>45917</v>
      </c>
      <c r="E69" s="102"/>
      <c r="F69" s="103">
        <v>45917</v>
      </c>
      <c r="G69" s="4"/>
      <c r="H69" s="4"/>
      <c r="I69" s="4"/>
      <c r="J69" s="1"/>
      <c r="K69" s="1"/>
      <c r="L69" s="1"/>
    </row>
    <row r="70" spans="1:12" ht="19.95" customHeight="1" x14ac:dyDescent="0.3">
      <c r="A70" s="1">
        <v>64</v>
      </c>
      <c r="B70" s="99" t="s">
        <v>106</v>
      </c>
      <c r="C70" s="109">
        <f>IFERROR(VLOOKUP(B70,'DATOS GRALES 1'!$B$2:$C$52,2,0)," ")</f>
        <v>44723682</v>
      </c>
      <c r="D70" s="103">
        <v>45917</v>
      </c>
      <c r="E70" s="102"/>
      <c r="F70" s="103">
        <v>45917</v>
      </c>
      <c r="G70" s="4"/>
      <c r="H70" s="4"/>
      <c r="I70" s="4"/>
      <c r="J70" s="1"/>
      <c r="K70" s="1"/>
      <c r="L70" s="1"/>
    </row>
    <row r="71" spans="1:12" ht="19.95" customHeight="1" x14ac:dyDescent="0.3">
      <c r="A71" s="1">
        <v>65</v>
      </c>
      <c r="B71" s="94"/>
      <c r="C71" s="109" t="str">
        <f>IFERROR(VLOOKUP(B71,'DATOS GRALES 1'!$B$2:$C$52,2,0)," ")</f>
        <v xml:space="preserve"> </v>
      </c>
      <c r="D71" s="16"/>
      <c r="E71" s="4"/>
      <c r="F71" s="16"/>
      <c r="G71" s="4"/>
      <c r="H71" s="4"/>
      <c r="I71" s="4"/>
      <c r="J71" s="1"/>
      <c r="K71" s="1"/>
      <c r="L71" s="1"/>
    </row>
    <row r="72" spans="1:12" ht="19.95" customHeight="1" x14ac:dyDescent="0.3">
      <c r="A72" s="1">
        <v>66</v>
      </c>
      <c r="B72" s="94"/>
      <c r="C72" s="109" t="str">
        <f>IFERROR(VLOOKUP(B72,'DATOS GRALES 1'!$B$2:$C$52,2,0)," ")</f>
        <v xml:space="preserve"> </v>
      </c>
      <c r="D72" s="16"/>
      <c r="E72" s="4"/>
      <c r="F72" s="16"/>
      <c r="G72" s="4"/>
      <c r="H72" s="4"/>
      <c r="I72" s="4"/>
      <c r="J72" s="1"/>
      <c r="K72" s="1"/>
      <c r="L72" s="1"/>
    </row>
    <row r="73" spans="1:12" ht="19.95" customHeight="1" x14ac:dyDescent="0.3">
      <c r="A73" s="1">
        <v>67</v>
      </c>
      <c r="B73" s="94"/>
      <c r="C73" s="109" t="str">
        <f>IFERROR(VLOOKUP(B73,'DATOS GRALES 1'!$B$2:$C$52,2,0)," ")</f>
        <v xml:space="preserve"> </v>
      </c>
      <c r="D73" s="16"/>
      <c r="E73" s="4"/>
      <c r="F73" s="16"/>
      <c r="G73" s="4"/>
      <c r="H73" s="4"/>
      <c r="I73" s="4"/>
      <c r="J73" s="1"/>
      <c r="K73" s="1"/>
      <c r="L73" s="1"/>
    </row>
    <row r="74" spans="1:12" ht="19.95" customHeight="1" x14ac:dyDescent="0.3">
      <c r="A74" s="1">
        <v>68</v>
      </c>
      <c r="B74" s="94"/>
      <c r="C74" s="109" t="str">
        <f>IFERROR(VLOOKUP(B74,'DATOS GRALES 1'!$B$2:$C$52,2,0)," ")</f>
        <v xml:space="preserve"> </v>
      </c>
      <c r="D74" s="16"/>
      <c r="E74" s="4"/>
      <c r="F74" s="16"/>
      <c r="G74" s="4"/>
      <c r="H74" s="4"/>
      <c r="I74" s="4"/>
      <c r="J74" s="1"/>
      <c r="K74" s="1"/>
      <c r="L74" s="1"/>
    </row>
    <row r="75" spans="1:12" ht="19.95" customHeight="1" x14ac:dyDescent="0.3">
      <c r="A75" s="1">
        <v>69</v>
      </c>
      <c r="B75" s="94"/>
      <c r="C75" s="109" t="str">
        <f>IFERROR(VLOOKUP(B75,'DATOS GRALES 1'!$B$2:$C$52,2,0)," ")</f>
        <v xml:space="preserve"> </v>
      </c>
      <c r="D75" s="16"/>
      <c r="E75" s="4"/>
      <c r="F75" s="16"/>
      <c r="G75" s="4"/>
      <c r="H75" s="4"/>
      <c r="I75" s="4"/>
      <c r="J75" s="1"/>
      <c r="K75" s="1"/>
      <c r="L75" s="1"/>
    </row>
    <row r="76" spans="1:12" ht="19.95" customHeight="1" x14ac:dyDescent="0.3">
      <c r="A76" s="1">
        <v>70</v>
      </c>
      <c r="B76" s="94"/>
      <c r="C76" s="109" t="str">
        <f>IFERROR(VLOOKUP(B76,'DATOS GRALES 1'!$B$2:$C$52,2,0)," ")</f>
        <v xml:space="preserve"> </v>
      </c>
      <c r="D76" s="16"/>
      <c r="E76" s="4"/>
      <c r="F76" s="16"/>
      <c r="G76" s="4"/>
      <c r="H76" s="4"/>
      <c r="I76" s="4"/>
      <c r="J76" s="1"/>
      <c r="K76" s="1"/>
      <c r="L76" s="1"/>
    </row>
    <row r="77" spans="1:12" ht="19.95" customHeight="1" x14ac:dyDescent="0.3">
      <c r="A77" s="1">
        <v>71</v>
      </c>
      <c r="B77" s="94"/>
      <c r="C77" s="109" t="str">
        <f>IFERROR(VLOOKUP(B77,'DATOS GRALES 1'!$B$2:$C$52,2,0)," ")</f>
        <v xml:space="preserve"> </v>
      </c>
      <c r="D77" s="16"/>
      <c r="E77" s="4"/>
      <c r="F77" s="16"/>
      <c r="G77" s="4"/>
      <c r="H77" s="4"/>
      <c r="I77" s="4"/>
      <c r="J77" s="1"/>
      <c r="K77" s="1"/>
      <c r="L77" s="1"/>
    </row>
    <row r="78" spans="1:12" ht="19.95" customHeight="1" x14ac:dyDescent="0.3">
      <c r="A78" s="1">
        <v>72</v>
      </c>
      <c r="B78" s="94"/>
      <c r="C78" s="109" t="str">
        <f>IFERROR(VLOOKUP(B78,'DATOS GRALES 1'!$B$2:$C$52,2,0)," ")</f>
        <v xml:space="preserve"> </v>
      </c>
      <c r="D78" s="16"/>
      <c r="E78" s="4"/>
      <c r="F78" s="16"/>
      <c r="G78" s="4"/>
      <c r="H78" s="4"/>
      <c r="I78" s="4"/>
      <c r="J78" s="1"/>
      <c r="K78" s="1"/>
      <c r="L78" s="1"/>
    </row>
    <row r="79" spans="1:12" ht="19.95" customHeight="1" x14ac:dyDescent="0.3">
      <c r="A79" s="1">
        <v>73</v>
      </c>
      <c r="B79" s="94"/>
      <c r="C79" s="109" t="str">
        <f>IFERROR(VLOOKUP(B79,'DATOS GRALES 1'!$B$2:$C$52,2,0)," ")</f>
        <v xml:space="preserve"> </v>
      </c>
      <c r="D79" s="16"/>
      <c r="E79" s="4"/>
      <c r="F79" s="16"/>
      <c r="G79" s="4"/>
      <c r="H79" s="4"/>
      <c r="I79" s="4"/>
      <c r="J79" s="1"/>
      <c r="K79" s="1"/>
      <c r="L79" s="1"/>
    </row>
    <row r="80" spans="1:12" ht="19.95" customHeight="1" x14ac:dyDescent="0.3">
      <c r="A80" s="1">
        <v>74</v>
      </c>
      <c r="B80" s="94"/>
      <c r="C80" s="109" t="str">
        <f>IFERROR(VLOOKUP(B80,'DATOS GRALES 1'!$B$2:$C$52,2,0)," ")</f>
        <v xml:space="preserve"> </v>
      </c>
      <c r="D80" s="16"/>
      <c r="E80" s="4"/>
      <c r="F80" s="16"/>
      <c r="G80" s="4"/>
      <c r="H80" s="4"/>
      <c r="I80" s="4"/>
      <c r="J80" s="1"/>
      <c r="K80" s="1"/>
      <c r="L80" s="1"/>
    </row>
    <row r="81" spans="1:12" ht="19.95" customHeight="1" x14ac:dyDescent="0.3">
      <c r="A81" s="1">
        <v>75</v>
      </c>
      <c r="B81" s="94"/>
      <c r="C81" s="109" t="str">
        <f>IFERROR(VLOOKUP(B81,'DATOS GRALES 1'!$B$2:$C$52,2,0)," ")</f>
        <v xml:space="preserve"> </v>
      </c>
      <c r="D81" s="16"/>
      <c r="E81" s="4"/>
      <c r="F81" s="16"/>
      <c r="G81" s="4"/>
      <c r="H81" s="4"/>
      <c r="I81" s="4"/>
      <c r="J81" s="1"/>
      <c r="K81" s="1"/>
      <c r="L81" s="1"/>
    </row>
    <row r="82" spans="1:12" ht="19.95" customHeight="1" x14ac:dyDescent="0.3">
      <c r="A82" s="1">
        <v>76</v>
      </c>
      <c r="B82" s="94"/>
      <c r="C82" s="109" t="str">
        <f>IFERROR(VLOOKUP(B82,'DATOS GRALES 1'!$B$2:$C$52,2,0)," ")</f>
        <v xml:space="preserve"> </v>
      </c>
      <c r="D82" s="16"/>
      <c r="E82" s="4"/>
      <c r="F82" s="16"/>
      <c r="G82" s="4"/>
      <c r="H82" s="4"/>
      <c r="I82" s="4"/>
      <c r="J82" s="1"/>
      <c r="K82" s="1"/>
      <c r="L82" s="1"/>
    </row>
    <row r="83" spans="1:12" ht="19.95" customHeight="1" x14ac:dyDescent="0.3">
      <c r="A83" s="1">
        <v>77</v>
      </c>
      <c r="B83" s="94"/>
      <c r="C83" s="109" t="str">
        <f>IFERROR(VLOOKUP(B83,'DATOS GRALES 1'!$B$2:$C$52,2,0)," ")</f>
        <v xml:space="preserve"> </v>
      </c>
      <c r="D83" s="16"/>
      <c r="E83" s="4"/>
      <c r="F83" s="16"/>
      <c r="G83" s="4"/>
      <c r="H83" s="4"/>
      <c r="I83" s="4"/>
      <c r="J83" s="1"/>
      <c r="K83" s="1"/>
      <c r="L83" s="1"/>
    </row>
  </sheetData>
  <mergeCells count="18">
    <mergeCell ref="A4:A6"/>
    <mergeCell ref="D4:E4"/>
    <mergeCell ref="F4:G4"/>
    <mergeCell ref="H4:I4"/>
    <mergeCell ref="B5:B6"/>
    <mergeCell ref="C4:C6"/>
    <mergeCell ref="B1:B3"/>
    <mergeCell ref="A1:A3"/>
    <mergeCell ref="C1:L1"/>
    <mergeCell ref="C2:L2"/>
    <mergeCell ref="C3:L3"/>
    <mergeCell ref="K4:K6"/>
    <mergeCell ref="L4:L6"/>
    <mergeCell ref="D5:D6"/>
    <mergeCell ref="E5:E6"/>
    <mergeCell ref="F5:F6"/>
    <mergeCell ref="G5:G6"/>
    <mergeCell ref="J5:J6"/>
  </mergeCells>
  <pageMargins left="0.11811023622047245" right="0.23622047244094491" top="0.55000000000000004" bottom="0.21" header="0.31496062992125984" footer="0.16"/>
  <pageSetup paperSize="9" scale="31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B1BBF3-DAF8-40FB-B8CD-96DF82696678}">
          <x14:formula1>
            <xm:f>'DATOS GRALES 1'!$B$2:$B$36</xm:f>
          </x14:formula1>
          <xm:sqref>B7:B668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7B1F-1C23-495F-9B8B-EDBD49D7AB96}">
  <sheetPr codeName="Hoja4">
    <pageSetUpPr fitToPage="1"/>
  </sheetPr>
  <dimension ref="A1:P38"/>
  <sheetViews>
    <sheetView zoomScaleNormal="100" workbookViewId="0">
      <selection activeCell="O22" sqref="O22"/>
    </sheetView>
  </sheetViews>
  <sheetFormatPr baseColWidth="10" defaultColWidth="10.77734375" defaultRowHeight="14.4" x14ac:dyDescent="0.3"/>
  <cols>
    <col min="1" max="1" width="3.6640625" customWidth="1"/>
    <col min="2" max="2" width="38.5546875" customWidth="1"/>
    <col min="3" max="3" width="9.88671875" customWidth="1"/>
    <col min="4" max="4" width="9.77734375" customWidth="1"/>
    <col min="6" max="6" width="10.109375" customWidth="1"/>
    <col min="11" max="11" width="12.21875" customWidth="1"/>
    <col min="12" max="12" width="18.6640625" customWidth="1"/>
  </cols>
  <sheetData>
    <row r="1" spans="1:16" ht="30" x14ac:dyDescent="0.5">
      <c r="A1" s="158"/>
      <c r="B1" s="156"/>
      <c r="C1" s="173" t="s">
        <v>0</v>
      </c>
      <c r="D1" s="173"/>
      <c r="E1" s="173"/>
      <c r="F1" s="173"/>
      <c r="G1" s="173"/>
      <c r="H1" s="173"/>
      <c r="I1" s="173"/>
      <c r="J1" s="173"/>
      <c r="K1" s="173"/>
      <c r="L1" s="173"/>
    </row>
    <row r="2" spans="1:16" ht="21" x14ac:dyDescent="0.4">
      <c r="A2" s="158"/>
      <c r="B2" s="156"/>
      <c r="C2" s="174" t="s">
        <v>23</v>
      </c>
      <c r="D2" s="174"/>
      <c r="E2" s="174"/>
      <c r="F2" s="174"/>
      <c r="G2" s="174"/>
      <c r="H2" s="174"/>
      <c r="I2" s="174"/>
      <c r="J2" s="174"/>
      <c r="K2" s="174"/>
      <c r="L2" s="174"/>
      <c r="O2" t="s">
        <v>238</v>
      </c>
      <c r="P2" s="104">
        <v>45968</v>
      </c>
    </row>
    <row r="3" spans="1:16" ht="21" x14ac:dyDescent="0.4">
      <c r="A3" s="159"/>
      <c r="B3" s="157"/>
      <c r="C3" s="175" t="s">
        <v>24</v>
      </c>
      <c r="D3" s="175"/>
      <c r="E3" s="175"/>
      <c r="F3" s="175"/>
      <c r="G3" s="175"/>
      <c r="H3" s="175"/>
      <c r="I3" s="175"/>
      <c r="J3" s="175"/>
      <c r="K3" s="175"/>
      <c r="L3" s="175"/>
    </row>
    <row r="4" spans="1:16" x14ac:dyDescent="0.3">
      <c r="A4" s="168" t="s">
        <v>1</v>
      </c>
      <c r="B4" s="143" t="s">
        <v>2</v>
      </c>
      <c r="C4" s="169" t="s">
        <v>3</v>
      </c>
      <c r="D4" s="171" t="s">
        <v>4</v>
      </c>
      <c r="E4" s="171"/>
      <c r="F4" s="171" t="s">
        <v>5</v>
      </c>
      <c r="G4" s="171"/>
      <c r="H4" s="172" t="s">
        <v>6</v>
      </c>
      <c r="I4" s="172"/>
      <c r="J4" s="143" t="s">
        <v>7</v>
      </c>
      <c r="K4" s="168" t="s">
        <v>8</v>
      </c>
      <c r="L4" s="168" t="s">
        <v>9</v>
      </c>
    </row>
    <row r="5" spans="1:16" x14ac:dyDescent="0.3">
      <c r="A5" s="168"/>
      <c r="B5" s="168" t="s">
        <v>10</v>
      </c>
      <c r="C5" s="170"/>
      <c r="D5" s="168" t="s">
        <v>11</v>
      </c>
      <c r="E5" s="176" t="s">
        <v>12</v>
      </c>
      <c r="F5" s="168" t="s">
        <v>11</v>
      </c>
      <c r="G5" s="176" t="s">
        <v>12</v>
      </c>
      <c r="H5" s="143" t="s">
        <v>13</v>
      </c>
      <c r="I5" s="143" t="s">
        <v>14</v>
      </c>
      <c r="J5" s="168" t="s">
        <v>15</v>
      </c>
      <c r="K5" s="168"/>
      <c r="L5" s="168"/>
    </row>
    <row r="6" spans="1:16" ht="27" thickBot="1" x14ac:dyDescent="0.35">
      <c r="A6" s="169"/>
      <c r="B6" s="169"/>
      <c r="C6" s="170"/>
      <c r="D6" s="169"/>
      <c r="E6" s="177"/>
      <c r="F6" s="169"/>
      <c r="G6" s="177"/>
      <c r="H6" s="144" t="s">
        <v>12</v>
      </c>
      <c r="I6" s="144" t="s">
        <v>12</v>
      </c>
      <c r="J6" s="169"/>
      <c r="K6" s="169"/>
      <c r="L6" s="169"/>
    </row>
    <row r="7" spans="1:16" s="18" customFormat="1" ht="27" customHeight="1" x14ac:dyDescent="0.3">
      <c r="A7" s="133" cm="1">
        <f t="array" ref="A7:A35">_xlfn.SEQUENCE(COUNTA(B:B))</f>
        <v>1</v>
      </c>
      <c r="B7" s="145" t="s">
        <v>18</v>
      </c>
      <c r="C7" s="134">
        <f>IFERROR(IF(_xlfn.XLOOKUP(B7,DATOS[NOMBRES],DATOS[DNI])=0,"",_xlfn.XLOOKUP(B7,DATOS[NOMBRES],DATOS[DNI])),"")</f>
        <v>75396402</v>
      </c>
      <c r="D7" s="137">
        <f>IF(B7="","",$P$2)</f>
        <v>45968</v>
      </c>
      <c r="E7" s="134"/>
      <c r="F7" s="137">
        <f>IF(B7="","",$P$2)</f>
        <v>45968</v>
      </c>
      <c r="G7" s="134"/>
      <c r="H7" s="134"/>
      <c r="I7" s="134"/>
      <c r="J7" s="134"/>
      <c r="K7" s="134"/>
      <c r="L7" s="138"/>
    </row>
    <row r="8" spans="1:16" s="18" customFormat="1" ht="27" customHeight="1" x14ac:dyDescent="0.3">
      <c r="A8" s="135">
        <v>2</v>
      </c>
      <c r="B8" s="146" t="s">
        <v>16</v>
      </c>
      <c r="C8" s="109">
        <f>IFERROR(IF(_xlfn.XLOOKUP(B8,DATOS[NOMBRES],DATOS[DNI])=0,"",_xlfn.XLOOKUP(B8,DATOS[NOMBRES],DATOS[DNI])),"")</f>
        <v>44184914</v>
      </c>
      <c r="D8" s="139">
        <f>IF(B8="","",$P$2)</f>
        <v>45968</v>
      </c>
      <c r="E8" s="109"/>
      <c r="F8" s="139">
        <f>IF(B8="","",$P$2)</f>
        <v>45968</v>
      </c>
      <c r="G8" s="109"/>
      <c r="H8" s="109"/>
      <c r="I8" s="109"/>
      <c r="J8" s="109"/>
      <c r="K8" s="109"/>
      <c r="L8" s="140"/>
    </row>
    <row r="9" spans="1:16" s="18" customFormat="1" ht="27" customHeight="1" x14ac:dyDescent="0.3">
      <c r="A9" s="135">
        <v>3</v>
      </c>
      <c r="B9" s="146" t="s">
        <v>17</v>
      </c>
      <c r="C9" s="109">
        <f>IFERROR(IF(_xlfn.XLOOKUP(B9,DATOS[NOMBRES],DATOS[DNI])=0,"",_xlfn.XLOOKUP(B9,DATOS[NOMBRES],DATOS[DNI])),"")</f>
        <v>40839932</v>
      </c>
      <c r="D9" s="139">
        <f t="shared" ref="D9:D38" si="0">IF(B9="","",$P$2)</f>
        <v>45968</v>
      </c>
      <c r="E9" s="109"/>
      <c r="F9" s="139">
        <f t="shared" ref="F9:F38" si="1">IF(B9="","",$P$2)</f>
        <v>45968</v>
      </c>
      <c r="G9" s="109"/>
      <c r="H9" s="109"/>
      <c r="I9" s="109"/>
      <c r="J9" s="109"/>
      <c r="K9" s="109"/>
      <c r="L9" s="140"/>
    </row>
    <row r="10" spans="1:16" s="18" customFormat="1" ht="27" customHeight="1" x14ac:dyDescent="0.3">
      <c r="A10" s="135">
        <v>4</v>
      </c>
      <c r="B10" s="146" t="s">
        <v>22</v>
      </c>
      <c r="C10" s="109">
        <f>IFERROR(IF(_xlfn.XLOOKUP(B10,DATOS[NOMBRES],DATOS[DNI])=0,"",_xlfn.XLOOKUP(B10,DATOS[NOMBRES],DATOS[DNI])),"")</f>
        <v>70833343</v>
      </c>
      <c r="D10" s="139">
        <f t="shared" si="0"/>
        <v>45968</v>
      </c>
      <c r="E10" s="109"/>
      <c r="F10" s="139">
        <f t="shared" si="1"/>
        <v>45968</v>
      </c>
      <c r="G10" s="109"/>
      <c r="H10" s="109"/>
      <c r="I10" s="109"/>
      <c r="J10" s="109"/>
      <c r="K10" s="109"/>
      <c r="L10" s="140"/>
    </row>
    <row r="11" spans="1:16" s="18" customFormat="1" ht="27" customHeight="1" x14ac:dyDescent="0.3">
      <c r="A11" s="135">
        <v>5</v>
      </c>
      <c r="B11" s="146" t="s">
        <v>21</v>
      </c>
      <c r="C11" s="109">
        <f>IFERROR(IF(_xlfn.XLOOKUP(B11,DATOS[NOMBRES],DATOS[DNI])=0,"",_xlfn.XLOOKUP(B11,DATOS[NOMBRES],DATOS[DNI])),"")</f>
        <v>48492558</v>
      </c>
      <c r="D11" s="139">
        <f t="shared" si="0"/>
        <v>45968</v>
      </c>
      <c r="E11" s="109"/>
      <c r="F11" s="139">
        <f t="shared" si="1"/>
        <v>45968</v>
      </c>
      <c r="G11" s="109"/>
      <c r="H11" s="109"/>
      <c r="I11" s="109"/>
      <c r="J11" s="109"/>
      <c r="K11" s="109"/>
      <c r="L11" s="140"/>
    </row>
    <row r="12" spans="1:16" s="18" customFormat="1" ht="27" customHeight="1" x14ac:dyDescent="0.3">
      <c r="A12" s="135">
        <v>6</v>
      </c>
      <c r="B12" s="146" t="s">
        <v>25</v>
      </c>
      <c r="C12" s="109">
        <f>IFERROR(IF(_xlfn.XLOOKUP(B12,DATOS[NOMBRES],DATOS[DNI])=0,"",_xlfn.XLOOKUP(B12,DATOS[NOMBRES],DATOS[DNI])),"")</f>
        <v>40889884</v>
      </c>
      <c r="D12" s="139">
        <f t="shared" si="0"/>
        <v>45968</v>
      </c>
      <c r="E12" s="139"/>
      <c r="F12" s="139">
        <f t="shared" si="1"/>
        <v>45968</v>
      </c>
      <c r="G12" s="109"/>
      <c r="H12" s="109"/>
      <c r="I12" s="109"/>
      <c r="J12" s="109"/>
      <c r="K12" s="109"/>
      <c r="L12" s="140"/>
    </row>
    <row r="13" spans="1:16" s="18" customFormat="1" ht="27" customHeight="1" x14ac:dyDescent="0.3">
      <c r="A13" s="135">
        <v>7</v>
      </c>
      <c r="B13" s="146" t="s">
        <v>104</v>
      </c>
      <c r="C13" s="109" t="str">
        <f>IFERROR(IF(_xlfn.XLOOKUP(B13,DATOS[NOMBRES],DATOS[DNI])=0,"",_xlfn.XLOOKUP(B13,DATOS[NOMBRES],DATOS[DNI])),"")</f>
        <v>00515241</v>
      </c>
      <c r="D13" s="139">
        <f t="shared" si="0"/>
        <v>45968</v>
      </c>
      <c r="E13" s="109"/>
      <c r="F13" s="139">
        <f t="shared" si="1"/>
        <v>45968</v>
      </c>
      <c r="G13" s="109"/>
      <c r="H13" s="109"/>
      <c r="I13" s="109"/>
      <c r="J13" s="109"/>
      <c r="K13" s="109"/>
      <c r="L13" s="140"/>
    </row>
    <row r="14" spans="1:16" s="18" customFormat="1" ht="27" customHeight="1" x14ac:dyDescent="0.3">
      <c r="A14" s="135">
        <v>8</v>
      </c>
      <c r="B14" s="146" t="s">
        <v>106</v>
      </c>
      <c r="C14" s="109">
        <f>IFERROR(IF(_xlfn.XLOOKUP(B14,DATOS[NOMBRES],DATOS[DNI])=0,"",_xlfn.XLOOKUP(B14,DATOS[NOMBRES],DATOS[DNI])),"")</f>
        <v>44723682</v>
      </c>
      <c r="D14" s="139">
        <f t="shared" si="0"/>
        <v>45968</v>
      </c>
      <c r="E14" s="109"/>
      <c r="F14" s="139">
        <f t="shared" si="1"/>
        <v>45968</v>
      </c>
      <c r="G14" s="109"/>
      <c r="H14" s="109"/>
      <c r="I14" s="109"/>
      <c r="J14" s="109"/>
      <c r="K14" s="109"/>
      <c r="L14" s="140"/>
    </row>
    <row r="15" spans="1:16" s="18" customFormat="1" ht="27" customHeight="1" x14ac:dyDescent="0.3">
      <c r="A15" s="135">
        <v>9</v>
      </c>
      <c r="B15" s="146" t="s">
        <v>107</v>
      </c>
      <c r="C15" s="109">
        <f>IFERROR(IF(_xlfn.XLOOKUP(B15,DATOS[NOMBRES],DATOS[DNI])=0,"",_xlfn.XLOOKUP(B15,DATOS[NOMBRES],DATOS[DNI])),"")</f>
        <v>78202475</v>
      </c>
      <c r="D15" s="139">
        <f t="shared" si="0"/>
        <v>45968</v>
      </c>
      <c r="E15" s="109"/>
      <c r="F15" s="139">
        <f t="shared" si="1"/>
        <v>45968</v>
      </c>
      <c r="G15" s="109"/>
      <c r="H15" s="109"/>
      <c r="I15" s="109"/>
      <c r="J15" s="109"/>
      <c r="K15" s="109"/>
      <c r="L15" s="140"/>
    </row>
    <row r="16" spans="1:16" s="18" customFormat="1" ht="27" customHeight="1" x14ac:dyDescent="0.3">
      <c r="A16" s="135">
        <v>10</v>
      </c>
      <c r="B16" s="146" t="s">
        <v>115</v>
      </c>
      <c r="C16" s="109">
        <f>IFERROR(IF(_xlfn.XLOOKUP(B16,DATOS[NOMBRES],DATOS[DNI])=0,"",_xlfn.XLOOKUP(B16,DATOS[NOMBRES],DATOS[DNI])),"")</f>
        <v>47109805</v>
      </c>
      <c r="D16" s="139">
        <f t="shared" si="0"/>
        <v>45968</v>
      </c>
      <c r="E16" s="109"/>
      <c r="F16" s="139">
        <f t="shared" si="1"/>
        <v>45968</v>
      </c>
      <c r="G16" s="109"/>
      <c r="H16" s="109"/>
      <c r="I16" s="109"/>
      <c r="J16" s="109"/>
      <c r="K16" s="109"/>
      <c r="L16" s="140"/>
    </row>
    <row r="17" spans="1:12" s="18" customFormat="1" ht="27" customHeight="1" x14ac:dyDescent="0.3">
      <c r="A17" s="135">
        <v>11</v>
      </c>
      <c r="B17" s="146" t="s">
        <v>133</v>
      </c>
      <c r="C17" s="109">
        <f>IFERROR(IF(_xlfn.XLOOKUP(B17,DATOS[NOMBRES],DATOS[DNI])=0,"",_xlfn.XLOOKUP(B17,DATOS[NOMBRES],DATOS[DNI])),"")</f>
        <v>41018582</v>
      </c>
      <c r="D17" s="139">
        <f t="shared" si="0"/>
        <v>45968</v>
      </c>
      <c r="E17" s="109"/>
      <c r="F17" s="139">
        <f t="shared" si="1"/>
        <v>45968</v>
      </c>
      <c r="G17" s="109"/>
      <c r="H17" s="109"/>
      <c r="I17" s="109"/>
      <c r="J17" s="109"/>
      <c r="K17" s="109"/>
      <c r="L17" s="140"/>
    </row>
    <row r="18" spans="1:12" s="18" customFormat="1" ht="27" customHeight="1" x14ac:dyDescent="0.3">
      <c r="A18" s="135">
        <v>12</v>
      </c>
      <c r="B18" s="146" t="s">
        <v>239</v>
      </c>
      <c r="C18" s="109">
        <f>IFERROR(IF(_xlfn.XLOOKUP(B18,DATOS[NOMBRES],DATOS[DNI])=0,"",_xlfn.XLOOKUP(B18,DATOS[NOMBRES],DATOS[DNI])),"")</f>
        <v>73536489</v>
      </c>
      <c r="D18" s="139">
        <f t="shared" si="0"/>
        <v>45968</v>
      </c>
      <c r="E18" s="109"/>
      <c r="F18" s="139">
        <f t="shared" si="1"/>
        <v>45968</v>
      </c>
      <c r="G18" s="109"/>
      <c r="H18" s="109"/>
      <c r="I18" s="109"/>
      <c r="J18" s="109"/>
      <c r="K18" s="109"/>
      <c r="L18" s="140"/>
    </row>
    <row r="19" spans="1:12" s="18" customFormat="1" ht="27" customHeight="1" x14ac:dyDescent="0.3">
      <c r="A19" s="135">
        <v>13</v>
      </c>
      <c r="B19" s="146" t="s">
        <v>190</v>
      </c>
      <c r="C19" s="109">
        <f>IFERROR(IF(_xlfn.XLOOKUP(B19,DATOS[NOMBRES],DATOS[DNI])=0,"",_xlfn.XLOOKUP(B19,DATOS[NOMBRES],DATOS[DNI])),"")</f>
        <v>44365799</v>
      </c>
      <c r="D19" s="139">
        <f t="shared" ref="D19:D30" si="2">IF(B19="","",$P$2)</f>
        <v>45968</v>
      </c>
      <c r="E19" s="109"/>
      <c r="F19" s="139">
        <f t="shared" ref="F19:F30" si="3">IF(B19="","",$P$2)</f>
        <v>45968</v>
      </c>
      <c r="G19" s="109"/>
      <c r="H19" s="109"/>
      <c r="I19" s="109"/>
      <c r="J19" s="109"/>
      <c r="K19" s="109"/>
      <c r="L19" s="140"/>
    </row>
    <row r="20" spans="1:12" s="18" customFormat="1" ht="27" customHeight="1" x14ac:dyDescent="0.3">
      <c r="A20" s="135">
        <v>14</v>
      </c>
      <c r="B20" s="146" t="s">
        <v>202</v>
      </c>
      <c r="C20" s="109">
        <f>IFERROR(IF(_xlfn.XLOOKUP(B20,DATOS[NOMBRES],DATOS[DNI])=0,"",_xlfn.XLOOKUP(B20,DATOS[NOMBRES],DATOS[DNI])),"")</f>
        <v>47099079</v>
      </c>
      <c r="D20" s="139">
        <f t="shared" si="2"/>
        <v>45968</v>
      </c>
      <c r="E20" s="109"/>
      <c r="F20" s="139">
        <f t="shared" si="3"/>
        <v>45968</v>
      </c>
      <c r="G20" s="109"/>
      <c r="H20" s="109"/>
      <c r="I20" s="109"/>
      <c r="J20" s="109"/>
      <c r="K20" s="109"/>
      <c r="L20" s="140"/>
    </row>
    <row r="21" spans="1:12" s="18" customFormat="1" ht="27" customHeight="1" x14ac:dyDescent="0.3">
      <c r="A21" s="135">
        <v>15</v>
      </c>
      <c r="B21" s="146" t="s">
        <v>209</v>
      </c>
      <c r="C21" s="109">
        <f>IFERROR(IF(_xlfn.XLOOKUP(B21,DATOS[NOMBRES],DATOS[DNI])=0,"",_xlfn.XLOOKUP(B21,DATOS[NOMBRES],DATOS[DNI])),"")</f>
        <v>45366294</v>
      </c>
      <c r="D21" s="139">
        <f t="shared" si="2"/>
        <v>45968</v>
      </c>
      <c r="E21" s="109"/>
      <c r="F21" s="139">
        <f t="shared" si="3"/>
        <v>45968</v>
      </c>
      <c r="G21" s="109"/>
      <c r="H21" s="109"/>
      <c r="I21" s="109"/>
      <c r="J21" s="109"/>
      <c r="K21" s="109"/>
      <c r="L21" s="140"/>
    </row>
    <row r="22" spans="1:12" s="18" customFormat="1" ht="27" customHeight="1" x14ac:dyDescent="0.3">
      <c r="A22" s="135">
        <v>16</v>
      </c>
      <c r="B22" s="146" t="s">
        <v>210</v>
      </c>
      <c r="C22" s="109" t="str">
        <f>IFERROR(IF(_xlfn.XLOOKUP(B22,DATOS[NOMBRES],DATOS[DNI])=0,"",_xlfn.XLOOKUP(B22,DATOS[NOMBRES],DATOS[DNI])),"")</f>
        <v>00082335</v>
      </c>
      <c r="D22" s="139">
        <f t="shared" si="2"/>
        <v>45968</v>
      </c>
      <c r="E22" s="109"/>
      <c r="F22" s="139">
        <f t="shared" si="3"/>
        <v>45968</v>
      </c>
      <c r="G22" s="109"/>
      <c r="H22" s="109"/>
      <c r="I22" s="109"/>
      <c r="J22" s="109"/>
      <c r="K22" s="109"/>
      <c r="L22" s="140"/>
    </row>
    <row r="23" spans="1:12" s="18" customFormat="1" ht="27" customHeight="1" x14ac:dyDescent="0.3">
      <c r="A23" s="135">
        <v>17</v>
      </c>
      <c r="B23" s="146" t="s">
        <v>212</v>
      </c>
      <c r="C23" s="109">
        <f>IFERROR(IF(_xlfn.XLOOKUP(B23,DATOS[NOMBRES],DATOS[DNI])=0,"",_xlfn.XLOOKUP(B23,DATOS[NOMBRES],DATOS[DNI])),"")</f>
        <v>47846597</v>
      </c>
      <c r="D23" s="139">
        <f t="shared" si="2"/>
        <v>45968</v>
      </c>
      <c r="E23" s="109"/>
      <c r="F23" s="139">
        <f t="shared" si="3"/>
        <v>45968</v>
      </c>
      <c r="G23" s="109"/>
      <c r="H23" s="109"/>
      <c r="I23" s="109"/>
      <c r="J23" s="109"/>
      <c r="K23" s="109"/>
      <c r="L23" s="140"/>
    </row>
    <row r="24" spans="1:12" s="18" customFormat="1" ht="27" customHeight="1" x14ac:dyDescent="0.3">
      <c r="A24" s="135">
        <v>18</v>
      </c>
      <c r="B24" s="146" t="s">
        <v>213</v>
      </c>
      <c r="C24" s="109" t="str">
        <f>IFERROR(IF(_xlfn.XLOOKUP(B24,DATOS[NOMBRES],DATOS[DNI])=0,"",_xlfn.XLOOKUP(B24,DATOS[NOMBRES],DATOS[DNI])),"")</f>
        <v>01764813</v>
      </c>
      <c r="D24" s="139">
        <f t="shared" si="2"/>
        <v>45968</v>
      </c>
      <c r="E24" s="109"/>
      <c r="F24" s="139">
        <f t="shared" si="3"/>
        <v>45968</v>
      </c>
      <c r="G24" s="109"/>
      <c r="H24" s="109"/>
      <c r="I24" s="109"/>
      <c r="J24" s="109"/>
      <c r="K24" s="109"/>
      <c r="L24" s="140"/>
    </row>
    <row r="25" spans="1:12" s="18" customFormat="1" ht="27" customHeight="1" x14ac:dyDescent="0.3">
      <c r="A25" s="135">
        <v>19</v>
      </c>
      <c r="B25" s="146" t="s">
        <v>215</v>
      </c>
      <c r="C25" s="109" t="str">
        <f>IFERROR(IF(_xlfn.XLOOKUP(B25,DATOS[NOMBRES],DATOS[DNI])=0,"",_xlfn.XLOOKUP(B25,DATOS[NOMBRES],DATOS[DNI])),"")</f>
        <v>74208220</v>
      </c>
      <c r="D25" s="139">
        <f t="shared" si="2"/>
        <v>45968</v>
      </c>
      <c r="E25" s="109"/>
      <c r="F25" s="139">
        <f t="shared" si="3"/>
        <v>45968</v>
      </c>
      <c r="G25" s="109"/>
      <c r="H25" s="109"/>
      <c r="I25" s="109"/>
      <c r="J25" s="109"/>
      <c r="K25" s="109"/>
      <c r="L25" s="140"/>
    </row>
    <row r="26" spans="1:12" s="18" customFormat="1" ht="27" customHeight="1" x14ac:dyDescent="0.3">
      <c r="A26" s="135">
        <v>20</v>
      </c>
      <c r="B26" s="146" t="s">
        <v>218</v>
      </c>
      <c r="C26" s="109" t="str">
        <f>IFERROR(IF(_xlfn.XLOOKUP(B26,DATOS[NOMBRES],DATOS[DNI])=0,"",_xlfn.XLOOKUP(B26,DATOS[NOMBRES],DATOS[DNI])),"")</f>
        <v>45415827</v>
      </c>
      <c r="D26" s="139">
        <f t="shared" si="2"/>
        <v>45968</v>
      </c>
      <c r="E26" s="109"/>
      <c r="F26" s="139">
        <f t="shared" si="3"/>
        <v>45968</v>
      </c>
      <c r="G26" s="109"/>
      <c r="H26" s="109"/>
      <c r="I26" s="109"/>
      <c r="J26" s="109"/>
      <c r="K26" s="109"/>
      <c r="L26" s="140"/>
    </row>
    <row r="27" spans="1:12" s="18" customFormat="1" ht="27" customHeight="1" x14ac:dyDescent="0.3">
      <c r="A27" s="135">
        <v>21</v>
      </c>
      <c r="B27" s="146" t="s">
        <v>220</v>
      </c>
      <c r="C27" s="109" t="str">
        <f>IFERROR(IF(_xlfn.XLOOKUP(B27,DATOS[NOMBRES],DATOS[DNI])=0,"",_xlfn.XLOOKUP(B27,DATOS[NOMBRES],DATOS[DNI])),"")</f>
        <v>48841643</v>
      </c>
      <c r="D27" s="139">
        <f t="shared" si="2"/>
        <v>45968</v>
      </c>
      <c r="E27" s="109"/>
      <c r="F27" s="139">
        <f t="shared" si="3"/>
        <v>45968</v>
      </c>
      <c r="G27" s="109"/>
      <c r="H27" s="109"/>
      <c r="I27" s="109"/>
      <c r="J27" s="109"/>
      <c r="K27" s="109"/>
      <c r="L27" s="140"/>
    </row>
    <row r="28" spans="1:12" s="18" customFormat="1" ht="27" customHeight="1" x14ac:dyDescent="0.3">
      <c r="A28" s="135">
        <v>22</v>
      </c>
      <c r="B28" s="146" t="s">
        <v>222</v>
      </c>
      <c r="C28" s="109" t="str">
        <f>IFERROR(IF(_xlfn.XLOOKUP(B28,DATOS[NOMBRES],DATOS[DNI])=0,"",_xlfn.XLOOKUP(B28,DATOS[NOMBRES],DATOS[DNI])),"")</f>
        <v>00663998</v>
      </c>
      <c r="D28" s="139">
        <f t="shared" si="2"/>
        <v>45968</v>
      </c>
      <c r="E28" s="109"/>
      <c r="F28" s="139">
        <f t="shared" si="3"/>
        <v>45968</v>
      </c>
      <c r="G28" s="109"/>
      <c r="H28" s="109"/>
      <c r="I28" s="109"/>
      <c r="J28" s="109"/>
      <c r="K28" s="109"/>
      <c r="L28" s="140"/>
    </row>
    <row r="29" spans="1:12" s="18" customFormat="1" ht="27" customHeight="1" x14ac:dyDescent="0.3">
      <c r="A29" s="135">
        <v>23</v>
      </c>
      <c r="B29" s="146" t="s">
        <v>224</v>
      </c>
      <c r="C29" s="109" t="str">
        <f>IFERROR(IF(_xlfn.XLOOKUP(B29,DATOS[NOMBRES],DATOS[DNI])=0,"",_xlfn.XLOOKUP(B29,DATOS[NOMBRES],DATOS[DNI])),"")</f>
        <v>47308810</v>
      </c>
      <c r="D29" s="139">
        <f t="shared" si="2"/>
        <v>45968</v>
      </c>
      <c r="E29" s="109"/>
      <c r="F29" s="139">
        <f t="shared" si="3"/>
        <v>45968</v>
      </c>
      <c r="G29" s="109"/>
      <c r="H29" s="109"/>
      <c r="I29" s="109"/>
      <c r="J29" s="109"/>
      <c r="K29" s="109"/>
      <c r="L29" s="140"/>
    </row>
    <row r="30" spans="1:12" s="18" customFormat="1" ht="27" customHeight="1" x14ac:dyDescent="0.3">
      <c r="A30" s="135">
        <v>24</v>
      </c>
      <c r="B30" s="146" t="s">
        <v>226</v>
      </c>
      <c r="C30" s="109" t="str">
        <f>IFERROR(IF(_xlfn.XLOOKUP(B30,DATOS[NOMBRES],DATOS[DNI])=0,"",_xlfn.XLOOKUP(B30,DATOS[NOMBRES],DATOS[DNI])),"")</f>
        <v>40748695</v>
      </c>
      <c r="D30" s="139">
        <f t="shared" si="2"/>
        <v>45968</v>
      </c>
      <c r="E30" s="109"/>
      <c r="F30" s="139">
        <f t="shared" si="3"/>
        <v>45968</v>
      </c>
      <c r="G30" s="109"/>
      <c r="H30" s="109"/>
      <c r="I30" s="109"/>
      <c r="J30" s="109"/>
      <c r="K30" s="109"/>
      <c r="L30" s="140"/>
    </row>
    <row r="31" spans="1:12" s="18" customFormat="1" ht="27" customHeight="1" x14ac:dyDescent="0.3">
      <c r="A31" s="135">
        <v>25</v>
      </c>
      <c r="B31" s="146" t="s">
        <v>232</v>
      </c>
      <c r="C31" s="109" t="str">
        <f>IFERROR(IF(_xlfn.XLOOKUP(B31,DATOS[NOMBRES],DATOS[DNI])=0,"",_xlfn.XLOOKUP(B31,DATOS[NOMBRES],DATOS[DNI])),"")</f>
        <v>01328043</v>
      </c>
      <c r="D31" s="139">
        <f t="shared" si="0"/>
        <v>45968</v>
      </c>
      <c r="E31" s="109"/>
      <c r="F31" s="139">
        <f t="shared" si="1"/>
        <v>45968</v>
      </c>
      <c r="G31" s="109"/>
      <c r="H31" s="109"/>
      <c r="I31" s="109"/>
      <c r="J31" s="109"/>
      <c r="K31" s="109"/>
      <c r="L31" s="140"/>
    </row>
    <row r="32" spans="1:12" s="18" customFormat="1" ht="27" customHeight="1" x14ac:dyDescent="0.3">
      <c r="A32" s="135">
        <v>26</v>
      </c>
      <c r="B32" s="146" t="s">
        <v>234</v>
      </c>
      <c r="C32" s="109" t="str">
        <f>IFERROR(IF(_xlfn.XLOOKUP(B32,DATOS[NOMBRES],DATOS[DNI])=0,"",_xlfn.XLOOKUP(B32,DATOS[NOMBRES],DATOS[DNI])),"")</f>
        <v>76949507</v>
      </c>
      <c r="D32" s="139">
        <f t="shared" si="0"/>
        <v>45968</v>
      </c>
      <c r="E32" s="109"/>
      <c r="F32" s="139">
        <f t="shared" si="1"/>
        <v>45968</v>
      </c>
      <c r="G32" s="109"/>
      <c r="H32" s="109"/>
      <c r="I32" s="109"/>
      <c r="J32" s="109"/>
      <c r="K32" s="109"/>
      <c r="L32" s="140"/>
    </row>
    <row r="33" spans="1:12" s="18" customFormat="1" ht="27" customHeight="1" thickBot="1" x14ac:dyDescent="0.35">
      <c r="A33" s="136">
        <v>27</v>
      </c>
      <c r="B33" s="147" t="s">
        <v>236</v>
      </c>
      <c r="C33" s="141" t="str">
        <f>IFERROR(IF(_xlfn.XLOOKUP(B33,DATOS[NOMBRES],DATOS[DNI])=0,"",_xlfn.XLOOKUP(B33,DATOS[NOMBRES],DATOS[DNI])),"")</f>
        <v>73009722</v>
      </c>
      <c r="D33" s="152">
        <f t="shared" si="0"/>
        <v>45968</v>
      </c>
      <c r="E33" s="141"/>
      <c r="F33" s="152">
        <f t="shared" si="1"/>
        <v>45968</v>
      </c>
      <c r="G33" s="141"/>
      <c r="H33" s="141"/>
      <c r="I33" s="141"/>
      <c r="J33" s="141"/>
      <c r="K33" s="141"/>
      <c r="L33" s="142"/>
    </row>
    <row r="34" spans="1:12" s="18" customFormat="1" ht="27" customHeight="1" x14ac:dyDescent="0.3">
      <c r="A34" s="148">
        <v>28</v>
      </c>
      <c r="B34" s="149"/>
      <c r="C34" s="150" t="str">
        <f>IFERROR(IF(_xlfn.XLOOKUP(B34,DATOS[NOMBRES],DATOS[DNI])=0,"",_xlfn.XLOOKUP(B34,DATOS[NOMBRES],DATOS[DNI])),"")</f>
        <v/>
      </c>
      <c r="D34" s="153" t="str">
        <f t="shared" si="0"/>
        <v/>
      </c>
      <c r="E34" s="150"/>
      <c r="F34" s="153" t="str">
        <f t="shared" si="1"/>
        <v/>
      </c>
      <c r="G34" s="150"/>
      <c r="H34" s="150"/>
      <c r="I34" s="150"/>
      <c r="J34" s="150"/>
      <c r="K34" s="150"/>
      <c r="L34" s="151"/>
    </row>
    <row r="35" spans="1:12" s="18" customFormat="1" ht="27" customHeight="1" x14ac:dyDescent="0.3">
      <c r="A35" s="135">
        <v>29</v>
      </c>
      <c r="B35" s="146"/>
      <c r="C35" s="109" t="str">
        <f>IFERROR(IF(_xlfn.XLOOKUP(B35,DATOS[NOMBRES],DATOS[DNI])=0,"",_xlfn.XLOOKUP(B35,DATOS[NOMBRES],DATOS[DNI])),"")</f>
        <v/>
      </c>
      <c r="D35" s="139" t="str">
        <f t="shared" si="0"/>
        <v/>
      </c>
      <c r="E35" s="109"/>
      <c r="F35" s="139" t="str">
        <f t="shared" si="1"/>
        <v/>
      </c>
      <c r="G35" s="109"/>
      <c r="H35" s="109"/>
      <c r="I35" s="109"/>
      <c r="J35" s="109"/>
      <c r="K35" s="109"/>
      <c r="L35" s="140"/>
    </row>
    <row r="36" spans="1:12" s="18" customFormat="1" ht="27" customHeight="1" x14ac:dyDescent="0.3">
      <c r="A36" s="135"/>
      <c r="B36" s="146"/>
      <c r="C36" s="109" t="str">
        <f>IFERROR(IF(_xlfn.XLOOKUP(B36,DATOS[NOMBRES],DATOS[DNI])=0,"",_xlfn.XLOOKUP(B36,DATOS[NOMBRES],DATOS[DNI])),"")</f>
        <v/>
      </c>
      <c r="D36" s="139" t="str">
        <f t="shared" si="0"/>
        <v/>
      </c>
      <c r="E36" s="109"/>
      <c r="F36" s="139" t="str">
        <f t="shared" si="1"/>
        <v/>
      </c>
      <c r="G36" s="109"/>
      <c r="H36" s="109"/>
      <c r="I36" s="109"/>
      <c r="J36" s="109"/>
      <c r="K36" s="109"/>
      <c r="L36" s="140"/>
    </row>
    <row r="37" spans="1:12" s="18" customFormat="1" ht="27" customHeight="1" x14ac:dyDescent="0.3">
      <c r="A37" s="135"/>
      <c r="B37" s="146"/>
      <c r="C37" s="109" t="str">
        <f>IFERROR(IF(_xlfn.XLOOKUP(B37,DATOS[NOMBRES],DATOS[DNI])=0,"",_xlfn.XLOOKUP(B37,DATOS[NOMBRES],DATOS[DNI])),"")</f>
        <v/>
      </c>
      <c r="D37" s="139" t="str">
        <f t="shared" si="0"/>
        <v/>
      </c>
      <c r="E37" s="109"/>
      <c r="F37" s="139" t="str">
        <f t="shared" si="1"/>
        <v/>
      </c>
      <c r="G37" s="109"/>
      <c r="H37" s="109"/>
      <c r="I37" s="109"/>
      <c r="J37" s="109"/>
      <c r="K37" s="109"/>
      <c r="L37" s="140"/>
    </row>
    <row r="38" spans="1:12" s="18" customFormat="1" ht="27" customHeight="1" thickBot="1" x14ac:dyDescent="0.35">
      <c r="A38" s="136"/>
      <c r="B38" s="147"/>
      <c r="C38" s="109" t="str">
        <f>IFERROR(IF(_xlfn.XLOOKUP(B38,DATOS[NOMBRES],DATOS[DNI])=0,"",_xlfn.XLOOKUP(B38,DATOS[NOMBRES],DATOS[DNI])),"")</f>
        <v/>
      </c>
      <c r="D38" s="139" t="str">
        <f t="shared" si="0"/>
        <v/>
      </c>
      <c r="E38" s="141"/>
      <c r="F38" s="139" t="str">
        <f t="shared" si="1"/>
        <v/>
      </c>
      <c r="G38" s="141"/>
      <c r="H38" s="141"/>
      <c r="I38" s="141"/>
      <c r="J38" s="141"/>
      <c r="K38" s="141"/>
      <c r="L38" s="142"/>
    </row>
  </sheetData>
  <mergeCells count="18">
    <mergeCell ref="K4:K6"/>
    <mergeCell ref="L4:L6"/>
    <mergeCell ref="B5:B6"/>
    <mergeCell ref="D5:D6"/>
    <mergeCell ref="E5:E6"/>
    <mergeCell ref="F5:F6"/>
    <mergeCell ref="G5:G6"/>
    <mergeCell ref="J5:J6"/>
    <mergeCell ref="A1:A3"/>
    <mergeCell ref="B1:B3"/>
    <mergeCell ref="C1:L1"/>
    <mergeCell ref="C2:L2"/>
    <mergeCell ref="C3:L3"/>
    <mergeCell ref="A4:A6"/>
    <mergeCell ref="C4:C6"/>
    <mergeCell ref="D4:E4"/>
    <mergeCell ref="F4:G4"/>
    <mergeCell ref="H4:I4"/>
  </mergeCells>
  <pageMargins left="0.19685039370078741" right="0.11811023622047245" top="0.27559055118110237" bottom="0.19685039370078741" header="0.27559055118110237" footer="0.19685039370078741"/>
  <pageSetup paperSize="9" scale="72" fitToHeight="0" orientation="landscape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4E4B0D-D127-48BF-A25D-BECD57AA1859}">
          <x14:formula1>
            <xm:f>'DATOS GRALES 1'!$B$2:$B$105</xm:f>
          </x14:formula1>
          <xm:sqref>B7:B38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C3B9-20F8-4BE9-928A-F840FF05CA00}">
  <sheetPr codeName="Hoja5"/>
  <dimension ref="A1:AQ51"/>
  <sheetViews>
    <sheetView workbookViewId="0">
      <selection activeCell="AM15" sqref="AM15"/>
    </sheetView>
  </sheetViews>
  <sheetFormatPr baseColWidth="10" defaultColWidth="10.77734375" defaultRowHeight="14.4" x14ac:dyDescent="0.3"/>
  <cols>
    <col min="1" max="2" width="1.77734375" customWidth="1"/>
    <col min="3" max="3" width="17.33203125" customWidth="1"/>
    <col min="4" max="4" width="0.88671875" customWidth="1"/>
    <col min="5" max="37" width="4.88671875" customWidth="1"/>
    <col min="38" max="38" width="0.88671875" customWidth="1"/>
    <col min="39" max="39" width="14.5546875" customWidth="1"/>
    <col min="40" max="40" width="0.88671875" customWidth="1"/>
    <col min="43" max="43" width="11.5546875" hidden="1" customWidth="1"/>
  </cols>
  <sheetData>
    <row r="1" spans="1:43" ht="30" customHeight="1" x14ac:dyDescent="0.3">
      <c r="A1" s="21"/>
      <c r="B1" s="21"/>
      <c r="C1" s="22" t="s">
        <v>46</v>
      </c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43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4.95" customHeight="1" thickBot="1" x14ac:dyDescent="0.35">
      <c r="A3" s="24"/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  <c r="M3" s="24"/>
      <c r="N3" s="27"/>
      <c r="O3" s="28"/>
      <c r="P3" s="28"/>
      <c r="Q3" s="28"/>
      <c r="R3" s="28"/>
      <c r="S3" s="28"/>
      <c r="T3" s="29"/>
      <c r="U3" s="24"/>
      <c r="V3" s="27"/>
      <c r="W3" s="28"/>
      <c r="X3" s="28"/>
      <c r="Y3" s="28"/>
      <c r="Z3" s="28"/>
      <c r="AA3" s="28"/>
      <c r="AB3" s="29"/>
      <c r="AC3" s="24"/>
      <c r="AD3" s="25"/>
      <c r="AE3" s="25"/>
      <c r="AF3" s="25"/>
      <c r="AG3" s="25"/>
      <c r="AH3" s="25"/>
      <c r="AI3" s="24"/>
      <c r="AJ3" s="24"/>
      <c r="AK3" s="24"/>
      <c r="AL3" s="24"/>
      <c r="AM3" s="24"/>
      <c r="AN3" s="24"/>
      <c r="AO3" s="24"/>
      <c r="AP3" s="24"/>
      <c r="AQ3" s="24"/>
    </row>
    <row r="4" spans="1:43" ht="15" thickBot="1" x14ac:dyDescent="0.35">
      <c r="A4" s="24"/>
      <c r="B4" s="30"/>
      <c r="C4" s="35" t="s">
        <v>48</v>
      </c>
      <c r="D4" s="25"/>
      <c r="E4" s="188" t="s">
        <v>53</v>
      </c>
      <c r="F4" s="189"/>
      <c r="G4" s="190"/>
      <c r="H4" s="26" t="s">
        <v>51</v>
      </c>
      <c r="I4" s="25"/>
      <c r="J4" s="25"/>
      <c r="K4" s="25"/>
      <c r="L4" s="31"/>
      <c r="M4" s="24"/>
      <c r="N4" s="45" t="s">
        <v>54</v>
      </c>
      <c r="O4" s="42"/>
      <c r="P4" s="42"/>
      <c r="Q4" s="43" t="s">
        <v>57</v>
      </c>
      <c r="R4" s="42"/>
      <c r="S4" s="42"/>
      <c r="T4" s="44"/>
      <c r="U4" s="24"/>
      <c r="V4" s="45" t="s">
        <v>60</v>
      </c>
      <c r="W4" s="25"/>
      <c r="X4" s="25"/>
      <c r="Y4" s="25"/>
      <c r="Z4" s="25"/>
      <c r="AA4" s="25"/>
      <c r="AB4" s="31"/>
      <c r="AC4" s="24"/>
      <c r="AD4" s="182" t="s">
        <v>61</v>
      </c>
      <c r="AE4" s="182"/>
      <c r="AF4" s="25"/>
      <c r="AG4" s="182" t="s">
        <v>62</v>
      </c>
      <c r="AH4" s="182"/>
      <c r="AI4" s="24"/>
      <c r="AJ4" s="24"/>
      <c r="AK4" s="24"/>
      <c r="AL4" s="24"/>
      <c r="AM4" s="48" t="s">
        <v>65</v>
      </c>
      <c r="AN4" s="24"/>
      <c r="AO4" s="49" t="s">
        <v>67</v>
      </c>
      <c r="AP4" s="24"/>
      <c r="AQ4" s="24"/>
    </row>
    <row r="5" spans="1:43" ht="15" thickBot="1" x14ac:dyDescent="0.35">
      <c r="A5" s="24"/>
      <c r="B5" s="30"/>
      <c r="C5" s="25"/>
      <c r="D5" s="25"/>
      <c r="E5" s="25"/>
      <c r="F5" s="25"/>
      <c r="G5" s="25"/>
      <c r="H5" s="25"/>
      <c r="I5" s="25"/>
      <c r="J5" s="25"/>
      <c r="K5" s="25"/>
      <c r="L5" s="31"/>
      <c r="M5" s="24"/>
      <c r="N5" s="45" t="s">
        <v>55</v>
      </c>
      <c r="O5" s="42"/>
      <c r="P5" s="42"/>
      <c r="Q5" s="43" t="s">
        <v>58</v>
      </c>
      <c r="R5" s="42"/>
      <c r="S5" s="42"/>
      <c r="T5" s="44"/>
      <c r="U5" s="24"/>
      <c r="V5" s="180" t="str">
        <f>"Desde: "&amp;TEXT(DATE(E6,MONTH(E4&amp;1),1),"mmm-dd-yy")&amp;" Hasta "&amp;TEXT(EOMONTH(DATE(E6,MONTH(E4&amp;1),1),0),"mmm-dd-yy")</f>
        <v>Desde: Set-01-25 Hasta Set-30-25</v>
      </c>
      <c r="W5" s="181"/>
      <c r="X5" s="181"/>
      <c r="Y5" s="181"/>
      <c r="Z5" s="181"/>
      <c r="AA5" s="181"/>
      <c r="AB5" s="31"/>
      <c r="AC5" s="24"/>
      <c r="AD5" s="183" t="str">
        <f>E4</f>
        <v>Setiembre</v>
      </c>
      <c r="AE5" s="183"/>
      <c r="AF5" s="183"/>
      <c r="AG5" s="183">
        <f>E6</f>
        <v>2025</v>
      </c>
      <c r="AH5" s="183"/>
      <c r="AI5" s="24"/>
      <c r="AJ5" s="24"/>
      <c r="AK5" s="24"/>
      <c r="AL5" s="24"/>
      <c r="AM5" s="24"/>
      <c r="AN5" s="24"/>
      <c r="AO5" s="24"/>
      <c r="AP5" s="24"/>
      <c r="AQ5" s="24"/>
    </row>
    <row r="6" spans="1:43" ht="15" thickBot="1" x14ac:dyDescent="0.35">
      <c r="A6" s="24"/>
      <c r="B6" s="30"/>
      <c r="C6" s="36" t="s">
        <v>49</v>
      </c>
      <c r="D6" s="25"/>
      <c r="E6" s="188">
        <v>2025</v>
      </c>
      <c r="F6" s="189"/>
      <c r="G6" s="190"/>
      <c r="H6" s="26" t="s">
        <v>50</v>
      </c>
      <c r="I6" s="25"/>
      <c r="J6" s="25"/>
      <c r="K6" s="25"/>
      <c r="L6" s="31"/>
      <c r="M6" s="24"/>
      <c r="N6" s="45" t="s">
        <v>56</v>
      </c>
      <c r="O6" s="42"/>
      <c r="P6" s="42"/>
      <c r="Q6" s="43" t="s">
        <v>59</v>
      </c>
      <c r="R6" s="42"/>
      <c r="S6" s="42"/>
      <c r="T6" s="44"/>
      <c r="U6" s="24"/>
      <c r="V6" s="180"/>
      <c r="W6" s="181"/>
      <c r="X6" s="181"/>
      <c r="Y6" s="181"/>
      <c r="Z6" s="181"/>
      <c r="AA6" s="181"/>
      <c r="AB6" s="31"/>
      <c r="AC6" s="24"/>
      <c r="AD6" s="183"/>
      <c r="AE6" s="183"/>
      <c r="AF6" s="183"/>
      <c r="AG6" s="183"/>
      <c r="AH6" s="183"/>
      <c r="AI6" s="24"/>
      <c r="AJ6" s="24"/>
      <c r="AK6" s="24"/>
      <c r="AL6" s="24"/>
      <c r="AM6" s="48" t="s">
        <v>66</v>
      </c>
      <c r="AN6" s="24"/>
      <c r="AO6" s="49">
        <v>8</v>
      </c>
      <c r="AP6" s="24"/>
      <c r="AQ6" s="24"/>
    </row>
    <row r="7" spans="1:43" ht="4.95" customHeight="1" x14ac:dyDescent="0.3">
      <c r="A7" s="24"/>
      <c r="B7" s="32"/>
      <c r="C7" s="33"/>
      <c r="D7" s="33"/>
      <c r="E7" s="33"/>
      <c r="F7" s="33"/>
      <c r="G7" s="33"/>
      <c r="H7" s="33"/>
      <c r="I7" s="33"/>
      <c r="J7" s="33"/>
      <c r="K7" s="33"/>
      <c r="L7" s="34"/>
      <c r="M7" s="24"/>
      <c r="N7" s="32"/>
      <c r="O7" s="33"/>
      <c r="P7" s="33"/>
      <c r="Q7" s="33"/>
      <c r="R7" s="33"/>
      <c r="S7" s="33"/>
      <c r="T7" s="34"/>
      <c r="U7" s="24"/>
      <c r="V7" s="32"/>
      <c r="W7" s="33"/>
      <c r="X7" s="33"/>
      <c r="Y7" s="33"/>
      <c r="Z7" s="33"/>
      <c r="AA7" s="33"/>
      <c r="AB7" s="34"/>
      <c r="AC7" s="24"/>
      <c r="AD7" s="25"/>
      <c r="AE7" s="25"/>
      <c r="AF7" s="25"/>
      <c r="AG7" s="25"/>
      <c r="AH7" s="25"/>
      <c r="AI7" s="24"/>
      <c r="AJ7" s="24"/>
      <c r="AK7" s="24"/>
      <c r="AL7" s="24"/>
      <c r="AM7" s="24"/>
      <c r="AN7" s="24"/>
      <c r="AO7" s="24"/>
      <c r="AP7" s="24"/>
      <c r="AQ7" s="24"/>
    </row>
    <row r="8" spans="1:43" x14ac:dyDescent="0.3">
      <c r="A8" s="24"/>
      <c r="B8" s="24"/>
      <c r="C8" s="24"/>
      <c r="D8" s="24"/>
      <c r="E8" s="24"/>
      <c r="F8" s="24"/>
      <c r="G8" s="184">
        <f>DATE(E6,MONTH(E4&amp;1),1)</f>
        <v>45901</v>
      </c>
      <c r="H8" s="184">
        <f>G8+1</f>
        <v>45902</v>
      </c>
      <c r="I8" s="184">
        <f t="shared" ref="I8:AJ8" si="0">H8+1</f>
        <v>45903</v>
      </c>
      <c r="J8" s="184">
        <f t="shared" si="0"/>
        <v>45904</v>
      </c>
      <c r="K8" s="184">
        <f t="shared" si="0"/>
        <v>45905</v>
      </c>
      <c r="L8" s="184">
        <f t="shared" si="0"/>
        <v>45906</v>
      </c>
      <c r="M8" s="184">
        <f t="shared" si="0"/>
        <v>45907</v>
      </c>
      <c r="N8" s="184">
        <f t="shared" si="0"/>
        <v>45908</v>
      </c>
      <c r="O8" s="184">
        <f t="shared" si="0"/>
        <v>45909</v>
      </c>
      <c r="P8" s="184">
        <f t="shared" si="0"/>
        <v>45910</v>
      </c>
      <c r="Q8" s="184">
        <f t="shared" si="0"/>
        <v>45911</v>
      </c>
      <c r="R8" s="184">
        <f t="shared" si="0"/>
        <v>45912</v>
      </c>
      <c r="S8" s="184">
        <f t="shared" si="0"/>
        <v>45913</v>
      </c>
      <c r="T8" s="184">
        <f t="shared" si="0"/>
        <v>45914</v>
      </c>
      <c r="U8" s="184">
        <f t="shared" si="0"/>
        <v>45915</v>
      </c>
      <c r="V8" s="184">
        <f t="shared" si="0"/>
        <v>45916</v>
      </c>
      <c r="W8" s="184">
        <f t="shared" si="0"/>
        <v>45917</v>
      </c>
      <c r="X8" s="184">
        <f t="shared" si="0"/>
        <v>45918</v>
      </c>
      <c r="Y8" s="184">
        <f t="shared" si="0"/>
        <v>45919</v>
      </c>
      <c r="Z8" s="184">
        <f t="shared" si="0"/>
        <v>45920</v>
      </c>
      <c r="AA8" s="184">
        <f t="shared" si="0"/>
        <v>45921</v>
      </c>
      <c r="AB8" s="184">
        <f t="shared" si="0"/>
        <v>45922</v>
      </c>
      <c r="AC8" s="184">
        <f t="shared" si="0"/>
        <v>45923</v>
      </c>
      <c r="AD8" s="184">
        <f t="shared" si="0"/>
        <v>45924</v>
      </c>
      <c r="AE8" s="184">
        <f t="shared" si="0"/>
        <v>45925</v>
      </c>
      <c r="AF8" s="184">
        <f t="shared" si="0"/>
        <v>45926</v>
      </c>
      <c r="AG8" s="184">
        <f t="shared" si="0"/>
        <v>45927</v>
      </c>
      <c r="AH8" s="184">
        <f t="shared" si="0"/>
        <v>45928</v>
      </c>
      <c r="AI8" s="184">
        <f t="shared" si="0"/>
        <v>45929</v>
      </c>
      <c r="AJ8" s="184">
        <f t="shared" si="0"/>
        <v>45930</v>
      </c>
      <c r="AK8" s="184">
        <f>AJ8+1</f>
        <v>45931</v>
      </c>
      <c r="AL8" s="50"/>
      <c r="AM8" s="24"/>
      <c r="AN8" s="24"/>
      <c r="AO8" s="24"/>
      <c r="AP8" s="24"/>
      <c r="AQ8" s="24"/>
    </row>
    <row r="9" spans="1:43" x14ac:dyDescent="0.3">
      <c r="A9" s="24"/>
      <c r="B9" s="24"/>
      <c r="C9" s="24"/>
      <c r="D9" s="24"/>
      <c r="E9" s="24"/>
      <c r="F9" s="2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50"/>
      <c r="AM9" s="24"/>
      <c r="AN9" s="24"/>
      <c r="AO9" s="24"/>
      <c r="AP9" s="24"/>
      <c r="AQ9" s="24" t="s">
        <v>68</v>
      </c>
    </row>
    <row r="10" spans="1:43" x14ac:dyDescent="0.3">
      <c r="A10" s="24"/>
      <c r="B10" s="24"/>
      <c r="C10" s="24"/>
      <c r="D10" s="24"/>
      <c r="E10" s="24"/>
      <c r="F10" s="2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50"/>
      <c r="AM10" s="24"/>
      <c r="AN10" s="24"/>
      <c r="AO10" s="24"/>
      <c r="AP10" s="24"/>
      <c r="AQ10" s="50">
        <v>45658</v>
      </c>
    </row>
    <row r="11" spans="1:43" x14ac:dyDescent="0.3">
      <c r="A11" s="24"/>
      <c r="B11" s="24"/>
      <c r="C11" s="24"/>
      <c r="D11" s="24"/>
      <c r="E11" s="24"/>
      <c r="F11" s="2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50"/>
      <c r="AM11" s="24"/>
      <c r="AN11" s="24"/>
      <c r="AO11" s="24"/>
      <c r="AP11" s="24"/>
      <c r="AQ11" s="50">
        <v>45866</v>
      </c>
    </row>
    <row r="12" spans="1:43" ht="6" customHeight="1" x14ac:dyDescent="0.3">
      <c r="A12" s="24"/>
      <c r="B12" s="24"/>
      <c r="C12" s="24"/>
      <c r="D12" s="24"/>
      <c r="E12" s="24"/>
      <c r="F12" s="24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24"/>
      <c r="AM12" s="24"/>
      <c r="AN12" s="24"/>
      <c r="AO12" s="24"/>
      <c r="AP12" s="24"/>
      <c r="AQ12" s="50">
        <v>45867</v>
      </c>
    </row>
    <row r="13" spans="1:43" x14ac:dyDescent="0.3">
      <c r="A13" s="24"/>
      <c r="B13" s="24"/>
      <c r="C13" s="24" t="s">
        <v>47</v>
      </c>
      <c r="D13" s="24"/>
      <c r="E13" s="187" t="s">
        <v>52</v>
      </c>
      <c r="F13" s="187"/>
      <c r="G13" s="37" t="str">
        <f>PROPER(LEFT(TEXT(G8,"dddd"),3))</f>
        <v>Lun</v>
      </c>
      <c r="H13" s="37" t="str">
        <f t="shared" ref="H13:AK13" si="1">PROPER(LEFT(TEXT(H8,"dddd"),3))</f>
        <v>Mar</v>
      </c>
      <c r="I13" s="37" t="str">
        <f t="shared" si="1"/>
        <v>Mié</v>
      </c>
      <c r="J13" s="37" t="str">
        <f t="shared" si="1"/>
        <v>Jue</v>
      </c>
      <c r="K13" s="37" t="str">
        <f t="shared" si="1"/>
        <v>Vie</v>
      </c>
      <c r="L13" s="37" t="str">
        <f t="shared" si="1"/>
        <v>Sáb</v>
      </c>
      <c r="M13" s="37" t="str">
        <f t="shared" si="1"/>
        <v>Dom</v>
      </c>
      <c r="N13" s="37" t="str">
        <f t="shared" si="1"/>
        <v>Lun</v>
      </c>
      <c r="O13" s="37" t="str">
        <f t="shared" si="1"/>
        <v>Mar</v>
      </c>
      <c r="P13" s="37" t="str">
        <f t="shared" si="1"/>
        <v>Mié</v>
      </c>
      <c r="Q13" s="37" t="str">
        <f t="shared" si="1"/>
        <v>Jue</v>
      </c>
      <c r="R13" s="37" t="str">
        <f t="shared" si="1"/>
        <v>Vie</v>
      </c>
      <c r="S13" s="37" t="str">
        <f t="shared" si="1"/>
        <v>Sáb</v>
      </c>
      <c r="T13" s="37" t="str">
        <f t="shared" si="1"/>
        <v>Dom</v>
      </c>
      <c r="U13" s="37" t="str">
        <f t="shared" si="1"/>
        <v>Lun</v>
      </c>
      <c r="V13" s="37" t="str">
        <f t="shared" si="1"/>
        <v>Mar</v>
      </c>
      <c r="W13" s="37" t="str">
        <f t="shared" si="1"/>
        <v>Mié</v>
      </c>
      <c r="X13" s="37" t="str">
        <f t="shared" si="1"/>
        <v>Jue</v>
      </c>
      <c r="Y13" s="37" t="str">
        <f t="shared" si="1"/>
        <v>Vie</v>
      </c>
      <c r="Z13" s="37" t="str">
        <f t="shared" si="1"/>
        <v>Sáb</v>
      </c>
      <c r="AA13" s="37" t="str">
        <f t="shared" si="1"/>
        <v>Dom</v>
      </c>
      <c r="AB13" s="37" t="str">
        <f t="shared" si="1"/>
        <v>Lun</v>
      </c>
      <c r="AC13" s="37" t="str">
        <f t="shared" si="1"/>
        <v>Mar</v>
      </c>
      <c r="AD13" s="37" t="str">
        <f t="shared" si="1"/>
        <v>Mié</v>
      </c>
      <c r="AE13" s="37" t="str">
        <f t="shared" si="1"/>
        <v>Jue</v>
      </c>
      <c r="AF13" s="37" t="str">
        <f t="shared" si="1"/>
        <v>Vie</v>
      </c>
      <c r="AG13" s="37" t="str">
        <f t="shared" si="1"/>
        <v>Sáb</v>
      </c>
      <c r="AH13" s="37" t="str">
        <f t="shared" si="1"/>
        <v>Dom</v>
      </c>
      <c r="AI13" s="37" t="str">
        <f t="shared" si="1"/>
        <v>Lun</v>
      </c>
      <c r="AJ13" s="37" t="str">
        <f t="shared" si="1"/>
        <v>Mar</v>
      </c>
      <c r="AK13" s="37" t="str">
        <f t="shared" si="1"/>
        <v>Mié</v>
      </c>
      <c r="AL13" s="24"/>
      <c r="AM13" s="46" t="s">
        <v>64</v>
      </c>
      <c r="AN13" s="24"/>
      <c r="AO13" s="47" t="s">
        <v>63</v>
      </c>
      <c r="AP13" s="24"/>
      <c r="AQ13" s="50">
        <v>45962</v>
      </c>
    </row>
    <row r="14" spans="1:43" ht="6" customHeight="1" thickBot="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50">
        <v>46016</v>
      </c>
    </row>
    <row r="15" spans="1:43" ht="19.95" customHeight="1" x14ac:dyDescent="0.3">
      <c r="A15" s="24"/>
      <c r="B15" s="24"/>
      <c r="C15" s="55"/>
      <c r="D15" s="24"/>
      <c r="E15" s="185"/>
      <c r="F15" s="186"/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3"/>
      <c r="AL15" s="24"/>
      <c r="AM15" s="53" cm="1">
        <f t="array" ref="AM15">_xlfn.SWITCH(_HorasExtras,
"Si",SUMPRODUCT(IF(_Datos&lt;=_PorEncimade,_Datos,_PorEncimade),(WEEKDAY($G$8:$AK$8,2)&lt;=6)*1,NOT(ISNUMBER(MATCH($G$8:$AK$8,nFestivos,0)))*1),
"No",SUMPRODUCT(_Datos,(WEEKDAY($G$8:$AK$8,2)&lt;=5)*1,NOT(ISNUMBER(MATCH($G$8:$AK$8,nFestivos,0)))*1))</f>
        <v>0</v>
      </c>
      <c r="AN15" s="54"/>
      <c r="AO15" s="53" cm="1">
        <f t="array" ref="AO15">_xlfn.SWITCH(_HorasExtras,
"Si",SUMPRODUCT(IF(_Datos&gt;_PorEncimade,_Datos-_PorEncimade,0),(WEEKDAY($G$8:$AK$8,2)&lt;=6)*1,NOT(ISNUMBER(MATCH($G$8:$AK$8,nFestivos,0)))*1),
"No",0)</f>
        <v>0</v>
      </c>
      <c r="AP15" s="24"/>
      <c r="AQ15" s="50">
        <v>46022</v>
      </c>
    </row>
    <row r="16" spans="1:43" ht="19.95" customHeight="1" x14ac:dyDescent="0.3">
      <c r="A16" s="24"/>
      <c r="B16" s="24"/>
      <c r="C16" s="56"/>
      <c r="D16" s="24"/>
      <c r="E16" s="178"/>
      <c r="F16" s="179"/>
      <c r="G16" s="41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58"/>
      <c r="AL16" s="24"/>
      <c r="AM16" s="53" cm="1">
        <f t="array" ref="AM1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16" s="54"/>
      <c r="AO16" s="53" cm="1">
        <f t="array" ref="AO16">_xlfn.SWITCH(_HorasExtras,
"Si",SUMPRODUCT(IF(_Datos&gt;_PorEncimade,_Datos-_PorEncimade,0),(WEEKDAY($G$8:$AK$8,2)&lt;=6)*1,NOT(ISNUMBER(MATCH($G$8:$AK$8,nFestivos,0)))*1),
"No",0)</f>
        <v>0</v>
      </c>
      <c r="AP16" s="24"/>
      <c r="AQ16" s="24"/>
    </row>
    <row r="17" spans="1:43" ht="19.95" customHeight="1" x14ac:dyDescent="0.3">
      <c r="A17" s="24"/>
      <c r="B17" s="24"/>
      <c r="C17" s="56"/>
      <c r="D17" s="24"/>
      <c r="E17" s="41"/>
      <c r="F17" s="58"/>
      <c r="G17" s="41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58"/>
      <c r="AL17" s="24"/>
      <c r="AM17" s="53" cm="1">
        <f t="array" ref="AM1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17" s="54"/>
      <c r="AO17" s="53" cm="1">
        <f t="array" ref="AO17">_xlfn.SWITCH(_HorasExtras,
"Si",SUMPRODUCT(IF(_Datos&gt;_PorEncimade,_Datos-_PorEncimade,0),(WEEKDAY($G$8:$AK$8,2)&lt;=6)*1,NOT(ISNUMBER(MATCH($G$8:$AK$8,nFestivos,0)))*1),
"No",0)</f>
        <v>0</v>
      </c>
      <c r="AP17" s="24"/>
      <c r="AQ17" s="24"/>
    </row>
    <row r="18" spans="1:43" ht="19.95" customHeight="1" x14ac:dyDescent="0.3">
      <c r="A18" s="24"/>
      <c r="B18" s="24"/>
      <c r="C18" s="56"/>
      <c r="D18" s="24"/>
      <c r="E18" s="41"/>
      <c r="F18" s="58"/>
      <c r="G18" s="41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58"/>
      <c r="AL18" s="24"/>
      <c r="AM18" s="53" cm="1">
        <f t="array" ref="AM1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18" s="54"/>
      <c r="AO18" s="53" cm="1">
        <f t="array" ref="AO18">_xlfn.SWITCH(_HorasExtras,
"Si",SUMPRODUCT(IF(_Datos&gt;_PorEncimade,_Datos-_PorEncimade,0),(WEEKDAY($G$8:$AK$8,2)&lt;=6)*1,NOT(ISNUMBER(MATCH($G$8:$AK$8,nFestivos,0)))*1),
"No",0)</f>
        <v>0</v>
      </c>
      <c r="AP18" s="24"/>
      <c r="AQ18" s="24"/>
    </row>
    <row r="19" spans="1:43" ht="19.95" customHeight="1" x14ac:dyDescent="0.3">
      <c r="A19" s="24"/>
      <c r="B19" s="24"/>
      <c r="C19" s="56"/>
      <c r="D19" s="24"/>
      <c r="E19" s="41"/>
      <c r="F19" s="58"/>
      <c r="G19" s="41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58"/>
      <c r="AL19" s="24"/>
      <c r="AM19" s="53" cm="1">
        <f t="array" ref="AM1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19" s="54"/>
      <c r="AO19" s="53" cm="1">
        <f t="array" ref="AO19">_xlfn.SWITCH(_HorasExtras,
"Si",SUMPRODUCT(IF(_Datos&gt;_PorEncimade,_Datos-_PorEncimade,0),(WEEKDAY($G$8:$AK$8,2)&lt;=6)*1,NOT(ISNUMBER(MATCH($G$8:$AK$8,nFestivos,0)))*1),
"No",0)</f>
        <v>0</v>
      </c>
      <c r="AP19" s="24"/>
      <c r="AQ19" s="24"/>
    </row>
    <row r="20" spans="1:43" ht="19.95" customHeight="1" x14ac:dyDescent="0.3">
      <c r="A20" s="24"/>
      <c r="B20" s="24"/>
      <c r="C20" s="56"/>
      <c r="D20" s="24"/>
      <c r="E20" s="41"/>
      <c r="F20" s="58"/>
      <c r="G20" s="41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58"/>
      <c r="AL20" s="24"/>
      <c r="AM20" s="53" cm="1">
        <f t="array" ref="AM2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0" s="54"/>
      <c r="AO20" s="53" cm="1">
        <f t="array" ref="AO20">_xlfn.SWITCH(_HorasExtras,
"Si",SUMPRODUCT(IF(_Datos&gt;_PorEncimade,_Datos-_PorEncimade,0),(WEEKDAY($G$8:$AK$8,2)&lt;=6)*1,NOT(ISNUMBER(MATCH($G$8:$AK$8,nFestivos,0)))*1),
"No",0)</f>
        <v>0</v>
      </c>
      <c r="AP20" s="24"/>
      <c r="AQ20" s="24"/>
    </row>
    <row r="21" spans="1:43" ht="19.95" customHeight="1" x14ac:dyDescent="0.3">
      <c r="A21" s="24"/>
      <c r="B21" s="24"/>
      <c r="C21" s="56"/>
      <c r="D21" s="24"/>
      <c r="E21" s="41"/>
      <c r="F21" s="58"/>
      <c r="G21" s="41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58"/>
      <c r="AL21" s="24"/>
      <c r="AM21" s="53" cm="1">
        <f t="array" ref="AM2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1" s="54"/>
      <c r="AO21" s="53" cm="1">
        <f t="array" ref="AO21">_xlfn.SWITCH(_HorasExtras,
"Si",SUMPRODUCT(IF(_Datos&gt;_PorEncimade,_Datos-_PorEncimade,0),(WEEKDAY($G$8:$AK$8,2)&lt;=6)*1,NOT(ISNUMBER(MATCH($G$8:$AK$8,nFestivos,0)))*1),
"No",0)</f>
        <v>0</v>
      </c>
      <c r="AP21" s="24"/>
      <c r="AQ21" s="24"/>
    </row>
    <row r="22" spans="1:43" ht="19.95" customHeight="1" x14ac:dyDescent="0.3">
      <c r="A22" s="24"/>
      <c r="B22" s="24"/>
      <c r="C22" s="56"/>
      <c r="D22" s="24"/>
      <c r="E22" s="41"/>
      <c r="F22" s="58"/>
      <c r="G22" s="41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58"/>
      <c r="AL22" s="24"/>
      <c r="AM22" s="53" cm="1">
        <f t="array" ref="AM22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2" s="54"/>
      <c r="AO22" s="53" cm="1">
        <f t="array" ref="AO22">_xlfn.SWITCH(_HorasExtras,
"Si",SUMPRODUCT(IF(_Datos&gt;_PorEncimade,_Datos-_PorEncimade,0),(WEEKDAY($G$8:$AK$8,2)&lt;=6)*1,NOT(ISNUMBER(MATCH($G$8:$AK$8,nFestivos,0)))*1),
"No",0)</f>
        <v>0</v>
      </c>
      <c r="AP22" s="24"/>
      <c r="AQ22" s="24"/>
    </row>
    <row r="23" spans="1:43" ht="19.95" customHeight="1" x14ac:dyDescent="0.3">
      <c r="A23" s="24"/>
      <c r="B23" s="24"/>
      <c r="C23" s="56"/>
      <c r="D23" s="24"/>
      <c r="E23" s="41"/>
      <c r="F23" s="58"/>
      <c r="G23" s="41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58"/>
      <c r="AL23" s="24"/>
      <c r="AM23" s="53" cm="1">
        <f t="array" ref="AM23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3" s="54"/>
      <c r="AO23" s="53" cm="1">
        <f t="array" ref="AO23">_xlfn.SWITCH(_HorasExtras,
"Si",SUMPRODUCT(IF(_Datos&gt;_PorEncimade,_Datos-_PorEncimade,0),(WEEKDAY($G$8:$AK$8,2)&lt;=6)*1,NOT(ISNUMBER(MATCH($G$8:$AK$8,nFestivos,0)))*1),
"No",0)</f>
        <v>0</v>
      </c>
      <c r="AP23" s="24"/>
      <c r="AQ23" s="24"/>
    </row>
    <row r="24" spans="1:43" ht="19.95" customHeight="1" x14ac:dyDescent="0.3">
      <c r="A24" s="24"/>
      <c r="B24" s="24"/>
      <c r="C24" s="56"/>
      <c r="D24" s="24"/>
      <c r="E24" s="41"/>
      <c r="F24" s="58"/>
      <c r="G24" s="41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58"/>
      <c r="AL24" s="24"/>
      <c r="AM24" s="53" cm="1">
        <f t="array" ref="AM24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4" s="54"/>
      <c r="AO24" s="53" cm="1">
        <f t="array" ref="AO24">_xlfn.SWITCH(_HorasExtras,
"Si",SUMPRODUCT(IF(_Datos&gt;_PorEncimade,_Datos-_PorEncimade,0),(WEEKDAY($G$8:$AK$8,2)&lt;=6)*1,NOT(ISNUMBER(MATCH($G$8:$AK$8,nFestivos,0)))*1),
"No",0)</f>
        <v>0</v>
      </c>
      <c r="AP24" s="24"/>
      <c r="AQ24" s="24"/>
    </row>
    <row r="25" spans="1:43" ht="19.95" customHeight="1" x14ac:dyDescent="0.3">
      <c r="A25" s="24"/>
      <c r="B25" s="24"/>
      <c r="C25" s="56"/>
      <c r="D25" s="24"/>
      <c r="E25" s="41"/>
      <c r="F25" s="58"/>
      <c r="G25" s="41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58"/>
      <c r="AL25" s="24"/>
      <c r="AM25" s="53" cm="1">
        <f t="array" ref="AM25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5" s="54"/>
      <c r="AO25" s="53" cm="1">
        <f t="array" ref="AO25">_xlfn.SWITCH(_HorasExtras,
"Si",SUMPRODUCT(IF(_Datos&gt;_PorEncimade,_Datos-_PorEncimade,0),(WEEKDAY($G$8:$AK$8,2)&lt;=6)*1,NOT(ISNUMBER(MATCH($G$8:$AK$8,nFestivos,0)))*1),
"No",0)</f>
        <v>0</v>
      </c>
      <c r="AP25" s="24"/>
      <c r="AQ25" s="24"/>
    </row>
    <row r="26" spans="1:43" ht="19.95" customHeight="1" x14ac:dyDescent="0.3">
      <c r="A26" s="24"/>
      <c r="B26" s="24"/>
      <c r="C26" s="56"/>
      <c r="D26" s="24"/>
      <c r="E26" s="41"/>
      <c r="F26" s="58"/>
      <c r="G26" s="41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58"/>
      <c r="AL26" s="24"/>
      <c r="AM26" s="53" cm="1">
        <f t="array" ref="AM2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6" s="54"/>
      <c r="AO26" s="53" cm="1">
        <f t="array" ref="AO26">_xlfn.SWITCH(_HorasExtras,
"Si",SUMPRODUCT(IF(_Datos&gt;_PorEncimade,_Datos-_PorEncimade,0),(WEEKDAY($G$8:$AK$8,2)&lt;=6)*1,NOT(ISNUMBER(MATCH($G$8:$AK$8,nFestivos,0)))*1),
"No",0)</f>
        <v>0</v>
      </c>
      <c r="AP26" s="24"/>
      <c r="AQ26" s="24"/>
    </row>
    <row r="27" spans="1:43" ht="19.95" customHeight="1" x14ac:dyDescent="0.3">
      <c r="A27" s="24"/>
      <c r="B27" s="24"/>
      <c r="C27" s="56"/>
      <c r="D27" s="24"/>
      <c r="E27" s="41"/>
      <c r="F27" s="58"/>
      <c r="G27" s="41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58"/>
      <c r="AL27" s="24"/>
      <c r="AM27" s="53" cm="1">
        <f t="array" ref="AM2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7" s="54"/>
      <c r="AO27" s="53" cm="1">
        <f t="array" ref="AO27">_xlfn.SWITCH(_HorasExtras,
"Si",SUMPRODUCT(IF(_Datos&gt;_PorEncimade,_Datos-_PorEncimade,0),(WEEKDAY($G$8:$AK$8,2)&lt;=6)*1,NOT(ISNUMBER(MATCH($G$8:$AK$8,nFestivos,0)))*1),
"No",0)</f>
        <v>0</v>
      </c>
      <c r="AP27" s="24"/>
      <c r="AQ27" s="24"/>
    </row>
    <row r="28" spans="1:43" ht="19.95" customHeight="1" x14ac:dyDescent="0.3">
      <c r="A28" s="24"/>
      <c r="B28" s="24"/>
      <c r="C28" s="56"/>
      <c r="D28" s="24"/>
      <c r="E28" s="41"/>
      <c r="F28" s="58"/>
      <c r="G28" s="41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58"/>
      <c r="AL28" s="24"/>
      <c r="AM28" s="53" cm="1">
        <f t="array" ref="AM2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8" s="54"/>
      <c r="AO28" s="53" cm="1">
        <f t="array" ref="AO28">_xlfn.SWITCH(_HorasExtras,
"Si",SUMPRODUCT(IF(_Datos&gt;_PorEncimade,_Datos-_PorEncimade,0),(WEEKDAY($G$8:$AK$8,2)&lt;=6)*1,NOT(ISNUMBER(MATCH($G$8:$AK$8,nFestivos,0)))*1),
"No",0)</f>
        <v>0</v>
      </c>
      <c r="AP28" s="24"/>
      <c r="AQ28" s="24"/>
    </row>
    <row r="29" spans="1:43" ht="19.95" customHeight="1" x14ac:dyDescent="0.3">
      <c r="A29" s="24"/>
      <c r="B29" s="24"/>
      <c r="C29" s="56"/>
      <c r="D29" s="24"/>
      <c r="E29" s="41"/>
      <c r="F29" s="58"/>
      <c r="G29" s="41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58"/>
      <c r="AL29" s="24"/>
      <c r="AM29" s="53" cm="1">
        <f t="array" ref="AM2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29" s="54"/>
      <c r="AO29" s="53" cm="1">
        <f t="array" ref="AO29">_xlfn.SWITCH(_HorasExtras,
"Si",SUMPRODUCT(IF(_Datos&gt;_PorEncimade,_Datos-_PorEncimade,0),(WEEKDAY($G$8:$AK$8,2)&lt;=6)*1,NOT(ISNUMBER(MATCH($G$8:$AK$8,nFestivos,0)))*1),
"No",0)</f>
        <v>0</v>
      </c>
      <c r="AP29" s="24"/>
      <c r="AQ29" s="24"/>
    </row>
    <row r="30" spans="1:43" ht="19.95" customHeight="1" x14ac:dyDescent="0.3">
      <c r="A30" s="24"/>
      <c r="B30" s="24"/>
      <c r="C30" s="56"/>
      <c r="D30" s="24"/>
      <c r="E30" s="41"/>
      <c r="F30" s="58"/>
      <c r="G30" s="41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58"/>
      <c r="AL30" s="24"/>
      <c r="AM30" s="53" cm="1">
        <f t="array" ref="AM3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0" s="54"/>
      <c r="AO30" s="53" cm="1">
        <f t="array" ref="AO30">_xlfn.SWITCH(_HorasExtras,
"Si",SUMPRODUCT(IF(_Datos&gt;_PorEncimade,_Datos-_PorEncimade,0),(WEEKDAY($G$8:$AK$8,2)&lt;=6)*1,NOT(ISNUMBER(MATCH($G$8:$AK$8,nFestivos,0)))*1),
"No",0)</f>
        <v>0</v>
      </c>
      <c r="AP30" s="24"/>
      <c r="AQ30" s="24"/>
    </row>
    <row r="31" spans="1:43" ht="19.95" customHeight="1" x14ac:dyDescent="0.3">
      <c r="A31" s="24"/>
      <c r="B31" s="24"/>
      <c r="C31" s="56"/>
      <c r="D31" s="24"/>
      <c r="E31" s="41"/>
      <c r="F31" s="58"/>
      <c r="G31" s="41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58"/>
      <c r="AL31" s="24"/>
      <c r="AM31" s="53" cm="1">
        <f t="array" ref="AM3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1" s="54"/>
      <c r="AO31" s="53" cm="1">
        <f t="array" ref="AO31">_xlfn.SWITCH(_HorasExtras,
"Si",SUMPRODUCT(IF(_Datos&gt;_PorEncimade,_Datos-_PorEncimade,0),(WEEKDAY($G$8:$AK$8,2)&lt;=6)*1,NOT(ISNUMBER(MATCH($G$8:$AK$8,nFestivos,0)))*1),
"No",0)</f>
        <v>0</v>
      </c>
      <c r="AP31" s="24"/>
      <c r="AQ31" s="24"/>
    </row>
    <row r="32" spans="1:43" ht="19.95" customHeight="1" x14ac:dyDescent="0.3">
      <c r="A32" s="24"/>
      <c r="B32" s="24"/>
      <c r="C32" s="56"/>
      <c r="D32" s="24"/>
      <c r="E32" s="41"/>
      <c r="F32" s="58"/>
      <c r="G32" s="41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58"/>
      <c r="AL32" s="24"/>
      <c r="AM32" s="53" cm="1">
        <f t="array" ref="AM32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2" s="54"/>
      <c r="AO32" s="53" cm="1">
        <f t="array" ref="AO32">_xlfn.SWITCH(_HorasExtras,
"Si",SUMPRODUCT(IF(_Datos&gt;_PorEncimade,_Datos-_PorEncimade,0),(WEEKDAY($G$8:$AK$8,2)&lt;=6)*1,NOT(ISNUMBER(MATCH($G$8:$AK$8,nFestivos,0)))*1),
"No",0)</f>
        <v>0</v>
      </c>
      <c r="AP32" s="24"/>
      <c r="AQ32" s="24"/>
    </row>
    <row r="33" spans="1:43" ht="19.95" customHeight="1" x14ac:dyDescent="0.3">
      <c r="A33" s="24"/>
      <c r="B33" s="24"/>
      <c r="C33" s="56"/>
      <c r="D33" s="24"/>
      <c r="E33" s="41"/>
      <c r="F33" s="58"/>
      <c r="G33" s="41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58"/>
      <c r="AL33" s="24"/>
      <c r="AM33" s="53" cm="1">
        <f t="array" ref="AM33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3" s="54"/>
      <c r="AO33" s="53" cm="1">
        <f t="array" ref="AO33">_xlfn.SWITCH(_HorasExtras,
"Si",SUMPRODUCT(IF(_Datos&gt;_PorEncimade,_Datos-_PorEncimade,0),(WEEKDAY($G$8:$AK$8,2)&lt;=6)*1,NOT(ISNUMBER(MATCH($G$8:$AK$8,nFestivos,0)))*1),
"No",0)</f>
        <v>0</v>
      </c>
      <c r="AP33" s="24"/>
      <c r="AQ33" s="24"/>
    </row>
    <row r="34" spans="1:43" ht="19.95" customHeight="1" x14ac:dyDescent="0.3">
      <c r="A34" s="24"/>
      <c r="B34" s="24"/>
      <c r="C34" s="56"/>
      <c r="D34" s="24"/>
      <c r="E34" s="41"/>
      <c r="F34" s="58"/>
      <c r="G34" s="41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58"/>
      <c r="AL34" s="24"/>
      <c r="AM34" s="53" cm="1">
        <f t="array" ref="AM34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4" s="54"/>
      <c r="AO34" s="53" cm="1">
        <f t="array" ref="AO34">_xlfn.SWITCH(_HorasExtras,
"Si",SUMPRODUCT(IF(_Datos&gt;_PorEncimade,_Datos-_PorEncimade,0),(WEEKDAY($G$8:$AK$8,2)&lt;=6)*1,NOT(ISNUMBER(MATCH($G$8:$AK$8,nFestivos,0)))*1),
"No",0)</f>
        <v>0</v>
      </c>
      <c r="AP34" s="24"/>
      <c r="AQ34" s="24"/>
    </row>
    <row r="35" spans="1:43" ht="19.95" customHeight="1" x14ac:dyDescent="0.3">
      <c r="A35" s="24"/>
      <c r="B35" s="24"/>
      <c r="C35" s="56"/>
      <c r="D35" s="24"/>
      <c r="E35" s="41"/>
      <c r="F35" s="58"/>
      <c r="G35" s="41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58"/>
      <c r="AL35" s="24"/>
      <c r="AM35" s="53" cm="1">
        <f t="array" ref="AM35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5" s="54"/>
      <c r="AO35" s="53" cm="1">
        <f t="array" ref="AO35">_xlfn.SWITCH(_HorasExtras,
"Si",SUMPRODUCT(IF(_Datos&gt;_PorEncimade,_Datos-_PorEncimade,0),(WEEKDAY($G$8:$AK$8,2)&lt;=6)*1,NOT(ISNUMBER(MATCH($G$8:$AK$8,nFestivos,0)))*1),
"No",0)</f>
        <v>0</v>
      </c>
      <c r="AP35" s="24"/>
      <c r="AQ35" s="24"/>
    </row>
    <row r="36" spans="1:43" ht="19.95" customHeight="1" x14ac:dyDescent="0.3">
      <c r="A36" s="24"/>
      <c r="B36" s="24"/>
      <c r="C36" s="56"/>
      <c r="D36" s="24"/>
      <c r="E36" s="41"/>
      <c r="F36" s="58"/>
      <c r="G36" s="41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58"/>
      <c r="AL36" s="24"/>
      <c r="AM36" s="53" cm="1">
        <f t="array" ref="AM3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6" s="54"/>
      <c r="AO36" s="53" cm="1">
        <f t="array" ref="AO36">_xlfn.SWITCH(_HorasExtras,
"Si",SUMPRODUCT(IF(_Datos&gt;_PorEncimade,_Datos-_PorEncimade,0),(WEEKDAY($G$8:$AK$8,2)&lt;=6)*1,NOT(ISNUMBER(MATCH($G$8:$AK$8,nFestivos,0)))*1),
"No",0)</f>
        <v>0</v>
      </c>
      <c r="AP36" s="24"/>
      <c r="AQ36" s="24"/>
    </row>
    <row r="37" spans="1:43" ht="19.95" customHeight="1" x14ac:dyDescent="0.3">
      <c r="A37" s="24"/>
      <c r="B37" s="24"/>
      <c r="C37" s="56"/>
      <c r="D37" s="24"/>
      <c r="E37" s="41"/>
      <c r="F37" s="58"/>
      <c r="G37" s="41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58"/>
      <c r="AL37" s="24"/>
      <c r="AM37" s="53" cm="1">
        <f t="array" ref="AM3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7" s="54"/>
      <c r="AO37" s="53" cm="1">
        <f t="array" ref="AO37">_xlfn.SWITCH(_HorasExtras,
"Si",SUMPRODUCT(IF(_Datos&gt;_PorEncimade,_Datos-_PorEncimade,0),(WEEKDAY($G$8:$AK$8,2)&lt;=6)*1,NOT(ISNUMBER(MATCH($G$8:$AK$8,nFestivos,0)))*1),
"No",0)</f>
        <v>0</v>
      </c>
      <c r="AP37" s="24"/>
      <c r="AQ37" s="24"/>
    </row>
    <row r="38" spans="1:43" ht="19.95" customHeight="1" x14ac:dyDescent="0.3">
      <c r="A38" s="24"/>
      <c r="B38" s="24"/>
      <c r="C38" s="56"/>
      <c r="D38" s="24"/>
      <c r="E38" s="41"/>
      <c r="F38" s="58"/>
      <c r="G38" s="41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58"/>
      <c r="AL38" s="24"/>
      <c r="AM38" s="53" cm="1">
        <f t="array" ref="AM3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8" s="54"/>
      <c r="AO38" s="53" cm="1">
        <f t="array" ref="AO38">_xlfn.SWITCH(_HorasExtras,
"Si",SUMPRODUCT(IF(_Datos&gt;_PorEncimade,_Datos-_PorEncimade,0),(WEEKDAY($G$8:$AK$8,2)&lt;=6)*1,NOT(ISNUMBER(MATCH($G$8:$AK$8,nFestivos,0)))*1),
"No",0)</f>
        <v>0</v>
      </c>
      <c r="AP38" s="24"/>
      <c r="AQ38" s="24"/>
    </row>
    <row r="39" spans="1:43" ht="19.95" customHeight="1" x14ac:dyDescent="0.3">
      <c r="A39" s="24"/>
      <c r="B39" s="24"/>
      <c r="C39" s="56"/>
      <c r="D39" s="24"/>
      <c r="E39" s="41"/>
      <c r="F39" s="58"/>
      <c r="G39" s="41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58"/>
      <c r="AL39" s="24"/>
      <c r="AM39" s="53" cm="1">
        <f t="array" ref="AM3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39" s="54"/>
      <c r="AO39" s="53" cm="1">
        <f t="array" ref="AO39">_xlfn.SWITCH(_HorasExtras,
"Si",SUMPRODUCT(IF(_Datos&gt;_PorEncimade,_Datos-_PorEncimade,0),(WEEKDAY($G$8:$AK$8,2)&lt;=6)*1,NOT(ISNUMBER(MATCH($G$8:$AK$8,nFestivos,0)))*1),
"No",0)</f>
        <v>0</v>
      </c>
      <c r="AP39" s="24"/>
      <c r="AQ39" s="24"/>
    </row>
    <row r="40" spans="1:43" ht="19.95" customHeight="1" x14ac:dyDescent="0.3">
      <c r="A40" s="24"/>
      <c r="B40" s="24"/>
      <c r="C40" s="56"/>
      <c r="D40" s="24"/>
      <c r="E40" s="41"/>
      <c r="F40" s="58"/>
      <c r="G40" s="41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58"/>
      <c r="AL40" s="24"/>
      <c r="AM40" s="53" cm="1">
        <f t="array" ref="AM4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0" s="54"/>
      <c r="AO40" s="53" cm="1">
        <f t="array" ref="AO40">_xlfn.SWITCH(_HorasExtras,
"Si",SUMPRODUCT(IF(_Datos&gt;_PorEncimade,_Datos-_PorEncimade,0),(WEEKDAY($G$8:$AK$8,2)&lt;=6)*1,NOT(ISNUMBER(MATCH($G$8:$AK$8,nFestivos,0)))*1),
"No",0)</f>
        <v>0</v>
      </c>
      <c r="AP40" s="24"/>
      <c r="AQ40" s="24"/>
    </row>
    <row r="41" spans="1:43" ht="19.95" customHeight="1" x14ac:dyDescent="0.3">
      <c r="A41" s="24"/>
      <c r="B41" s="24"/>
      <c r="C41" s="56"/>
      <c r="D41" s="24"/>
      <c r="E41" s="41"/>
      <c r="F41" s="58"/>
      <c r="G41" s="41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58"/>
      <c r="AL41" s="24"/>
      <c r="AM41" s="53" cm="1">
        <f t="array" ref="AM4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1" s="54"/>
      <c r="AO41" s="53" cm="1">
        <f t="array" ref="AO41">_xlfn.SWITCH(_HorasExtras,
"Si",SUMPRODUCT(IF(_Datos&gt;_PorEncimade,_Datos-_PorEncimade,0),(WEEKDAY($G$8:$AK$8,2)&lt;=6)*1,NOT(ISNUMBER(MATCH($G$8:$AK$8,nFestivos,0)))*1),
"No",0)</f>
        <v>0</v>
      </c>
      <c r="AP41" s="24"/>
      <c r="AQ41" s="24"/>
    </row>
    <row r="42" spans="1:43" ht="19.95" customHeight="1" x14ac:dyDescent="0.3">
      <c r="A42" s="24"/>
      <c r="B42" s="24"/>
      <c r="C42" s="56"/>
      <c r="D42" s="24"/>
      <c r="E42" s="41"/>
      <c r="F42" s="58"/>
      <c r="G42" s="41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58"/>
      <c r="AL42" s="24"/>
      <c r="AM42" s="53" cm="1">
        <f t="array" ref="AM42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2" s="54"/>
      <c r="AO42" s="53" cm="1">
        <f t="array" ref="AO42">_xlfn.SWITCH(_HorasExtras,
"Si",SUMPRODUCT(IF(_Datos&gt;_PorEncimade,_Datos-_PorEncimade,0),(WEEKDAY($G$8:$AK$8,2)&lt;=6)*1,NOT(ISNUMBER(MATCH($G$8:$AK$8,nFestivos,0)))*1),
"No",0)</f>
        <v>0</v>
      </c>
      <c r="AP42" s="24"/>
      <c r="AQ42" s="24"/>
    </row>
    <row r="43" spans="1:43" ht="19.95" customHeight="1" x14ac:dyDescent="0.3">
      <c r="A43" s="24"/>
      <c r="B43" s="24"/>
      <c r="C43" s="56"/>
      <c r="D43" s="24"/>
      <c r="E43" s="41"/>
      <c r="F43" s="58"/>
      <c r="G43" s="41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58"/>
      <c r="AL43" s="24"/>
      <c r="AM43" s="53" cm="1">
        <f t="array" ref="AM43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3" s="54"/>
      <c r="AO43" s="53" cm="1">
        <f t="array" ref="AO43">_xlfn.SWITCH(_HorasExtras,
"Si",SUMPRODUCT(IF(_Datos&gt;_PorEncimade,_Datos-_PorEncimade,0),(WEEKDAY($G$8:$AK$8,2)&lt;=6)*1,NOT(ISNUMBER(MATCH($G$8:$AK$8,nFestivos,0)))*1),
"No",0)</f>
        <v>0</v>
      </c>
      <c r="AP43" s="24"/>
      <c r="AQ43" s="24"/>
    </row>
    <row r="44" spans="1:43" ht="19.95" customHeight="1" x14ac:dyDescent="0.3">
      <c r="A44" s="24"/>
      <c r="B44" s="24"/>
      <c r="C44" s="56"/>
      <c r="D44" s="24"/>
      <c r="E44" s="41"/>
      <c r="F44" s="58"/>
      <c r="G44" s="41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58"/>
      <c r="AL44" s="24"/>
      <c r="AM44" s="53" cm="1">
        <f t="array" ref="AM44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4" s="54"/>
      <c r="AO44" s="53" cm="1">
        <f t="array" ref="AO44">_xlfn.SWITCH(_HorasExtras,
"Si",SUMPRODUCT(IF(_Datos&gt;_PorEncimade,_Datos-_PorEncimade,0),(WEEKDAY($G$8:$AK$8,2)&lt;=6)*1,NOT(ISNUMBER(MATCH($G$8:$AK$8,nFestivos,0)))*1),
"No",0)</f>
        <v>0</v>
      </c>
      <c r="AP44" s="24"/>
      <c r="AQ44" s="24"/>
    </row>
    <row r="45" spans="1:43" ht="19.95" customHeight="1" x14ac:dyDescent="0.3">
      <c r="A45" s="24"/>
      <c r="B45" s="24"/>
      <c r="C45" s="56"/>
      <c r="D45" s="24"/>
      <c r="E45" s="41"/>
      <c r="F45" s="58"/>
      <c r="G45" s="41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58"/>
      <c r="AL45" s="24"/>
      <c r="AM45" s="53" cm="1">
        <f t="array" ref="AM45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5" s="54"/>
      <c r="AO45" s="53" cm="1">
        <f t="array" ref="AO45">_xlfn.SWITCH(_HorasExtras,
"Si",SUMPRODUCT(IF(_Datos&gt;_PorEncimade,_Datos-_PorEncimade,0),(WEEKDAY($G$8:$AK$8,2)&lt;=6)*1,NOT(ISNUMBER(MATCH($G$8:$AK$8,nFestivos,0)))*1),
"No",0)</f>
        <v>0</v>
      </c>
      <c r="AP45" s="24"/>
      <c r="AQ45" s="24"/>
    </row>
    <row r="46" spans="1:43" ht="19.95" customHeight="1" x14ac:dyDescent="0.3">
      <c r="A46" s="24"/>
      <c r="B46" s="24"/>
      <c r="C46" s="56"/>
      <c r="D46" s="24"/>
      <c r="E46" s="41"/>
      <c r="F46" s="58"/>
      <c r="G46" s="41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58"/>
      <c r="AL46" s="24"/>
      <c r="AM46" s="53" cm="1">
        <f t="array" ref="AM46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6" s="54"/>
      <c r="AO46" s="53" cm="1">
        <f t="array" ref="AO46">_xlfn.SWITCH(_HorasExtras,
"Si",SUMPRODUCT(IF(_Datos&gt;_PorEncimade,_Datos-_PorEncimade,0),(WEEKDAY($G$8:$AK$8,2)&lt;=6)*1,NOT(ISNUMBER(MATCH($G$8:$AK$8,nFestivos,0)))*1),
"No",0)</f>
        <v>0</v>
      </c>
      <c r="AP46" s="24"/>
      <c r="AQ46" s="24"/>
    </row>
    <row r="47" spans="1:43" ht="19.95" customHeight="1" x14ac:dyDescent="0.3">
      <c r="A47" s="24"/>
      <c r="B47" s="24"/>
      <c r="C47" s="56"/>
      <c r="D47" s="24"/>
      <c r="E47" s="41"/>
      <c r="F47" s="58"/>
      <c r="G47" s="41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58"/>
      <c r="AL47" s="24"/>
      <c r="AM47" s="53" cm="1">
        <f t="array" ref="AM47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7" s="54"/>
      <c r="AO47" s="53" cm="1">
        <f t="array" ref="AO47">_xlfn.SWITCH(_HorasExtras,
"Si",SUMPRODUCT(IF(_Datos&gt;_PorEncimade,_Datos-_PorEncimade,0),(WEEKDAY($G$8:$AK$8,2)&lt;=6)*1,NOT(ISNUMBER(MATCH($G$8:$AK$8,nFestivos,0)))*1),
"No",0)</f>
        <v>0</v>
      </c>
      <c r="AP47" s="24"/>
      <c r="AQ47" s="24"/>
    </row>
    <row r="48" spans="1:43" ht="19.95" customHeight="1" x14ac:dyDescent="0.3">
      <c r="A48" s="24"/>
      <c r="B48" s="24"/>
      <c r="C48" s="56"/>
      <c r="D48" s="24"/>
      <c r="E48" s="41"/>
      <c r="F48" s="58"/>
      <c r="G48" s="41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58"/>
      <c r="AL48" s="24"/>
      <c r="AM48" s="53" cm="1">
        <f t="array" ref="AM48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8" s="54"/>
      <c r="AO48" s="53" cm="1">
        <f t="array" ref="AO48">_xlfn.SWITCH(_HorasExtras,
"Si",SUMPRODUCT(IF(_Datos&gt;_PorEncimade,_Datos-_PorEncimade,0),(WEEKDAY($G$8:$AK$8,2)&lt;=6)*1,NOT(ISNUMBER(MATCH($G$8:$AK$8,nFestivos,0)))*1),
"No",0)</f>
        <v>0</v>
      </c>
      <c r="AP48" s="24"/>
      <c r="AQ48" s="24"/>
    </row>
    <row r="49" spans="1:43" ht="19.95" customHeight="1" x14ac:dyDescent="0.3">
      <c r="A49" s="24"/>
      <c r="B49" s="24"/>
      <c r="C49" s="56"/>
      <c r="D49" s="24"/>
      <c r="E49" s="41"/>
      <c r="F49" s="58"/>
      <c r="G49" s="41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58"/>
      <c r="AL49" s="24"/>
      <c r="AM49" s="53" cm="1">
        <f t="array" ref="AM49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49" s="54"/>
      <c r="AO49" s="53" cm="1">
        <f t="array" ref="AO49">_xlfn.SWITCH(_HorasExtras,
"Si",SUMPRODUCT(IF(_Datos&gt;_PorEncimade,_Datos-_PorEncimade,0),(WEEKDAY($G$8:$AK$8,2)&lt;=6)*1,NOT(ISNUMBER(MATCH($G$8:$AK$8,nFestivos,0)))*1),
"No",0)</f>
        <v>0</v>
      </c>
      <c r="AP49" s="24"/>
      <c r="AQ49" s="24"/>
    </row>
    <row r="50" spans="1:43" ht="19.95" customHeight="1" x14ac:dyDescent="0.3">
      <c r="A50" s="24"/>
      <c r="B50" s="24"/>
      <c r="C50" s="56"/>
      <c r="D50" s="24"/>
      <c r="E50" s="59"/>
      <c r="F50" s="60"/>
      <c r="G50" s="41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58"/>
      <c r="AL50" s="24"/>
      <c r="AM50" s="53" cm="1">
        <f t="array" ref="AM50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50" s="54"/>
      <c r="AO50" s="53" cm="1">
        <f t="array" ref="AO50">_xlfn.SWITCH(_HorasExtras,
"Si",SUMPRODUCT(IF(_Datos&gt;_PorEncimade,_Datos-_PorEncimade,0),(WEEKDAY($G$8:$AK$8,2)&lt;=6)*1,NOT(ISNUMBER(MATCH($G$8:$AK$8,nFestivos,0)))*1),
"No",0)</f>
        <v>0</v>
      </c>
      <c r="AP50" s="24"/>
      <c r="AQ50" s="24"/>
    </row>
    <row r="51" spans="1:43" ht="19.95" customHeight="1" thickBot="1" x14ac:dyDescent="0.35">
      <c r="A51" s="24"/>
      <c r="B51" s="24"/>
      <c r="C51" s="57"/>
      <c r="D51" s="24"/>
      <c r="E51" s="38"/>
      <c r="F51" s="39"/>
      <c r="G51" s="64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6"/>
      <c r="AL51" s="24"/>
      <c r="AM51" s="53" cm="1">
        <f t="array" ref="AM51">_xlfn.SWITCH(_HorasExtras,
"Si",SUMPRODUCT(IF(_Datos&lt;=_PorEncimade,_Datos,_PorEncimade),(WEEKDAY($G$8:$AK$8,2)&lt;=5)*1,NOT(ISNUMBER(MATCH($G$8:$AK$8,nFestivos,0)))*1),
"No",SUMPRODUCT(_Datos,(WEEKDAY($G$8:$AK$8,2)&lt;=5)*1,NOT(ISNUMBER(MATCH($G$8:$AK$8,nFestivos,0)))*1))</f>
        <v>0</v>
      </c>
      <c r="AN51" s="54"/>
      <c r="AO51" s="53" cm="1">
        <f t="array" ref="AO51">_xlfn.SWITCH(_HorasExtras,
"Si",SUMPRODUCT(IF(_Datos&gt;_PorEncimade,_Datos-_PorEncimade,0),(WEEKDAY($G$8:$AK$8,2)&lt;=6)*1,NOT(ISNUMBER(MATCH($G$8:$AK$8,nFestivos,0)))*1),
"No",0)</f>
        <v>0</v>
      </c>
      <c r="AP51" s="24"/>
      <c r="AQ51" s="24"/>
    </row>
  </sheetData>
  <mergeCells count="41">
    <mergeCell ref="AI8:AI11"/>
    <mergeCell ref="E4:G4"/>
    <mergeCell ref="E6:G6"/>
    <mergeCell ref="AJ8:AJ11"/>
    <mergeCell ref="AK8:AK11"/>
    <mergeCell ref="AE8:AE11"/>
    <mergeCell ref="AF8:AF11"/>
    <mergeCell ref="H8:H11"/>
    <mergeCell ref="K8:K11"/>
    <mergeCell ref="M8:M11"/>
    <mergeCell ref="N8:N11"/>
    <mergeCell ref="G8:G11"/>
    <mergeCell ref="E15:F15"/>
    <mergeCell ref="AA8:AA11"/>
    <mergeCell ref="AB8:AB11"/>
    <mergeCell ref="AC8:AC11"/>
    <mergeCell ref="AD8:AD11"/>
    <mergeCell ref="U8:U11"/>
    <mergeCell ref="V8:V11"/>
    <mergeCell ref="W8:W11"/>
    <mergeCell ref="X8:X11"/>
    <mergeCell ref="Y8:Y11"/>
    <mergeCell ref="Z8:Z11"/>
    <mergeCell ref="L8:L11"/>
    <mergeCell ref="E13:F13"/>
    <mergeCell ref="E16:F16"/>
    <mergeCell ref="V5:AA6"/>
    <mergeCell ref="AD4:AE4"/>
    <mergeCell ref="AG4:AH4"/>
    <mergeCell ref="AD5:AF6"/>
    <mergeCell ref="AG5:AH6"/>
    <mergeCell ref="AG8:AG11"/>
    <mergeCell ref="AH8:AH11"/>
    <mergeCell ref="O8:O11"/>
    <mergeCell ref="P8:P11"/>
    <mergeCell ref="Q8:Q11"/>
    <mergeCell ref="R8:R11"/>
    <mergeCell ref="S8:S11"/>
    <mergeCell ref="T8:T11"/>
    <mergeCell ref="I8:I11"/>
    <mergeCell ref="J8:J11"/>
  </mergeCells>
  <conditionalFormatting sqref="D15:D51">
    <cfRule type="expression" dxfId="48" priority="1">
      <formula>AND(_HorasExtras="SI",OR(_Datos&gt;_PorEncimade))</formula>
    </cfRule>
  </conditionalFormatting>
  <conditionalFormatting sqref="G8:AK12">
    <cfRule type="expression" dxfId="47" priority="10">
      <formula>MONTH(_Fechainicial)&lt;&gt;MONTH($E$4&amp;1)</formula>
    </cfRule>
  </conditionalFormatting>
  <conditionalFormatting sqref="G12:AK12">
    <cfRule type="expression" dxfId="46" priority="4">
      <formula>OR(WEEKDAY(_Fechainicial,2)&gt;=7,ISNUMBER(MATCH(_Fechainicial,nFestivo,0)),MONTH(_Fechainicial)&lt;&gt;MONTH($E$4&amp;1))</formula>
    </cfRule>
    <cfRule type="expression" dxfId="45" priority="7">
      <formula>MONTH(_Fechainicial)=MONTH($E$4&amp;1)</formula>
    </cfRule>
  </conditionalFormatting>
  <conditionalFormatting sqref="G13:AK13">
    <cfRule type="expression" dxfId="44" priority="9">
      <formula>MONTH(_Fechainicial)&lt;&gt;MONTH($E$4&amp;1)</formula>
    </cfRule>
    <cfRule type="expression" dxfId="43" priority="12">
      <formula>WEEKDAY(_Fechainicial,2)&gt;WEEKDAY(_FechaSiguiente,2)</formula>
    </cfRule>
  </conditionalFormatting>
  <conditionalFormatting sqref="G15:AK51">
    <cfRule type="expression" dxfId="42" priority="5">
      <formula>OR(WEEKDAY(_Fechainicial,2)&gt;=7,ISNUMBER(MATCH(_Fechainicial,nFestivo,0)),MONTH(_Fechainicial)&lt;&gt;MONTH($E$4&amp;1))</formula>
    </cfRule>
    <cfRule type="expression" dxfId="41" priority="11">
      <formula>WEEKDAY(_Fechainicial,2)&gt;WEEKDAY(_FechaSiguiente,2)</formula>
    </cfRule>
  </conditionalFormatting>
  <conditionalFormatting sqref="AO4">
    <cfRule type="expression" dxfId="40" priority="3">
      <formula>_HorasExtras="NO"</formula>
    </cfRule>
  </conditionalFormatting>
  <conditionalFormatting sqref="AO6">
    <cfRule type="expression" dxfId="39" priority="2">
      <formula>_HorasExtras="NO"</formula>
    </cfRule>
  </conditionalFormatting>
  <dataValidations count="3">
    <dataValidation type="list" allowBlank="1" showInputMessage="1" showErrorMessage="1" sqref="E4:G4" xr:uid="{613497D7-DE93-4E12-864B-31F806AD0715}">
      <formula1>"Enero, Febrero, Marzo, Abril, Mayo, Junio, Julio, Agosto, Setiembre, Octubre, Noviembre, Diciembre"</formula1>
    </dataValidation>
    <dataValidation type="list" allowBlank="1" showInputMessage="1" showErrorMessage="1" sqref="AO4" xr:uid="{DADF3178-FF17-419E-9839-7E326677BAC1}">
      <formula1>"SI, NO"</formula1>
    </dataValidation>
    <dataValidation type="list" allowBlank="1" showInputMessage="1" showErrorMessage="1" sqref="AO6" xr:uid="{6640CA84-A6E9-47F6-B744-C2A1505CA75C}">
      <formula1>"8, 9, 10"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44CD-C505-4823-B584-62B90DE040F8}">
  <sheetPr codeName="Hoja6"/>
  <dimension ref="A3:N12"/>
  <sheetViews>
    <sheetView workbookViewId="0">
      <selection activeCell="C13" sqref="C13"/>
    </sheetView>
  </sheetViews>
  <sheetFormatPr baseColWidth="10" defaultColWidth="10.77734375" defaultRowHeight="14.4" x14ac:dyDescent="0.3"/>
  <sheetData>
    <row r="3" spans="1:14" x14ac:dyDescent="0.3">
      <c r="A3">
        <v>1</v>
      </c>
      <c r="B3" t="e" cm="1">
        <f t="array" ref="B3">WEEKDAY(_Fechainicial,2)&gt;WEEKDAY(_FechaSiguiente,2)</f>
        <v>#NAME?</v>
      </c>
      <c r="C3" t="s">
        <v>69</v>
      </c>
    </row>
    <row r="4" spans="1:14" x14ac:dyDescent="0.3">
      <c r="A4">
        <v>2</v>
      </c>
      <c r="B4" t="e" cm="1">
        <f t="array" ref="B4">MONTH(_Fechainicial)&lt;&gt;MONTH($E$4&amp;1)</f>
        <v>#NAME?</v>
      </c>
      <c r="C4" t="s">
        <v>70</v>
      </c>
    </row>
    <row r="5" spans="1:14" x14ac:dyDescent="0.3">
      <c r="A5">
        <v>3</v>
      </c>
      <c r="B5" t="e" cm="1">
        <f t="array" ref="B5">MONTH(_Fechainicial)=MONTH($E$4&amp;1)</f>
        <v>#NAME?</v>
      </c>
      <c r="C5" t="s">
        <v>71</v>
      </c>
    </row>
    <row r="6" spans="1:14" x14ac:dyDescent="0.3">
      <c r="B6" t="e" cm="1">
        <f t="array" ref="B6">OR(WEEKDAY(_Fechainicial,2)&gt;=7,ISNUMBER(MATCH(_Fechainicial,nFestivo,0)),MONTH(_Fechainicial)&lt;&gt;MONTH($E$4&amp;1))</f>
        <v>#NAME?</v>
      </c>
      <c r="C6" t="s">
        <v>72</v>
      </c>
    </row>
    <row r="7" spans="1:14" x14ac:dyDescent="0.3">
      <c r="B7" t="s">
        <v>73</v>
      </c>
      <c r="N7" t="s">
        <v>76</v>
      </c>
    </row>
    <row r="8" spans="1:14" x14ac:dyDescent="0.3">
      <c r="B8" t="s">
        <v>74</v>
      </c>
    </row>
    <row r="9" spans="1:14" x14ac:dyDescent="0.3">
      <c r="B9" t="s">
        <v>75</v>
      </c>
    </row>
    <row r="10" spans="1:14" x14ac:dyDescent="0.3">
      <c r="B10" t="e" cm="1">
        <f t="array" ref="B10">_HorasExtras="NO"</f>
        <v>#NAME?</v>
      </c>
      <c r="C10" t="s">
        <v>77</v>
      </c>
    </row>
    <row r="12" spans="1:14" x14ac:dyDescent="0.3">
      <c r="B12" t="e" cm="1">
        <f t="array" ref="B12">AND(_HorasExtras="SI",OR(_Datos&gt;_PorEncimade))</f>
        <v>#NAME?</v>
      </c>
      <c r="C12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A0F0-459B-4DDC-ACE9-A411FFF6A86A}">
  <sheetPr codeName="Hoja7"/>
  <dimension ref="A5:AG10"/>
  <sheetViews>
    <sheetView workbookViewId="0">
      <selection activeCell="D12" sqref="D12"/>
    </sheetView>
  </sheetViews>
  <sheetFormatPr baseColWidth="10" defaultColWidth="10.77734375" defaultRowHeight="14.4" x14ac:dyDescent="0.3"/>
  <cols>
    <col min="1" max="1" width="7.21875" customWidth="1"/>
    <col min="2" max="2" width="35.88671875" customWidth="1"/>
  </cols>
  <sheetData>
    <row r="5" spans="1:33" x14ac:dyDescent="0.3">
      <c r="A5" t="s">
        <v>44</v>
      </c>
      <c r="B5" s="18">
        <v>2025</v>
      </c>
    </row>
    <row r="6" spans="1:33" x14ac:dyDescent="0.3">
      <c r="A6" t="s">
        <v>45</v>
      </c>
      <c r="B6" s="18" t="s">
        <v>35</v>
      </c>
    </row>
    <row r="8" spans="1:33" x14ac:dyDescent="0.3">
      <c r="C8" s="19">
        <f>IF($B$6="","",1)</f>
        <v>1</v>
      </c>
      <c r="D8" s="19">
        <f>IF(IF(C8="","",SUM(C8+1))&gt;VLOOKUP('ASISTENCIA KRAMER1'!$B$6,TMESES[],2,FALSE),"",SUM('ASISTENCIA KRAMER1'!C8+1))</f>
        <v>2</v>
      </c>
      <c r="E8" s="19">
        <f>IF(IF(D8="","",SUM(D8+1))&gt;VLOOKUP('ASISTENCIA KRAMER1'!$B$6,TMESES[],2,FALSE),"",SUM('ASISTENCIA KRAMER1'!D8+1))</f>
        <v>3</v>
      </c>
      <c r="F8" s="19">
        <f>IF(IF(E8="","",SUM(E8+1))&gt;VLOOKUP('ASISTENCIA KRAMER1'!$B$6,TMESES[],2,FALSE),"",SUM('ASISTENCIA KRAMER1'!E8+1))</f>
        <v>4</v>
      </c>
      <c r="G8" s="19">
        <f>IF(IF(F8="","",SUM(F8+1))&gt;VLOOKUP('ASISTENCIA KRAMER1'!$B$6,TMESES[],2,FALSE),"",SUM('ASISTENCIA KRAMER1'!F8+1))</f>
        <v>5</v>
      </c>
      <c r="H8" s="19">
        <f>IF(IF(G8="","",SUM(G8+1))&gt;VLOOKUP('ASISTENCIA KRAMER1'!$B$6,TMESES[],2,FALSE),"",SUM('ASISTENCIA KRAMER1'!G8+1))</f>
        <v>6</v>
      </c>
      <c r="I8" s="19">
        <f>IF(IF(H8="","",SUM(H8+1))&gt;VLOOKUP('ASISTENCIA KRAMER1'!$B$6,TMESES[],2,FALSE),"",SUM('ASISTENCIA KRAMER1'!H8+1))</f>
        <v>7</v>
      </c>
      <c r="J8" s="19">
        <f>IF(IF(I8="","",SUM(I8+1))&gt;VLOOKUP('ASISTENCIA KRAMER1'!$B$6,TMESES[],2,FALSE),"",SUM('ASISTENCIA KRAMER1'!I8+1))</f>
        <v>8</v>
      </c>
      <c r="K8" s="19">
        <f>IF(IF(J8="","",SUM(J8+1))&gt;VLOOKUP('ASISTENCIA KRAMER1'!$B$6,TMESES[],2,FALSE),"",SUM('ASISTENCIA KRAMER1'!J8+1))</f>
        <v>9</v>
      </c>
      <c r="L8" s="19">
        <f>IF(IF(K8="","",SUM(K8+1))&gt;VLOOKUP('ASISTENCIA KRAMER1'!$B$6,TMESES[],2,FALSE),"",SUM('ASISTENCIA KRAMER1'!K8+1))</f>
        <v>10</v>
      </c>
      <c r="M8" s="19">
        <f>IF(IF(L8="","",SUM(L8+1))&gt;VLOOKUP('ASISTENCIA KRAMER1'!$B$6,TMESES[],2,FALSE),"",SUM('ASISTENCIA KRAMER1'!L8+1))</f>
        <v>11</v>
      </c>
      <c r="N8" s="19">
        <f>IF(IF(M8="","",SUM(M8+1))&gt;VLOOKUP('ASISTENCIA KRAMER1'!$B$6,TMESES[],2,FALSE),"",SUM('ASISTENCIA KRAMER1'!M8+1))</f>
        <v>12</v>
      </c>
      <c r="O8" s="19">
        <f>IF(IF(N8="","",SUM(N8+1))&gt;VLOOKUP('ASISTENCIA KRAMER1'!$B$6,TMESES[],2,FALSE),"",SUM('ASISTENCIA KRAMER1'!N8+1))</f>
        <v>13</v>
      </c>
      <c r="P8" s="19">
        <f>IF(IF(O8="","",SUM(O8+1))&gt;VLOOKUP('ASISTENCIA KRAMER1'!$B$6,TMESES[],2,FALSE),"",SUM('ASISTENCIA KRAMER1'!O8+1))</f>
        <v>14</v>
      </c>
      <c r="Q8" s="19">
        <f>IF(IF(P8="","",SUM(P8+1))&gt;VLOOKUP('ASISTENCIA KRAMER1'!$B$6,TMESES[],2,FALSE),"",SUM('ASISTENCIA KRAMER1'!P8+1))</f>
        <v>15</v>
      </c>
      <c r="R8" s="19">
        <f>IF(IF(Q8="","",SUM(Q8+1))&gt;VLOOKUP('ASISTENCIA KRAMER1'!$B$6,TMESES[],2,FALSE),"",SUM('ASISTENCIA KRAMER1'!Q8+1))</f>
        <v>16</v>
      </c>
      <c r="S8" s="19">
        <f>IF(IF(R8="","",SUM(R8+1))&gt;VLOOKUP('ASISTENCIA KRAMER1'!$B$6,TMESES[],2,FALSE),"",SUM('ASISTENCIA KRAMER1'!R8+1))</f>
        <v>17</v>
      </c>
      <c r="T8" s="19">
        <f>IF(IF(S8="","",SUM(S8+1))&gt;VLOOKUP('ASISTENCIA KRAMER1'!$B$6,TMESES[],2,FALSE),"",SUM('ASISTENCIA KRAMER1'!S8+1))</f>
        <v>18</v>
      </c>
      <c r="U8" s="19">
        <f>IF(IF(T8="","",SUM(T8+1))&gt;VLOOKUP('ASISTENCIA KRAMER1'!$B$6,TMESES[],2,FALSE),"",SUM('ASISTENCIA KRAMER1'!T8+1))</f>
        <v>19</v>
      </c>
      <c r="V8" s="19">
        <f>IF(IF(U8="","",SUM(U8+1))&gt;VLOOKUP('ASISTENCIA KRAMER1'!$B$6,TMESES[],2,FALSE),"",SUM('ASISTENCIA KRAMER1'!U8+1))</f>
        <v>20</v>
      </c>
      <c r="W8" s="19">
        <f>IF(IF(V8="","",SUM(V8+1))&gt;VLOOKUP('ASISTENCIA KRAMER1'!$B$6,TMESES[],2,FALSE),"",SUM('ASISTENCIA KRAMER1'!V8+1))</f>
        <v>21</v>
      </c>
      <c r="X8" s="19">
        <f>IF(IF(W8="","",SUM(W8+1))&gt;VLOOKUP('ASISTENCIA KRAMER1'!$B$6,TMESES[],2,FALSE),"",SUM('ASISTENCIA KRAMER1'!W8+1))</f>
        <v>22</v>
      </c>
      <c r="Y8" s="19">
        <f>IF(IF(X8="","",SUM(X8+1))&gt;VLOOKUP('ASISTENCIA KRAMER1'!$B$6,TMESES[],2,FALSE),"",SUM('ASISTENCIA KRAMER1'!X8+1))</f>
        <v>23</v>
      </c>
      <c r="Z8" s="19">
        <f>IF(IF(Y8="","",SUM(Y8+1))&gt;VLOOKUP('ASISTENCIA KRAMER1'!$B$6,TMESES[],2,FALSE),"",SUM('ASISTENCIA KRAMER1'!Y8+1))</f>
        <v>24</v>
      </c>
      <c r="AA8" s="19">
        <f>IF(IF(Z8="","",SUM(Z8+1))&gt;VLOOKUP('ASISTENCIA KRAMER1'!$B$6,TMESES[],2,FALSE),"",SUM('ASISTENCIA KRAMER1'!Z8+1))</f>
        <v>25</v>
      </c>
      <c r="AB8" s="19">
        <f>IF(IF(AA8="","",SUM(AA8+1))&gt;VLOOKUP('ASISTENCIA KRAMER1'!$B$6,TMESES[],2,FALSE),"",SUM('ASISTENCIA KRAMER1'!AA8+1))</f>
        <v>26</v>
      </c>
      <c r="AC8" s="19">
        <f>IF(IF(AB8="","",SUM(AB8+1))&gt;VLOOKUP('ASISTENCIA KRAMER1'!$B$6,TMESES[],2,FALSE),"",SUM('ASISTENCIA KRAMER1'!AB8+1))</f>
        <v>27</v>
      </c>
      <c r="AD8" s="19">
        <f>IF(IF(AC8="","",SUM(AC8+1))&gt;VLOOKUP('ASISTENCIA KRAMER1'!$B$6,TMESES[],2,FALSE),"",SUM('ASISTENCIA KRAMER1'!AC8+1))</f>
        <v>28</v>
      </c>
      <c r="AE8" s="19">
        <f>IF(IF(AD8="","",SUM(AD8+1))&gt;VLOOKUP('ASISTENCIA KRAMER1'!$B$6,TMESES[],2,FALSE),"",SUM('ASISTENCIA KRAMER1'!AD8+1))</f>
        <v>29</v>
      </c>
      <c r="AF8" s="19">
        <f>IF(IF(AE8="","",SUM(AE8+1))&gt;VLOOKUP('ASISTENCIA KRAMER1'!$B$6,TMESES[],2,FALSE),"",SUM('ASISTENCIA KRAMER1'!AE8+1))</f>
        <v>30</v>
      </c>
      <c r="AG8" s="19" t="str">
        <f>IF(IF(AF8="","",SUM(AF8+1))&gt;VLOOKUP('ASISTENCIA KRAMER1'!$B$6,TMESES[],2,FALSE),"",SUM('ASISTENCIA KRAMER1'!AF8+1))</f>
        <v/>
      </c>
    </row>
    <row r="9" spans="1:33" x14ac:dyDescent="0.3">
      <c r="C9" s="20" t="str">
        <f>TEXT(DATE($B$5,MONTH($B$6&amp;1),C8),"ddd")</f>
        <v>mar</v>
      </c>
      <c r="D9" s="20" t="str">
        <f t="shared" ref="D9:AF9" si="0">TEXT(DATE($B$5,MONTH($B$6&amp;1),D8),"ddd")</f>
        <v>mié</v>
      </c>
      <c r="E9" s="20" t="str">
        <f t="shared" si="0"/>
        <v>jue</v>
      </c>
      <c r="F9" s="20" t="str">
        <f t="shared" si="0"/>
        <v>vie</v>
      </c>
      <c r="G9" s="20" t="str">
        <f t="shared" si="0"/>
        <v>sáb</v>
      </c>
      <c r="H9" s="20" t="str">
        <f t="shared" si="0"/>
        <v>dom</v>
      </c>
      <c r="I9" s="20" t="str">
        <f t="shared" si="0"/>
        <v>lun</v>
      </c>
      <c r="J9" s="20" t="str">
        <f t="shared" si="0"/>
        <v>mar</v>
      </c>
      <c r="K9" s="20" t="str">
        <f t="shared" si="0"/>
        <v>mié</v>
      </c>
      <c r="L9" s="20" t="str">
        <f t="shared" si="0"/>
        <v>jue</v>
      </c>
      <c r="M9" s="20" t="str">
        <f t="shared" si="0"/>
        <v>vie</v>
      </c>
      <c r="N9" s="20" t="str">
        <f t="shared" si="0"/>
        <v>sáb</v>
      </c>
      <c r="O9" s="20" t="str">
        <f t="shared" si="0"/>
        <v>dom</v>
      </c>
      <c r="P9" s="20" t="str">
        <f t="shared" si="0"/>
        <v>lun</v>
      </c>
      <c r="Q9" s="20" t="str">
        <f t="shared" si="0"/>
        <v>mar</v>
      </c>
      <c r="R9" s="20" t="str">
        <f t="shared" si="0"/>
        <v>mié</v>
      </c>
      <c r="S9" s="20" t="str">
        <f t="shared" si="0"/>
        <v>jue</v>
      </c>
      <c r="T9" s="20" t="str">
        <f t="shared" si="0"/>
        <v>vie</v>
      </c>
      <c r="U9" s="20" t="str">
        <f t="shared" si="0"/>
        <v>sáb</v>
      </c>
      <c r="V9" s="20" t="str">
        <f t="shared" si="0"/>
        <v>dom</v>
      </c>
      <c r="W9" s="20" t="str">
        <f t="shared" si="0"/>
        <v>lun</v>
      </c>
      <c r="X9" s="20" t="str">
        <f t="shared" si="0"/>
        <v>mar</v>
      </c>
      <c r="Y9" s="20" t="str">
        <f t="shared" si="0"/>
        <v>mié</v>
      </c>
      <c r="Z9" s="20" t="str">
        <f t="shared" si="0"/>
        <v>jue</v>
      </c>
      <c r="AA9" s="20" t="str">
        <f t="shared" si="0"/>
        <v>vie</v>
      </c>
      <c r="AB9" s="20" t="str">
        <f t="shared" si="0"/>
        <v>sáb</v>
      </c>
      <c r="AC9" s="20" t="str">
        <f t="shared" si="0"/>
        <v>dom</v>
      </c>
      <c r="AD9" s="20" t="str">
        <f t="shared" si="0"/>
        <v>lun</v>
      </c>
      <c r="AE9" s="20" t="str">
        <f t="shared" si="0"/>
        <v>mar</v>
      </c>
      <c r="AF9" s="20" t="str">
        <f t="shared" si="0"/>
        <v>mié</v>
      </c>
      <c r="AG9" s="19"/>
    </row>
    <row r="10" spans="1:33" x14ac:dyDescent="0.3">
      <c r="A10" t="s">
        <v>1</v>
      </c>
      <c r="B10" t="s">
        <v>29</v>
      </c>
    </row>
  </sheetData>
  <dataValidations count="1">
    <dataValidation type="list" allowBlank="1" showInputMessage="1" showErrorMessage="1" sqref="B6" xr:uid="{F8549189-E37D-4339-A2F2-DA996A2FE543}">
      <formula1>LMeses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BACB-912B-4F52-A858-550CA2C23D96}">
  <sheetPr codeName="Hoja8"/>
  <dimension ref="A1:B13"/>
  <sheetViews>
    <sheetView workbookViewId="0">
      <selection activeCell="A2" sqref="A2"/>
    </sheetView>
  </sheetViews>
  <sheetFormatPr baseColWidth="10" defaultColWidth="10.77734375" defaultRowHeight="14.4" x14ac:dyDescent="0.3"/>
  <cols>
    <col min="1" max="1" width="13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32</v>
      </c>
      <c r="B2">
        <v>31</v>
      </c>
    </row>
    <row r="3" spans="1:2" x14ac:dyDescent="0.3">
      <c r="A3" t="s">
        <v>33</v>
      </c>
      <c r="B3">
        <v>28</v>
      </c>
    </row>
    <row r="4" spans="1:2" x14ac:dyDescent="0.3">
      <c r="A4" t="s">
        <v>34</v>
      </c>
      <c r="B4">
        <v>31</v>
      </c>
    </row>
    <row r="5" spans="1:2" x14ac:dyDescent="0.3">
      <c r="A5" t="s">
        <v>35</v>
      </c>
      <c r="B5">
        <v>30</v>
      </c>
    </row>
    <row r="6" spans="1:2" x14ac:dyDescent="0.3">
      <c r="A6" t="s">
        <v>36</v>
      </c>
      <c r="B6">
        <v>31</v>
      </c>
    </row>
    <row r="7" spans="1:2" x14ac:dyDescent="0.3">
      <c r="A7" t="s">
        <v>37</v>
      </c>
      <c r="B7">
        <v>30</v>
      </c>
    </row>
    <row r="8" spans="1:2" x14ac:dyDescent="0.3">
      <c r="A8" t="s">
        <v>38</v>
      </c>
      <c r="B8">
        <v>31</v>
      </c>
    </row>
    <row r="9" spans="1:2" x14ac:dyDescent="0.3">
      <c r="A9" t="s">
        <v>39</v>
      </c>
      <c r="B9">
        <v>31</v>
      </c>
    </row>
    <row r="10" spans="1:2" x14ac:dyDescent="0.3">
      <c r="A10" t="s">
        <v>40</v>
      </c>
      <c r="B10">
        <v>30</v>
      </c>
    </row>
    <row r="11" spans="1:2" x14ac:dyDescent="0.3">
      <c r="A11" t="s">
        <v>41</v>
      </c>
      <c r="B11">
        <v>31</v>
      </c>
    </row>
    <row r="12" spans="1:2" x14ac:dyDescent="0.3">
      <c r="A12" t="s">
        <v>42</v>
      </c>
      <c r="B12">
        <v>30</v>
      </c>
    </row>
    <row r="13" spans="1:2" x14ac:dyDescent="0.3">
      <c r="A13" t="s">
        <v>43</v>
      </c>
      <c r="B13">
        <v>31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EE45-8204-46B2-B0E9-DFEEC030E7DF}">
  <sheetPr codeName="Hoja9">
    <pageSetUpPr fitToPage="1"/>
  </sheetPr>
  <dimension ref="A1:AV51"/>
  <sheetViews>
    <sheetView topLeftCell="A6" zoomScale="80" zoomScaleNormal="80" workbookViewId="0">
      <pane xSplit="4" ySplit="1" topLeftCell="E10" activePane="bottomRight" state="frozen"/>
      <selection activeCell="P27" sqref="P27"/>
      <selection pane="topRight" activeCell="E6" sqref="E6"/>
      <selection pane="bottomLeft" activeCell="A7" sqref="A7"/>
      <selection pane="bottomRight" activeCell="AI40" sqref="AI40"/>
    </sheetView>
  </sheetViews>
  <sheetFormatPr baseColWidth="10" defaultColWidth="10.77734375" defaultRowHeight="14.4" x14ac:dyDescent="0.3"/>
  <cols>
    <col min="1" max="2" width="1.77734375" customWidth="1"/>
    <col min="3" max="3" width="40" customWidth="1"/>
    <col min="4" max="4" width="0.88671875" customWidth="1"/>
    <col min="5" max="5" width="11.6640625" customWidth="1"/>
    <col min="6" max="27" width="4.88671875" customWidth="1"/>
    <col min="28" max="28" width="5.33203125" customWidth="1"/>
    <col min="29" max="37" width="4.88671875" customWidth="1"/>
    <col min="38" max="38" width="0.88671875" customWidth="1"/>
    <col min="39" max="39" width="13.5546875" customWidth="1"/>
    <col min="40" max="40" width="0.88671875" customWidth="1"/>
    <col min="41" max="41" width="13.5546875" customWidth="1"/>
    <col min="42" max="42" width="0.88671875" customWidth="1"/>
    <col min="43" max="43" width="13.33203125" customWidth="1"/>
    <col min="44" max="44" width="0.88671875" customWidth="1"/>
    <col min="45" max="45" width="13.33203125" customWidth="1"/>
    <col min="46" max="46" width="16.21875" hidden="1" customWidth="1"/>
    <col min="47" max="47" width="33" customWidth="1"/>
  </cols>
  <sheetData>
    <row r="1" spans="1:46" ht="30" customHeight="1" x14ac:dyDescent="0.3">
      <c r="A1" s="21"/>
      <c r="B1" s="21"/>
      <c r="C1" s="22" t="s">
        <v>84</v>
      </c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46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</row>
    <row r="3" spans="1:46" ht="4.95" customHeight="1" thickBot="1" x14ac:dyDescent="0.35">
      <c r="A3" s="24"/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  <c r="M3" s="24"/>
      <c r="N3" s="27"/>
      <c r="O3" s="28"/>
      <c r="P3" s="28"/>
      <c r="Q3" s="28"/>
      <c r="R3" s="28"/>
      <c r="S3" s="28"/>
      <c r="T3" s="29"/>
      <c r="U3" s="24"/>
      <c r="V3" s="27"/>
      <c r="W3" s="28"/>
      <c r="X3" s="28"/>
      <c r="Y3" s="28"/>
      <c r="Z3" s="28"/>
      <c r="AA3" s="28"/>
      <c r="AB3" s="29"/>
      <c r="AC3" s="24"/>
      <c r="AD3" s="25"/>
      <c r="AE3" s="25"/>
      <c r="AF3" s="25"/>
      <c r="AG3" s="25"/>
      <c r="AH3" s="25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spans="1:46" ht="15" thickBot="1" x14ac:dyDescent="0.35">
      <c r="A4" s="24"/>
      <c r="B4" s="30"/>
      <c r="C4" s="35" t="s">
        <v>48</v>
      </c>
      <c r="D4" s="25"/>
      <c r="E4" s="188" t="s">
        <v>53</v>
      </c>
      <c r="F4" s="189"/>
      <c r="G4" s="190"/>
      <c r="H4" s="26" t="s">
        <v>51</v>
      </c>
      <c r="I4" s="25"/>
      <c r="J4" s="25"/>
      <c r="K4" s="25"/>
      <c r="L4" s="31"/>
      <c r="M4" s="24"/>
      <c r="N4" s="45" t="s">
        <v>54</v>
      </c>
      <c r="O4" s="42"/>
      <c r="P4" s="42"/>
      <c r="Q4" s="43" t="s">
        <v>57</v>
      </c>
      <c r="R4" s="42"/>
      <c r="S4" s="42"/>
      <c r="T4" s="44"/>
      <c r="U4" s="24"/>
      <c r="V4" s="45" t="s">
        <v>60</v>
      </c>
      <c r="W4" s="25"/>
      <c r="X4" s="25"/>
      <c r="Y4" s="25"/>
      <c r="Z4" s="25"/>
      <c r="AA4" s="25"/>
      <c r="AB4" s="31"/>
      <c r="AC4" s="24"/>
      <c r="AD4" s="182" t="s">
        <v>61</v>
      </c>
      <c r="AE4" s="182"/>
      <c r="AF4" s="25"/>
      <c r="AG4" s="182" t="s">
        <v>62</v>
      </c>
      <c r="AH4" s="182"/>
      <c r="AI4" s="24"/>
      <c r="AJ4" s="24"/>
      <c r="AK4" s="24"/>
      <c r="AL4" s="24"/>
      <c r="AM4" s="48" t="s">
        <v>65</v>
      </c>
      <c r="AN4" s="24"/>
      <c r="AO4" s="49" t="s">
        <v>78</v>
      </c>
      <c r="AP4" s="24"/>
      <c r="AQ4" s="24"/>
      <c r="AR4" s="24"/>
      <c r="AS4" s="24"/>
      <c r="AT4" s="24"/>
    </row>
    <row r="5" spans="1:46" ht="15" thickBot="1" x14ac:dyDescent="0.35">
      <c r="A5" s="24"/>
      <c r="B5" s="30"/>
      <c r="C5" s="25"/>
      <c r="D5" s="25"/>
      <c r="E5" s="25"/>
      <c r="F5" s="25"/>
      <c r="G5" s="25"/>
      <c r="H5" s="25"/>
      <c r="I5" s="25"/>
      <c r="J5" s="25"/>
      <c r="K5" s="25"/>
      <c r="L5" s="31"/>
      <c r="M5" s="24"/>
      <c r="N5" s="45" t="s">
        <v>55</v>
      </c>
      <c r="O5" s="42"/>
      <c r="P5" s="42"/>
      <c r="Q5" s="43" t="s">
        <v>58</v>
      </c>
      <c r="R5" s="42"/>
      <c r="S5" s="42"/>
      <c r="T5" s="44"/>
      <c r="U5" s="24"/>
      <c r="V5" s="180" t="str">
        <f>"Desde: "&amp;TEXT(DATE(E6,MONTH(E4&amp;1),1),"mmm-dd-yy")&amp;" Hasta "&amp;TEXT(EOMONTH(DATE(E6,MONTH(E4&amp;1),1),0),"mmm-dd-yy")</f>
        <v>Desde: Set-01-25 Hasta Set-30-25</v>
      </c>
      <c r="W5" s="181"/>
      <c r="X5" s="181"/>
      <c r="Y5" s="181"/>
      <c r="Z5" s="181"/>
      <c r="AA5" s="181"/>
      <c r="AB5" s="31"/>
      <c r="AC5" s="24"/>
      <c r="AD5" s="183" t="str">
        <f>E4</f>
        <v>Setiembre</v>
      </c>
      <c r="AE5" s="183"/>
      <c r="AF5" s="183"/>
      <c r="AG5" s="183">
        <f>E6</f>
        <v>2025</v>
      </c>
      <c r="AH5" s="183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spans="1:46" ht="15" thickBot="1" x14ac:dyDescent="0.35">
      <c r="A6" s="24"/>
      <c r="B6" s="30"/>
      <c r="C6" s="36" t="s">
        <v>49</v>
      </c>
      <c r="D6" s="25"/>
      <c r="E6" s="188">
        <v>2025</v>
      </c>
      <c r="F6" s="189"/>
      <c r="G6" s="190"/>
      <c r="H6" s="26" t="s">
        <v>50</v>
      </c>
      <c r="I6" s="25"/>
      <c r="J6" s="25"/>
      <c r="K6" s="25"/>
      <c r="L6" s="31"/>
      <c r="M6" s="24"/>
      <c r="N6" s="45" t="s">
        <v>56</v>
      </c>
      <c r="O6" s="42"/>
      <c r="P6" s="42"/>
      <c r="Q6" s="43" t="s">
        <v>59</v>
      </c>
      <c r="R6" s="42"/>
      <c r="S6" s="42"/>
      <c r="T6" s="44"/>
      <c r="U6" s="24"/>
      <c r="V6" s="180"/>
      <c r="W6" s="181"/>
      <c r="X6" s="181"/>
      <c r="Y6" s="181"/>
      <c r="Z6" s="181"/>
      <c r="AA6" s="181"/>
      <c r="AB6" s="31"/>
      <c r="AC6" s="24"/>
      <c r="AD6" s="183"/>
      <c r="AE6" s="183"/>
      <c r="AF6" s="183"/>
      <c r="AG6" s="183"/>
      <c r="AH6" s="183"/>
      <c r="AI6" s="24"/>
      <c r="AJ6" s="24"/>
      <c r="AK6" s="24"/>
      <c r="AL6" s="24"/>
      <c r="AM6" s="48" t="s">
        <v>66</v>
      </c>
      <c r="AN6" s="24"/>
      <c r="AO6" s="49">
        <v>8</v>
      </c>
      <c r="AP6" s="24"/>
      <c r="AQ6" s="24"/>
      <c r="AR6" s="24"/>
      <c r="AS6" s="24"/>
      <c r="AT6" s="24"/>
    </row>
    <row r="7" spans="1:46" ht="4.95" customHeight="1" x14ac:dyDescent="0.3">
      <c r="A7" s="24"/>
      <c r="B7" s="32"/>
      <c r="C7" s="33"/>
      <c r="D7" s="33"/>
      <c r="E7" s="33"/>
      <c r="F7" s="33"/>
      <c r="G7" s="33"/>
      <c r="H7" s="33"/>
      <c r="I7" s="33"/>
      <c r="J7" s="33"/>
      <c r="K7" s="33"/>
      <c r="L7" s="34"/>
      <c r="M7" s="24"/>
      <c r="N7" s="32"/>
      <c r="O7" s="33"/>
      <c r="P7" s="33"/>
      <c r="Q7" s="33"/>
      <c r="R7" s="33"/>
      <c r="S7" s="33"/>
      <c r="T7" s="34"/>
      <c r="U7" s="24"/>
      <c r="V7" s="32"/>
      <c r="W7" s="33"/>
      <c r="X7" s="33"/>
      <c r="Y7" s="33"/>
      <c r="Z7" s="33"/>
      <c r="AA7" s="33"/>
      <c r="AB7" s="34"/>
      <c r="AC7" s="24"/>
      <c r="AD7" s="25"/>
      <c r="AE7" s="25"/>
      <c r="AF7" s="25"/>
      <c r="AG7" s="25"/>
      <c r="AH7" s="25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</row>
    <row r="8" spans="1:46" ht="19.2" customHeight="1" x14ac:dyDescent="0.3">
      <c r="A8" s="24"/>
      <c r="B8" s="24"/>
      <c r="C8" s="24"/>
      <c r="D8" s="24"/>
      <c r="E8" s="24"/>
      <c r="F8" s="24"/>
      <c r="G8" s="184">
        <f>DATE(E6,MONTH(E4&amp;1),1)</f>
        <v>45901</v>
      </c>
      <c r="H8" s="184">
        <f>G8+1</f>
        <v>45902</v>
      </c>
      <c r="I8" s="184">
        <f t="shared" ref="I8:AJ8" si="0">H8+1</f>
        <v>45903</v>
      </c>
      <c r="J8" s="184">
        <f t="shared" si="0"/>
        <v>45904</v>
      </c>
      <c r="K8" s="184">
        <f t="shared" si="0"/>
        <v>45905</v>
      </c>
      <c r="L8" s="184">
        <f t="shared" si="0"/>
        <v>45906</v>
      </c>
      <c r="M8" s="184">
        <f t="shared" si="0"/>
        <v>45907</v>
      </c>
      <c r="N8" s="184">
        <f t="shared" si="0"/>
        <v>45908</v>
      </c>
      <c r="O8" s="184">
        <f t="shared" si="0"/>
        <v>45909</v>
      </c>
      <c r="P8" s="184">
        <f t="shared" si="0"/>
        <v>45910</v>
      </c>
      <c r="Q8" s="184">
        <f t="shared" si="0"/>
        <v>45911</v>
      </c>
      <c r="R8" s="184">
        <f t="shared" si="0"/>
        <v>45912</v>
      </c>
      <c r="S8" s="184">
        <f t="shared" si="0"/>
        <v>45913</v>
      </c>
      <c r="T8" s="184">
        <f t="shared" si="0"/>
        <v>45914</v>
      </c>
      <c r="U8" s="184">
        <f t="shared" si="0"/>
        <v>45915</v>
      </c>
      <c r="V8" s="184">
        <f t="shared" si="0"/>
        <v>45916</v>
      </c>
      <c r="W8" s="184">
        <f t="shared" si="0"/>
        <v>45917</v>
      </c>
      <c r="X8" s="184">
        <f t="shared" si="0"/>
        <v>45918</v>
      </c>
      <c r="Y8" s="184">
        <f t="shared" si="0"/>
        <v>45919</v>
      </c>
      <c r="Z8" s="184">
        <f t="shared" si="0"/>
        <v>45920</v>
      </c>
      <c r="AA8" s="184">
        <f t="shared" si="0"/>
        <v>45921</v>
      </c>
      <c r="AB8" s="184">
        <f t="shared" si="0"/>
        <v>45922</v>
      </c>
      <c r="AC8" s="184">
        <f t="shared" si="0"/>
        <v>45923</v>
      </c>
      <c r="AD8" s="184">
        <f t="shared" si="0"/>
        <v>45924</v>
      </c>
      <c r="AE8" s="184">
        <f t="shared" si="0"/>
        <v>45925</v>
      </c>
      <c r="AF8" s="184">
        <f t="shared" si="0"/>
        <v>45926</v>
      </c>
      <c r="AG8" s="184">
        <f t="shared" si="0"/>
        <v>45927</v>
      </c>
      <c r="AH8" s="184">
        <f t="shared" si="0"/>
        <v>45928</v>
      </c>
      <c r="AI8" s="184">
        <f t="shared" si="0"/>
        <v>45929</v>
      </c>
      <c r="AJ8" s="184">
        <f t="shared" si="0"/>
        <v>45930</v>
      </c>
      <c r="AK8" s="184">
        <f>AJ8+1</f>
        <v>45931</v>
      </c>
      <c r="AL8" s="50"/>
      <c r="AM8" s="24"/>
      <c r="AN8" s="24"/>
      <c r="AO8" s="24"/>
      <c r="AP8" s="24"/>
      <c r="AQ8" s="24"/>
      <c r="AR8" s="24"/>
      <c r="AS8" s="24"/>
      <c r="AT8" s="24"/>
    </row>
    <row r="9" spans="1:46" x14ac:dyDescent="0.3">
      <c r="A9" s="24"/>
      <c r="B9" s="24"/>
      <c r="C9" s="24"/>
      <c r="D9" s="24"/>
      <c r="E9" s="24"/>
      <c r="F9" s="2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50"/>
      <c r="AM9" s="24"/>
      <c r="AN9" s="24"/>
      <c r="AO9" s="24"/>
      <c r="AP9" s="24"/>
      <c r="AQ9" s="24"/>
      <c r="AR9" s="24"/>
      <c r="AS9" s="24"/>
      <c r="AT9" s="24" t="s">
        <v>68</v>
      </c>
    </row>
    <row r="10" spans="1:46" x14ac:dyDescent="0.3">
      <c r="A10" s="24"/>
      <c r="B10" s="24"/>
      <c r="C10" s="24"/>
      <c r="D10" s="24"/>
      <c r="E10" s="24"/>
      <c r="F10" s="2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50"/>
      <c r="AM10" s="24"/>
      <c r="AN10" s="24"/>
      <c r="AO10" s="24"/>
      <c r="AP10" s="24"/>
      <c r="AQ10" s="24"/>
      <c r="AR10" s="24"/>
      <c r="AS10" s="24"/>
      <c r="AT10" s="50">
        <v>45658</v>
      </c>
    </row>
    <row r="11" spans="1:46" x14ac:dyDescent="0.3">
      <c r="A11" s="24"/>
      <c r="B11" s="24"/>
      <c r="C11" s="24"/>
      <c r="D11" s="24"/>
      <c r="E11" s="24"/>
      <c r="F11" s="2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50"/>
      <c r="AM11" s="24"/>
      <c r="AN11" s="24"/>
      <c r="AO11" s="24"/>
      <c r="AP11" s="24"/>
      <c r="AQ11" s="24"/>
      <c r="AR11" s="24"/>
      <c r="AS11" s="24"/>
      <c r="AT11" s="50">
        <v>45866</v>
      </c>
    </row>
    <row r="12" spans="1:46" ht="6" customHeight="1" thickBot="1" x14ac:dyDescent="0.35">
      <c r="A12" s="24"/>
      <c r="B12" s="24"/>
      <c r="C12" s="24"/>
      <c r="D12" s="24"/>
      <c r="E12" s="24"/>
      <c r="F12" s="24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24"/>
      <c r="AM12" s="24"/>
      <c r="AN12" s="24"/>
      <c r="AO12" s="24"/>
      <c r="AP12" s="24"/>
      <c r="AQ12" s="24"/>
      <c r="AR12" s="24"/>
      <c r="AS12" s="24"/>
      <c r="AT12" s="50">
        <v>45867</v>
      </c>
    </row>
    <row r="13" spans="1:46" ht="15" thickBot="1" x14ac:dyDescent="0.35">
      <c r="A13" s="24"/>
      <c r="B13" s="24"/>
      <c r="C13" s="24" t="s">
        <v>47</v>
      </c>
      <c r="D13" s="24"/>
      <c r="E13" s="187" t="s">
        <v>52</v>
      </c>
      <c r="F13" s="187"/>
      <c r="G13" s="37" t="str">
        <f>PROPER(LEFT(TEXT(G8,"dddd"),3))</f>
        <v>Lun</v>
      </c>
      <c r="H13" s="37" t="str">
        <f t="shared" ref="H13:AK13" si="1">PROPER(LEFT(TEXT(H8,"dddd"),3))</f>
        <v>Mar</v>
      </c>
      <c r="I13" s="37" t="str">
        <f t="shared" si="1"/>
        <v>Mié</v>
      </c>
      <c r="J13" s="37" t="str">
        <f t="shared" si="1"/>
        <v>Jue</v>
      </c>
      <c r="K13" s="37" t="str">
        <f t="shared" si="1"/>
        <v>Vie</v>
      </c>
      <c r="L13" s="37" t="str">
        <f t="shared" si="1"/>
        <v>Sáb</v>
      </c>
      <c r="M13" s="37" t="str">
        <f t="shared" si="1"/>
        <v>Dom</v>
      </c>
      <c r="N13" s="37" t="str">
        <f t="shared" si="1"/>
        <v>Lun</v>
      </c>
      <c r="O13" s="37" t="str">
        <f t="shared" si="1"/>
        <v>Mar</v>
      </c>
      <c r="P13" s="37" t="str">
        <f t="shared" si="1"/>
        <v>Mié</v>
      </c>
      <c r="Q13" s="37" t="str">
        <f t="shared" si="1"/>
        <v>Jue</v>
      </c>
      <c r="R13" s="37" t="str">
        <f t="shared" si="1"/>
        <v>Vie</v>
      </c>
      <c r="S13" s="37" t="str">
        <f t="shared" si="1"/>
        <v>Sáb</v>
      </c>
      <c r="T13" s="37" t="str">
        <f t="shared" si="1"/>
        <v>Dom</v>
      </c>
      <c r="U13" s="37" t="str">
        <f t="shared" si="1"/>
        <v>Lun</v>
      </c>
      <c r="V13" s="37" t="str">
        <f t="shared" si="1"/>
        <v>Mar</v>
      </c>
      <c r="W13" s="37" t="str">
        <f t="shared" si="1"/>
        <v>Mié</v>
      </c>
      <c r="X13" s="37" t="str">
        <f t="shared" si="1"/>
        <v>Jue</v>
      </c>
      <c r="Y13" s="37" t="str">
        <f t="shared" si="1"/>
        <v>Vie</v>
      </c>
      <c r="Z13" s="37" t="str">
        <f t="shared" si="1"/>
        <v>Sáb</v>
      </c>
      <c r="AA13" s="37" t="str">
        <f t="shared" si="1"/>
        <v>Dom</v>
      </c>
      <c r="AB13" s="37" t="str">
        <f t="shared" si="1"/>
        <v>Lun</v>
      </c>
      <c r="AC13" s="37" t="str">
        <f t="shared" si="1"/>
        <v>Mar</v>
      </c>
      <c r="AD13" s="37" t="str">
        <f t="shared" si="1"/>
        <v>Mié</v>
      </c>
      <c r="AE13" s="37" t="str">
        <f t="shared" si="1"/>
        <v>Jue</v>
      </c>
      <c r="AF13" s="37" t="str">
        <f t="shared" si="1"/>
        <v>Vie</v>
      </c>
      <c r="AG13" s="37" t="str">
        <f t="shared" si="1"/>
        <v>Sáb</v>
      </c>
      <c r="AH13" s="37" t="str">
        <f t="shared" si="1"/>
        <v>Dom</v>
      </c>
      <c r="AI13" s="37" t="str">
        <f t="shared" si="1"/>
        <v>Lun</v>
      </c>
      <c r="AJ13" s="37" t="str">
        <f t="shared" si="1"/>
        <v>Mar</v>
      </c>
      <c r="AK13" s="37" t="str">
        <f t="shared" si="1"/>
        <v>Mié</v>
      </c>
      <c r="AL13" s="24"/>
      <c r="AM13" s="81" t="s">
        <v>80</v>
      </c>
      <c r="AN13" s="75"/>
      <c r="AO13" s="82" t="s">
        <v>81</v>
      </c>
      <c r="AP13" s="76"/>
      <c r="AQ13" s="83" t="s">
        <v>82</v>
      </c>
      <c r="AR13" s="77"/>
      <c r="AS13" s="84" t="s">
        <v>7</v>
      </c>
      <c r="AT13" s="50">
        <v>45962</v>
      </c>
    </row>
    <row r="14" spans="1:46" ht="6" customHeight="1" thickBot="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50">
        <v>46016</v>
      </c>
    </row>
    <row r="15" spans="1:46" ht="27.6" customHeight="1" x14ac:dyDescent="0.3">
      <c r="A15" s="24"/>
      <c r="B15" s="24"/>
      <c r="C15" s="55" t="s">
        <v>102</v>
      </c>
      <c r="D15" s="24"/>
      <c r="E15" s="193" t="str">
        <f>IFERROR(VLOOKUP(C15,'DATOS GRALES 1'!$B$2:$E$52,4,0),"")</f>
        <v>RESIDENTE</v>
      </c>
      <c r="F15" s="194"/>
      <c r="G15" s="67"/>
      <c r="H15" s="68"/>
      <c r="I15" s="68"/>
      <c r="J15" s="68"/>
      <c r="K15" s="68"/>
      <c r="L15" s="68"/>
      <c r="M15" s="68"/>
      <c r="N15" s="68" t="s">
        <v>67</v>
      </c>
      <c r="O15" s="68" t="s">
        <v>67</v>
      </c>
      <c r="P15" s="68" t="s">
        <v>67</v>
      </c>
      <c r="Q15" s="68" t="s">
        <v>67</v>
      </c>
      <c r="R15" s="68" t="s">
        <v>67</v>
      </c>
      <c r="S15" s="68" t="s">
        <v>67</v>
      </c>
      <c r="T15" s="68"/>
      <c r="U15" s="68" t="s">
        <v>67</v>
      </c>
      <c r="V15" s="68" t="s">
        <v>67</v>
      </c>
      <c r="W15" s="68" t="s">
        <v>67</v>
      </c>
      <c r="X15" s="68" t="s">
        <v>67</v>
      </c>
      <c r="Y15" s="68" t="s">
        <v>67</v>
      </c>
      <c r="Z15" s="68" t="s">
        <v>67</v>
      </c>
      <c r="AA15" s="68"/>
      <c r="AB15" s="68" t="s">
        <v>78</v>
      </c>
      <c r="AC15" s="68" t="s">
        <v>67</v>
      </c>
      <c r="AD15" s="68" t="s">
        <v>117</v>
      </c>
      <c r="AE15" s="68" t="s">
        <v>67</v>
      </c>
      <c r="AF15" s="68" t="s">
        <v>67</v>
      </c>
      <c r="AG15" s="68" t="s">
        <v>67</v>
      </c>
      <c r="AH15" s="68"/>
      <c r="AI15" s="68" t="s">
        <v>67</v>
      </c>
      <c r="AJ15" s="68" t="s">
        <v>67</v>
      </c>
      <c r="AK15" s="69"/>
      <c r="AL15" s="24"/>
      <c r="AM15" s="78">
        <f>IF(COUNTIF(G15:AK15,"SI")=0,"",COUNTIF(G15:AK15,"SI"))</f>
        <v>19</v>
      </c>
      <c r="AN15" s="54"/>
      <c r="AO15" s="78">
        <f>IF(COUNTIF(G15:AK15,"NO")=0,"",COUNTIF(G15:AK15,"NO"))</f>
        <v>1</v>
      </c>
      <c r="AP15" s="24"/>
      <c r="AQ15" s="78" t="str">
        <f>IF(COUNTIF(G15:AK15,"MED")=0,"",COUNTIF(G15:AK15,"MED"))</f>
        <v/>
      </c>
      <c r="AR15" s="54"/>
      <c r="AS15" s="78">
        <f>IF(SUM(AM15:AQ15)=0,"",SUM(AM15:AQ15))</f>
        <v>20</v>
      </c>
      <c r="AT15" s="50">
        <v>46022</v>
      </c>
    </row>
    <row r="16" spans="1:46" ht="27.6" customHeight="1" x14ac:dyDescent="0.3">
      <c r="A16" s="24"/>
      <c r="B16" s="24"/>
      <c r="C16" s="56" t="s">
        <v>95</v>
      </c>
      <c r="D16" s="24"/>
      <c r="E16" s="195" t="str">
        <f>IFERROR(VLOOKUP(C16,'DATOS GRALES 1'!$B$2:$E$52,4,0),"")</f>
        <v>ING. CALIDAD</v>
      </c>
      <c r="F16" s="196"/>
      <c r="G16" s="70"/>
      <c r="H16" s="53"/>
      <c r="I16" s="53"/>
      <c r="J16" s="53"/>
      <c r="K16" s="53"/>
      <c r="L16" s="53"/>
      <c r="M16" s="53"/>
      <c r="N16" s="53"/>
      <c r="O16" s="53" t="s">
        <v>67</v>
      </c>
      <c r="P16" s="53" t="s">
        <v>67</v>
      </c>
      <c r="Q16" s="53" t="s">
        <v>67</v>
      </c>
      <c r="R16" s="53" t="s">
        <v>67</v>
      </c>
      <c r="S16" s="53" t="s">
        <v>67</v>
      </c>
      <c r="T16" s="53"/>
      <c r="U16" s="53" t="s">
        <v>67</v>
      </c>
      <c r="V16" s="53" t="s">
        <v>67</v>
      </c>
      <c r="W16" s="53" t="s">
        <v>67</v>
      </c>
      <c r="X16" s="53" t="s">
        <v>67</v>
      </c>
      <c r="Y16" s="53" t="s">
        <v>67</v>
      </c>
      <c r="Z16" s="53" t="s">
        <v>67</v>
      </c>
      <c r="AA16" s="53"/>
      <c r="AB16" s="53" t="s">
        <v>67</v>
      </c>
      <c r="AC16" s="53" t="s">
        <v>67</v>
      </c>
      <c r="AD16" s="53" t="s">
        <v>117</v>
      </c>
      <c r="AE16" s="53" t="s">
        <v>67</v>
      </c>
      <c r="AF16" s="53" t="s">
        <v>67</v>
      </c>
      <c r="AG16" s="53" t="s">
        <v>67</v>
      </c>
      <c r="AH16" s="53"/>
      <c r="AI16" s="53" t="s">
        <v>67</v>
      </c>
      <c r="AJ16" s="53" t="s">
        <v>67</v>
      </c>
      <c r="AK16" s="71"/>
      <c r="AL16" s="24"/>
      <c r="AM16" s="79">
        <f t="shared" ref="AM16:AM51" si="2">IF(COUNTIF(G16:AK16,"SI")=0,"",COUNTIF(G16:AK16,"SI"))</f>
        <v>19</v>
      </c>
      <c r="AN16" s="54"/>
      <c r="AO16" s="79" t="str">
        <f t="shared" ref="AO16:AO51" si="3">IF(COUNTIF(G16:AK16,"NO")=0,"",COUNTIF(G16:AK16,"NO"))</f>
        <v/>
      </c>
      <c r="AP16" s="24"/>
      <c r="AQ16" s="79" t="str">
        <f t="shared" ref="AQ16:AQ51" si="4">IF(COUNTIF(G16:AK16,"MED")=0,"",COUNTIF(G16:AK16,"MED"))</f>
        <v/>
      </c>
      <c r="AR16" s="54"/>
      <c r="AS16" s="79">
        <f t="shared" ref="AS16:AS51" si="5">IF(SUM(AM16:AQ16)=0,"",SUM(AM16:AQ16))</f>
        <v>19</v>
      </c>
      <c r="AT16" s="24"/>
    </row>
    <row r="17" spans="1:47" ht="27.6" customHeight="1" x14ac:dyDescent="0.3">
      <c r="A17" s="24"/>
      <c r="B17" s="24"/>
      <c r="C17" s="56" t="s">
        <v>98</v>
      </c>
      <c r="D17" s="24"/>
      <c r="E17" s="195" t="str">
        <f>IFERROR(VLOOKUP(C17,'DATOS GRALES 1'!$B$2:$E$52,4,0),"")</f>
        <v>ASIS. ING.</v>
      </c>
      <c r="F17" s="196"/>
      <c r="G17" s="70"/>
      <c r="H17" s="53"/>
      <c r="I17" s="53"/>
      <c r="J17" s="53"/>
      <c r="K17" s="53"/>
      <c r="L17" s="53"/>
      <c r="M17" s="53"/>
      <c r="N17" s="53"/>
      <c r="O17" s="53"/>
      <c r="P17" s="53" t="s">
        <v>67</v>
      </c>
      <c r="Q17" s="53" t="s">
        <v>67</v>
      </c>
      <c r="R17" s="53" t="s">
        <v>67</v>
      </c>
      <c r="S17" s="53" t="s">
        <v>67</v>
      </c>
      <c r="T17" s="53"/>
      <c r="U17" s="53" t="s">
        <v>67</v>
      </c>
      <c r="V17" s="53" t="s">
        <v>67</v>
      </c>
      <c r="W17" s="53" t="s">
        <v>67</v>
      </c>
      <c r="X17" s="53" t="s">
        <v>67</v>
      </c>
      <c r="Y17" s="53" t="s">
        <v>67</v>
      </c>
      <c r="Z17" s="53" t="s">
        <v>67</v>
      </c>
      <c r="AA17" s="53"/>
      <c r="AB17" s="53" t="s">
        <v>67</v>
      </c>
      <c r="AC17" s="53" t="s">
        <v>67</v>
      </c>
      <c r="AD17" s="53" t="s">
        <v>117</v>
      </c>
      <c r="AE17" s="53" t="s">
        <v>67</v>
      </c>
      <c r="AF17" s="53" t="s">
        <v>67</v>
      </c>
      <c r="AG17" s="53" t="s">
        <v>67</v>
      </c>
      <c r="AH17" s="53"/>
      <c r="AI17" s="53" t="s">
        <v>67</v>
      </c>
      <c r="AJ17" s="53" t="s">
        <v>67</v>
      </c>
      <c r="AK17" s="71"/>
      <c r="AL17" s="24"/>
      <c r="AM17" s="79">
        <f t="shared" si="2"/>
        <v>18</v>
      </c>
      <c r="AN17" s="54"/>
      <c r="AO17" s="79" t="str">
        <f t="shared" si="3"/>
        <v/>
      </c>
      <c r="AP17" s="24"/>
      <c r="AQ17" s="79" t="str">
        <f t="shared" si="4"/>
        <v/>
      </c>
      <c r="AR17" s="54"/>
      <c r="AS17" s="79">
        <f t="shared" si="5"/>
        <v>18</v>
      </c>
      <c r="AT17" s="24"/>
    </row>
    <row r="18" spans="1:47" ht="27.6" customHeight="1" x14ac:dyDescent="0.3">
      <c r="A18" s="24"/>
      <c r="B18" s="24"/>
      <c r="C18" s="56" t="s">
        <v>92</v>
      </c>
      <c r="D18" s="24"/>
      <c r="E18" s="195" t="str">
        <f>IFERROR(VLOOKUP(C18,'DATOS GRALES 1'!$B$2:$E$52,4,0),"")</f>
        <v>LOGISTICO</v>
      </c>
      <c r="F18" s="196"/>
      <c r="G18" s="70"/>
      <c r="H18" s="53"/>
      <c r="I18" s="53"/>
      <c r="J18" s="53"/>
      <c r="K18" s="53"/>
      <c r="L18" s="53"/>
      <c r="M18" s="53"/>
      <c r="N18" s="53" t="s">
        <v>67</v>
      </c>
      <c r="O18" s="53" t="s">
        <v>67</v>
      </c>
      <c r="P18" s="53" t="s">
        <v>67</v>
      </c>
      <c r="Q18" s="53" t="s">
        <v>67</v>
      </c>
      <c r="R18" s="53" t="s">
        <v>67</v>
      </c>
      <c r="S18" s="53" t="s">
        <v>67</v>
      </c>
      <c r="T18" s="53"/>
      <c r="U18" s="53" t="s">
        <v>67</v>
      </c>
      <c r="V18" s="53" t="s">
        <v>67</v>
      </c>
      <c r="W18" s="53" t="s">
        <v>67</v>
      </c>
      <c r="X18" s="53" t="s">
        <v>67</v>
      </c>
      <c r="Y18" s="53" t="s">
        <v>67</v>
      </c>
      <c r="Z18" s="53" t="s">
        <v>67</v>
      </c>
      <c r="AA18" s="53"/>
      <c r="AB18" s="53" t="s">
        <v>67</v>
      </c>
      <c r="AC18" s="53" t="s">
        <v>67</v>
      </c>
      <c r="AD18" s="53" t="s">
        <v>67</v>
      </c>
      <c r="AE18" s="53" t="s">
        <v>132</v>
      </c>
      <c r="AF18" s="53" t="s">
        <v>67</v>
      </c>
      <c r="AG18" s="53" t="s">
        <v>67</v>
      </c>
      <c r="AH18" s="53"/>
      <c r="AI18" s="53" t="s">
        <v>67</v>
      </c>
      <c r="AJ18" s="53" t="s">
        <v>67</v>
      </c>
      <c r="AK18" s="71"/>
      <c r="AL18" s="24"/>
      <c r="AM18" s="79">
        <f t="shared" si="2"/>
        <v>19</v>
      </c>
      <c r="AN18" s="54"/>
      <c r="AO18" s="79" t="str">
        <f t="shared" si="3"/>
        <v/>
      </c>
      <c r="AP18" s="24"/>
      <c r="AQ18" s="79">
        <f t="shared" si="4"/>
        <v>1</v>
      </c>
      <c r="AR18" s="54"/>
      <c r="AS18" s="79">
        <f t="shared" si="5"/>
        <v>20</v>
      </c>
      <c r="AT18" s="24"/>
    </row>
    <row r="19" spans="1:47" ht="27.6" customHeight="1" x14ac:dyDescent="0.3">
      <c r="A19" s="24"/>
      <c r="B19" s="24"/>
      <c r="C19" s="56" t="s">
        <v>100</v>
      </c>
      <c r="D19" s="24"/>
      <c r="E19" s="195" t="str">
        <f>IFERROR(VLOOKUP(C19,'DATOS GRALES 1'!$B$2:$E$52,4,0),"")</f>
        <v>MAESTRO OBRA</v>
      </c>
      <c r="F19" s="196"/>
      <c r="G19" s="70"/>
      <c r="H19" s="53"/>
      <c r="I19" s="53"/>
      <c r="J19" s="53"/>
      <c r="K19" s="53"/>
      <c r="L19" s="53"/>
      <c r="M19" s="53"/>
      <c r="N19" s="53" t="s">
        <v>67</v>
      </c>
      <c r="O19" s="53" t="s">
        <v>67</v>
      </c>
      <c r="P19" s="53" t="s">
        <v>67</v>
      </c>
      <c r="Q19" s="53" t="s">
        <v>67</v>
      </c>
      <c r="R19" s="53" t="s">
        <v>67</v>
      </c>
      <c r="S19" s="53" t="s">
        <v>67</v>
      </c>
      <c r="T19" s="53"/>
      <c r="U19" s="53" t="s">
        <v>67</v>
      </c>
      <c r="V19" s="53" t="s">
        <v>67</v>
      </c>
      <c r="W19" s="53" t="s">
        <v>67</v>
      </c>
      <c r="X19" s="53" t="s">
        <v>67</v>
      </c>
      <c r="Y19" s="53" t="s">
        <v>67</v>
      </c>
      <c r="Z19" s="53" t="s">
        <v>67</v>
      </c>
      <c r="AA19" s="53"/>
      <c r="AB19" s="53" t="s">
        <v>67</v>
      </c>
      <c r="AC19" s="53" t="s">
        <v>67</v>
      </c>
      <c r="AD19" s="53" t="s">
        <v>117</v>
      </c>
      <c r="AE19" s="53" t="s">
        <v>67</v>
      </c>
      <c r="AF19" s="53" t="s">
        <v>67</v>
      </c>
      <c r="AG19" s="53" t="s">
        <v>67</v>
      </c>
      <c r="AH19" s="53"/>
      <c r="AI19" s="53" t="s">
        <v>67</v>
      </c>
      <c r="AJ19" s="53" t="s">
        <v>67</v>
      </c>
      <c r="AK19" s="71"/>
      <c r="AL19" s="24"/>
      <c r="AM19" s="79">
        <f t="shared" si="2"/>
        <v>20</v>
      </c>
      <c r="AN19" s="54"/>
      <c r="AO19" s="79" t="str">
        <f t="shared" si="3"/>
        <v/>
      </c>
      <c r="AP19" s="24"/>
      <c r="AQ19" s="79" t="str">
        <f t="shared" si="4"/>
        <v/>
      </c>
      <c r="AR19" s="54"/>
      <c r="AS19" s="79">
        <f t="shared" si="5"/>
        <v>20</v>
      </c>
      <c r="AT19" s="24"/>
    </row>
    <row r="20" spans="1:47" ht="27.6" customHeight="1" x14ac:dyDescent="0.3">
      <c r="A20" s="24"/>
      <c r="B20" s="24"/>
      <c r="C20" s="56" t="s">
        <v>131</v>
      </c>
      <c r="D20" s="24"/>
      <c r="E20" s="195" t="str">
        <f>IFERROR(VLOOKUP(C20,'DATOS GRALES 1'!$B$2:$E$52,4,0),"")</f>
        <v>TOPOGRAFO</v>
      </c>
      <c r="F20" s="196"/>
      <c r="G20" s="70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 t="s">
        <v>67</v>
      </c>
      <c r="AC20" s="53" t="s">
        <v>67</v>
      </c>
      <c r="AD20" s="53" t="s">
        <v>117</v>
      </c>
      <c r="AE20" s="53" t="s">
        <v>67</v>
      </c>
      <c r="AF20" s="53" t="s">
        <v>67</v>
      </c>
      <c r="AG20" s="53" t="s">
        <v>67</v>
      </c>
      <c r="AH20" s="53"/>
      <c r="AI20" s="53" t="s">
        <v>67</v>
      </c>
      <c r="AJ20" s="53" t="s">
        <v>67</v>
      </c>
      <c r="AK20" s="71"/>
      <c r="AL20" s="24"/>
      <c r="AM20" s="79">
        <f t="shared" si="2"/>
        <v>8</v>
      </c>
      <c r="AN20" s="54"/>
      <c r="AO20" s="79" t="str">
        <f t="shared" si="3"/>
        <v/>
      </c>
      <c r="AP20" s="24"/>
      <c r="AQ20" s="79" t="str">
        <f t="shared" si="4"/>
        <v/>
      </c>
      <c r="AR20" s="54"/>
      <c r="AS20" s="79">
        <f t="shared" si="5"/>
        <v>8</v>
      </c>
      <c r="AT20" s="24"/>
    </row>
    <row r="21" spans="1:47" ht="28.2" customHeight="1" x14ac:dyDescent="0.3">
      <c r="A21" s="24"/>
      <c r="B21" s="24"/>
      <c r="C21" s="56" t="s">
        <v>139</v>
      </c>
      <c r="D21" s="24"/>
      <c r="E21" s="195" t="str">
        <f>IFERROR(VLOOKUP(C21,'DATOS GRALES 1'!$B$2:$E$52,4,0),"")</f>
        <v>ESP. SEGURIDAD</v>
      </c>
      <c r="F21" s="196"/>
      <c r="G21" s="70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 t="s">
        <v>67</v>
      </c>
      <c r="AJ21" s="53" t="s">
        <v>67</v>
      </c>
      <c r="AK21" s="71"/>
      <c r="AL21" s="24"/>
      <c r="AM21" s="79">
        <f t="shared" si="2"/>
        <v>2</v>
      </c>
      <c r="AN21" s="54"/>
      <c r="AO21" s="79" t="str">
        <f t="shared" si="3"/>
        <v/>
      </c>
      <c r="AP21" s="24"/>
      <c r="AQ21" s="79" t="str">
        <f t="shared" si="4"/>
        <v/>
      </c>
      <c r="AR21" s="54"/>
      <c r="AS21" s="79">
        <f t="shared" si="5"/>
        <v>2</v>
      </c>
      <c r="AT21" s="24"/>
    </row>
    <row r="22" spans="1:47" ht="10.95" customHeight="1" x14ac:dyDescent="0.3">
      <c r="A22" s="24"/>
      <c r="B22" s="24"/>
      <c r="C22" s="56"/>
      <c r="D22" s="24"/>
      <c r="E22" s="195" t="str">
        <f>IFERROR(VLOOKUP(C22,'DATOS GRALES 1'!$B$2:$E$52,4,0),"")</f>
        <v/>
      </c>
      <c r="F22" s="196"/>
      <c r="G22" s="70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71"/>
      <c r="AL22" s="24"/>
      <c r="AM22" s="79" t="str">
        <f t="shared" si="2"/>
        <v/>
      </c>
      <c r="AN22" s="54"/>
      <c r="AO22" s="79" t="str">
        <f t="shared" si="3"/>
        <v/>
      </c>
      <c r="AP22" s="24"/>
      <c r="AQ22" s="79" t="str">
        <f t="shared" si="4"/>
        <v/>
      </c>
      <c r="AR22" s="54"/>
      <c r="AS22" s="79" t="str">
        <f t="shared" si="5"/>
        <v/>
      </c>
      <c r="AT22" s="24"/>
    </row>
    <row r="23" spans="1:47" ht="27.6" customHeight="1" x14ac:dyDescent="0.3">
      <c r="A23" s="24"/>
      <c r="B23" s="24"/>
      <c r="C23" s="86" t="s">
        <v>83</v>
      </c>
      <c r="D23" s="24"/>
      <c r="E23" s="197"/>
      <c r="F23" s="198"/>
      <c r="G23" s="91" t="s">
        <v>83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3"/>
      <c r="AL23" s="24"/>
      <c r="AM23" s="79"/>
      <c r="AN23" s="54"/>
      <c r="AO23" s="79"/>
      <c r="AP23" s="51"/>
      <c r="AQ23" s="79"/>
      <c r="AR23" s="54"/>
      <c r="AS23" s="79"/>
      <c r="AT23" s="24"/>
    </row>
    <row r="24" spans="1:47" ht="27.6" customHeight="1" x14ac:dyDescent="0.3">
      <c r="A24" s="24"/>
      <c r="B24" s="24"/>
      <c r="C24" s="111" t="s">
        <v>18</v>
      </c>
      <c r="D24" s="24"/>
      <c r="E24" s="191" t="str">
        <f>IFERROR(VLOOKUP(C24,'DATOS GRALES 1'!B2:E52,4,0),"")</f>
        <v>PEON</v>
      </c>
      <c r="F24" s="192"/>
      <c r="G24" s="70"/>
      <c r="H24" s="53"/>
      <c r="I24" s="53"/>
      <c r="J24" s="53"/>
      <c r="K24" s="53"/>
      <c r="L24" s="53"/>
      <c r="M24" s="53"/>
      <c r="N24" s="53"/>
      <c r="O24" s="53" t="s">
        <v>67</v>
      </c>
      <c r="P24" s="53" t="s">
        <v>67</v>
      </c>
      <c r="Q24" s="53" t="s">
        <v>67</v>
      </c>
      <c r="R24" s="53" t="s">
        <v>67</v>
      </c>
      <c r="S24" s="53" t="s">
        <v>67</v>
      </c>
      <c r="T24" s="53"/>
      <c r="U24" s="53" t="s">
        <v>67</v>
      </c>
      <c r="V24" s="53" t="s">
        <v>67</v>
      </c>
      <c r="W24" s="53" t="s">
        <v>67</v>
      </c>
      <c r="X24" s="53" t="s">
        <v>67</v>
      </c>
      <c r="Y24" s="53" t="s">
        <v>67</v>
      </c>
      <c r="Z24" s="53" t="s">
        <v>67</v>
      </c>
      <c r="AA24" s="53"/>
      <c r="AB24" s="53" t="s">
        <v>67</v>
      </c>
      <c r="AC24" s="53" t="s">
        <v>67</v>
      </c>
      <c r="AD24" s="53" t="s">
        <v>67</v>
      </c>
      <c r="AE24" s="53" t="s">
        <v>67</v>
      </c>
      <c r="AF24" s="53" t="s">
        <v>67</v>
      </c>
      <c r="AG24" s="53" t="s">
        <v>67</v>
      </c>
      <c r="AH24" s="53"/>
      <c r="AI24" s="53" t="s">
        <v>67</v>
      </c>
      <c r="AJ24" s="53" t="s">
        <v>67</v>
      </c>
      <c r="AK24" s="71"/>
      <c r="AL24" s="24"/>
      <c r="AM24" s="79">
        <f t="shared" si="2"/>
        <v>19</v>
      </c>
      <c r="AN24" s="54"/>
      <c r="AO24" s="79" t="str">
        <f t="shared" si="3"/>
        <v/>
      </c>
      <c r="AP24" s="24"/>
      <c r="AQ24" s="79" t="str">
        <f t="shared" si="4"/>
        <v/>
      </c>
      <c r="AR24" s="54"/>
      <c r="AS24" s="79">
        <f t="shared" si="5"/>
        <v>19</v>
      </c>
      <c r="AT24" s="24"/>
    </row>
    <row r="25" spans="1:47" ht="27.6" customHeight="1" x14ac:dyDescent="0.3">
      <c r="A25" s="24"/>
      <c r="B25" s="24"/>
      <c r="C25" s="111" t="s">
        <v>16</v>
      </c>
      <c r="D25" s="24"/>
      <c r="E25" s="199" t="str">
        <f>IFERROR(VLOOKUP(C25,'DATOS GRALES 1'!B3:E44,4,0),"")</f>
        <v>PEON</v>
      </c>
      <c r="F25" s="192"/>
      <c r="G25" s="70"/>
      <c r="H25" s="53"/>
      <c r="I25" s="53"/>
      <c r="J25" s="53"/>
      <c r="K25" s="53"/>
      <c r="L25" s="53"/>
      <c r="M25" s="53"/>
      <c r="N25" s="53"/>
      <c r="O25" s="53" t="s">
        <v>67</v>
      </c>
      <c r="P25" s="53" t="s">
        <v>67</v>
      </c>
      <c r="Q25" s="53" t="s">
        <v>67</v>
      </c>
      <c r="R25" s="53" t="s">
        <v>67</v>
      </c>
      <c r="S25" s="53" t="s">
        <v>67</v>
      </c>
      <c r="T25" s="53"/>
      <c r="U25" s="53" t="s">
        <v>67</v>
      </c>
      <c r="V25" s="53" t="s">
        <v>67</v>
      </c>
      <c r="W25" s="53" t="s">
        <v>67</v>
      </c>
      <c r="X25" s="53" t="s">
        <v>67</v>
      </c>
      <c r="Y25" s="53" t="s">
        <v>78</v>
      </c>
      <c r="Z25" s="53" t="s">
        <v>78</v>
      </c>
      <c r="AA25" s="53"/>
      <c r="AB25" s="53" t="s">
        <v>67</v>
      </c>
      <c r="AC25" s="53" t="s">
        <v>67</v>
      </c>
      <c r="AD25" s="53" t="s">
        <v>67</v>
      </c>
      <c r="AE25" s="53" t="s">
        <v>67</v>
      </c>
      <c r="AF25" s="53" t="s">
        <v>67</v>
      </c>
      <c r="AG25" s="53" t="s">
        <v>67</v>
      </c>
      <c r="AH25" s="53"/>
      <c r="AI25" s="53" t="s">
        <v>67</v>
      </c>
      <c r="AJ25" s="53" t="s">
        <v>67</v>
      </c>
      <c r="AK25" s="71"/>
      <c r="AL25" s="24"/>
      <c r="AM25" s="79">
        <f t="shared" si="2"/>
        <v>17</v>
      </c>
      <c r="AN25" s="54"/>
      <c r="AO25" s="79">
        <f t="shared" si="3"/>
        <v>2</v>
      </c>
      <c r="AP25" s="24"/>
      <c r="AQ25" s="79" t="str">
        <f t="shared" si="4"/>
        <v/>
      </c>
      <c r="AR25" s="54"/>
      <c r="AS25" s="79">
        <f t="shared" si="5"/>
        <v>19</v>
      </c>
      <c r="AT25" s="24"/>
      <c r="AU25" t="s">
        <v>135</v>
      </c>
    </row>
    <row r="26" spans="1:47" ht="27.6" customHeight="1" x14ac:dyDescent="0.3">
      <c r="A26" s="24"/>
      <c r="B26" s="24"/>
      <c r="C26" s="111" t="s">
        <v>17</v>
      </c>
      <c r="D26" s="24"/>
      <c r="E26" s="199" t="str">
        <f>IFERROR(VLOOKUP(C26,'DATOS GRALES 1'!B4:E45,4,0),"")</f>
        <v>PEON</v>
      </c>
      <c r="F26" s="192"/>
      <c r="G26" s="70"/>
      <c r="H26" s="53"/>
      <c r="I26" s="53"/>
      <c r="J26" s="53"/>
      <c r="K26" s="53"/>
      <c r="L26" s="53"/>
      <c r="M26" s="53"/>
      <c r="N26" s="53"/>
      <c r="O26" s="53" t="s">
        <v>67</v>
      </c>
      <c r="P26" s="53" t="s">
        <v>67</v>
      </c>
      <c r="Q26" s="53" t="s">
        <v>67</v>
      </c>
      <c r="R26" s="53" t="s">
        <v>67</v>
      </c>
      <c r="S26" s="53" t="s">
        <v>67</v>
      </c>
      <c r="T26" s="53"/>
      <c r="U26" s="53" t="s">
        <v>67</v>
      </c>
      <c r="V26" s="53" t="s">
        <v>67</v>
      </c>
      <c r="W26" s="53" t="s">
        <v>67</v>
      </c>
      <c r="X26" s="53" t="s">
        <v>67</v>
      </c>
      <c r="Y26" s="53" t="s">
        <v>67</v>
      </c>
      <c r="Z26" s="53" t="s">
        <v>67</v>
      </c>
      <c r="AA26" s="53"/>
      <c r="AB26" s="53" t="s">
        <v>67</v>
      </c>
      <c r="AC26" s="53" t="s">
        <v>67</v>
      </c>
      <c r="AD26" s="53" t="s">
        <v>67</v>
      </c>
      <c r="AE26" s="53" t="s">
        <v>67</v>
      </c>
      <c r="AF26" s="53" t="s">
        <v>67</v>
      </c>
      <c r="AG26" s="53" t="s">
        <v>67</v>
      </c>
      <c r="AH26" s="53"/>
      <c r="AI26" s="53" t="s">
        <v>67</v>
      </c>
      <c r="AJ26" s="53" t="s">
        <v>67</v>
      </c>
      <c r="AK26" s="71"/>
      <c r="AL26" s="24"/>
      <c r="AM26" s="79">
        <f t="shared" si="2"/>
        <v>19</v>
      </c>
      <c r="AN26" s="54"/>
      <c r="AO26" s="79" t="str">
        <f t="shared" si="3"/>
        <v/>
      </c>
      <c r="AP26" s="24"/>
      <c r="AQ26" s="79" t="str">
        <f t="shared" si="4"/>
        <v/>
      </c>
      <c r="AR26" s="54"/>
      <c r="AS26" s="79">
        <f t="shared" si="5"/>
        <v>19</v>
      </c>
      <c r="AT26" s="24"/>
    </row>
    <row r="27" spans="1:47" ht="27.6" customHeight="1" x14ac:dyDescent="0.3">
      <c r="A27" s="24"/>
      <c r="B27" s="24"/>
      <c r="C27" s="111" t="s">
        <v>22</v>
      </c>
      <c r="D27" s="24"/>
      <c r="E27" s="199" t="str">
        <f>IFERROR(VLOOKUP(C27,'DATOS GRALES 1'!B5:E53,4,0),"")</f>
        <v>PEON</v>
      </c>
      <c r="F27" s="192"/>
      <c r="G27" s="70"/>
      <c r="H27" s="53"/>
      <c r="I27" s="53"/>
      <c r="J27" s="53"/>
      <c r="K27" s="53"/>
      <c r="L27" s="53"/>
      <c r="M27" s="53"/>
      <c r="N27" s="53"/>
      <c r="O27" s="53" t="s">
        <v>67</v>
      </c>
      <c r="P27" s="53" t="s">
        <v>138</v>
      </c>
      <c r="Q27" s="53" t="s">
        <v>67</v>
      </c>
      <c r="R27" s="53" t="s">
        <v>67</v>
      </c>
      <c r="S27" s="53" t="s">
        <v>67</v>
      </c>
      <c r="T27" s="53"/>
      <c r="U27" s="53" t="s">
        <v>67</v>
      </c>
      <c r="V27" s="53" t="s">
        <v>67</v>
      </c>
      <c r="W27" s="53" t="s">
        <v>67</v>
      </c>
      <c r="X27" s="53" t="s">
        <v>67</v>
      </c>
      <c r="Y27" s="53" t="s">
        <v>67</v>
      </c>
      <c r="Z27" s="53" t="s">
        <v>67</v>
      </c>
      <c r="AA27" s="53"/>
      <c r="AB27" s="53" t="s">
        <v>67</v>
      </c>
      <c r="AC27" s="53" t="s">
        <v>67</v>
      </c>
      <c r="AD27" s="53" t="s">
        <v>67</v>
      </c>
      <c r="AE27" s="53" t="s">
        <v>67</v>
      </c>
      <c r="AF27" s="53" t="s">
        <v>67</v>
      </c>
      <c r="AG27" s="53" t="s">
        <v>67</v>
      </c>
      <c r="AH27" s="53"/>
      <c r="AI27" s="53" t="s">
        <v>67</v>
      </c>
      <c r="AJ27" s="53" t="s">
        <v>67</v>
      </c>
      <c r="AK27" s="71"/>
      <c r="AL27" s="24"/>
      <c r="AM27" s="79">
        <f t="shared" si="2"/>
        <v>18</v>
      </c>
      <c r="AN27" s="54"/>
      <c r="AO27" s="79" t="str">
        <f t="shared" si="3"/>
        <v/>
      </c>
      <c r="AP27" s="24"/>
      <c r="AQ27" s="79" t="str">
        <f t="shared" si="4"/>
        <v/>
      </c>
      <c r="AR27" s="54"/>
      <c r="AS27" s="79">
        <f t="shared" si="5"/>
        <v>18</v>
      </c>
      <c r="AT27" s="24"/>
    </row>
    <row r="28" spans="1:47" ht="27.6" customHeight="1" x14ac:dyDescent="0.3">
      <c r="A28" s="24"/>
      <c r="B28" s="24"/>
      <c r="C28" s="111" t="s">
        <v>21</v>
      </c>
      <c r="D28" s="24"/>
      <c r="E28" s="199" t="str">
        <f>IFERROR(VLOOKUP(C28,'DATOS GRALES 1'!B6:E54,4,0),"")</f>
        <v>OPERARIO</v>
      </c>
      <c r="F28" s="192"/>
      <c r="G28" s="70"/>
      <c r="H28" s="53"/>
      <c r="I28" s="53"/>
      <c r="J28" s="53"/>
      <c r="K28" s="53"/>
      <c r="L28" s="53"/>
      <c r="M28" s="53"/>
      <c r="N28" s="53"/>
      <c r="O28" s="53" t="s">
        <v>67</v>
      </c>
      <c r="P28" s="53" t="s">
        <v>67</v>
      </c>
      <c r="Q28" s="53" t="s">
        <v>67</v>
      </c>
      <c r="R28" s="53" t="s">
        <v>67</v>
      </c>
      <c r="S28" s="53" t="s">
        <v>67</v>
      </c>
      <c r="T28" s="53"/>
      <c r="U28" s="53" t="s">
        <v>67</v>
      </c>
      <c r="V28" s="53" t="s">
        <v>67</v>
      </c>
      <c r="W28" s="53" t="s">
        <v>67</v>
      </c>
      <c r="X28" s="53" t="s">
        <v>67</v>
      </c>
      <c r="Y28" s="53" t="s">
        <v>67</v>
      </c>
      <c r="Z28" s="53" t="s">
        <v>67</v>
      </c>
      <c r="AA28" s="53"/>
      <c r="AB28" s="53" t="s">
        <v>67</v>
      </c>
      <c r="AC28" s="53" t="s">
        <v>67</v>
      </c>
      <c r="AD28" s="53" t="s">
        <v>67</v>
      </c>
      <c r="AE28" s="53" t="s">
        <v>67</v>
      </c>
      <c r="AF28" s="53" t="s">
        <v>67</v>
      </c>
      <c r="AG28" s="53" t="s">
        <v>67</v>
      </c>
      <c r="AH28" s="53"/>
      <c r="AI28" s="53" t="s">
        <v>78</v>
      </c>
      <c r="AJ28" s="53" t="s">
        <v>67</v>
      </c>
      <c r="AK28" s="71"/>
      <c r="AL28" s="24"/>
      <c r="AM28" s="79">
        <f t="shared" si="2"/>
        <v>18</v>
      </c>
      <c r="AN28" s="54"/>
      <c r="AO28" s="79">
        <f t="shared" si="3"/>
        <v>1</v>
      </c>
      <c r="AP28" s="24"/>
      <c r="AQ28" s="79" t="str">
        <f t="shared" si="4"/>
        <v/>
      </c>
      <c r="AR28" s="54"/>
      <c r="AS28" s="79">
        <f t="shared" si="5"/>
        <v>19</v>
      </c>
      <c r="AT28" s="24"/>
    </row>
    <row r="29" spans="1:47" ht="27.6" customHeight="1" x14ac:dyDescent="0.3">
      <c r="A29" s="24"/>
      <c r="B29" s="24"/>
      <c r="C29" s="111" t="s">
        <v>25</v>
      </c>
      <c r="D29" s="24"/>
      <c r="E29" s="199" t="str">
        <f>IFERROR(VLOOKUP(C29,'DATOS GRALES 1'!B7:E55,4,0),"")</f>
        <v>PEON</v>
      </c>
      <c r="F29" s="192"/>
      <c r="G29" s="70"/>
      <c r="H29" s="53"/>
      <c r="I29" s="53"/>
      <c r="J29" s="53"/>
      <c r="K29" s="53"/>
      <c r="L29" s="53"/>
      <c r="M29" s="53"/>
      <c r="N29" s="53"/>
      <c r="O29" s="53" t="s">
        <v>67</v>
      </c>
      <c r="P29" s="53" t="s">
        <v>67</v>
      </c>
      <c r="Q29" s="53" t="s">
        <v>67</v>
      </c>
      <c r="R29" s="53" t="s">
        <v>67</v>
      </c>
      <c r="S29" s="53" t="s">
        <v>67</v>
      </c>
      <c r="T29" s="53"/>
      <c r="U29" s="53" t="s">
        <v>78</v>
      </c>
      <c r="V29" s="53" t="s">
        <v>67</v>
      </c>
      <c r="W29" s="53" t="s">
        <v>67</v>
      </c>
      <c r="X29" s="53" t="s">
        <v>67</v>
      </c>
      <c r="Y29" s="53" t="s">
        <v>67</v>
      </c>
      <c r="Z29" s="53" t="s">
        <v>67</v>
      </c>
      <c r="AA29" s="53"/>
      <c r="AB29" s="53" t="s">
        <v>67</v>
      </c>
      <c r="AC29" s="53" t="s">
        <v>67</v>
      </c>
      <c r="AD29" s="53" t="s">
        <v>67</v>
      </c>
      <c r="AE29" s="53" t="s">
        <v>67</v>
      </c>
      <c r="AF29" s="53" t="s">
        <v>67</v>
      </c>
      <c r="AG29" s="53" t="s">
        <v>67</v>
      </c>
      <c r="AH29" s="53"/>
      <c r="AI29" s="53" t="s">
        <v>67</v>
      </c>
      <c r="AJ29" s="53" t="s">
        <v>67</v>
      </c>
      <c r="AK29" s="71"/>
      <c r="AL29" s="24"/>
      <c r="AM29" s="79">
        <f t="shared" si="2"/>
        <v>18</v>
      </c>
      <c r="AN29" s="54"/>
      <c r="AO29" s="79">
        <f t="shared" si="3"/>
        <v>1</v>
      </c>
      <c r="AP29" s="24"/>
      <c r="AQ29" s="79" t="str">
        <f t="shared" si="4"/>
        <v/>
      </c>
      <c r="AR29" s="54"/>
      <c r="AS29" s="79">
        <f t="shared" si="5"/>
        <v>19</v>
      </c>
      <c r="AT29" s="24"/>
    </row>
    <row r="30" spans="1:47" ht="27.6" customHeight="1" x14ac:dyDescent="0.3">
      <c r="A30" s="24"/>
      <c r="B30" s="24"/>
      <c r="C30" s="111" t="s">
        <v>19</v>
      </c>
      <c r="D30" s="24"/>
      <c r="E30" s="199" t="str">
        <f>IFERROR(VLOOKUP(C30,'DATOS GRALES 1'!B8:E56,4,0),"")</f>
        <v>OPERARIO/VOLQUETERO</v>
      </c>
      <c r="F30" s="192"/>
      <c r="G30" s="70"/>
      <c r="H30" s="53"/>
      <c r="I30" s="53"/>
      <c r="J30" s="53"/>
      <c r="K30" s="53"/>
      <c r="L30" s="53"/>
      <c r="M30" s="53"/>
      <c r="N30" s="53"/>
      <c r="O30" s="53" t="s">
        <v>67</v>
      </c>
      <c r="P30" s="53" t="s">
        <v>67</v>
      </c>
      <c r="Q30" s="53" t="s">
        <v>67</v>
      </c>
      <c r="R30" s="53" t="s">
        <v>67</v>
      </c>
      <c r="S30" s="53" t="s">
        <v>67</v>
      </c>
      <c r="T30" s="53"/>
      <c r="U30" s="53" t="s">
        <v>67</v>
      </c>
      <c r="V30" s="53" t="s">
        <v>67</v>
      </c>
      <c r="W30" s="53" t="s">
        <v>67</v>
      </c>
      <c r="X30" s="53" t="s">
        <v>67</v>
      </c>
      <c r="Y30" s="53" t="s">
        <v>67</v>
      </c>
      <c r="Z30" s="53" t="s">
        <v>67</v>
      </c>
      <c r="AA30" s="53"/>
      <c r="AB30" s="53" t="s">
        <v>67</v>
      </c>
      <c r="AC30" s="53" t="s">
        <v>67</v>
      </c>
      <c r="AD30" s="53" t="s">
        <v>67</v>
      </c>
      <c r="AE30" s="53" t="s">
        <v>67</v>
      </c>
      <c r="AF30" s="53" t="s">
        <v>67</v>
      </c>
      <c r="AG30" s="53" t="s">
        <v>67</v>
      </c>
      <c r="AH30" s="53"/>
      <c r="AI30" s="53" t="s">
        <v>67</v>
      </c>
      <c r="AJ30" s="53" t="s">
        <v>67</v>
      </c>
      <c r="AK30" s="71"/>
      <c r="AL30" s="24"/>
      <c r="AM30" s="79">
        <f t="shared" si="2"/>
        <v>19</v>
      </c>
      <c r="AN30" s="54"/>
      <c r="AO30" s="79" t="str">
        <f t="shared" si="3"/>
        <v/>
      </c>
      <c r="AP30" s="24"/>
      <c r="AQ30" s="79" t="str">
        <f t="shared" si="4"/>
        <v/>
      </c>
      <c r="AR30" s="54"/>
      <c r="AS30" s="79">
        <f t="shared" si="5"/>
        <v>19</v>
      </c>
      <c r="AT30" s="24"/>
      <c r="AU30" t="s">
        <v>136</v>
      </c>
    </row>
    <row r="31" spans="1:47" ht="27.6" customHeight="1" x14ac:dyDescent="0.3">
      <c r="A31" s="24"/>
      <c r="B31" s="24"/>
      <c r="C31" s="111" t="s">
        <v>26</v>
      </c>
      <c r="D31" s="24"/>
      <c r="E31" s="199" t="str">
        <f>IFERROR(VLOOKUP(C31,'DATOS GRALES 1'!B9:E57,4,0),"")</f>
        <v>PEON/CHOFER</v>
      </c>
      <c r="F31" s="192"/>
      <c r="G31" s="70"/>
      <c r="H31" s="53"/>
      <c r="I31" s="53"/>
      <c r="J31" s="53"/>
      <c r="K31" s="53"/>
      <c r="L31" s="53"/>
      <c r="M31" s="53"/>
      <c r="N31" s="53"/>
      <c r="O31" s="53" t="s">
        <v>67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71"/>
      <c r="AL31" s="24"/>
      <c r="AM31" s="79">
        <f t="shared" si="2"/>
        <v>1</v>
      </c>
      <c r="AN31" s="54"/>
      <c r="AO31" s="79" t="str">
        <f t="shared" si="3"/>
        <v/>
      </c>
      <c r="AP31" s="24"/>
      <c r="AQ31" s="79" t="str">
        <f t="shared" si="4"/>
        <v/>
      </c>
      <c r="AR31" s="54"/>
      <c r="AS31" s="79">
        <f t="shared" si="5"/>
        <v>1</v>
      </c>
      <c r="AT31" s="24"/>
    </row>
    <row r="32" spans="1:47" ht="27.6" customHeight="1" x14ac:dyDescent="0.3">
      <c r="A32" s="24"/>
      <c r="B32" s="24"/>
      <c r="C32" s="111" t="s">
        <v>104</v>
      </c>
      <c r="D32" s="24"/>
      <c r="E32" s="199" t="str">
        <f>IFERROR(VLOOKUP(C32,'DATOS GRALES 1'!B10:E58,4,0),"")</f>
        <v>OPERARIO</v>
      </c>
      <c r="F32" s="192"/>
      <c r="G32" s="70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 t="s">
        <v>67</v>
      </c>
      <c r="V32" s="53" t="s">
        <v>67</v>
      </c>
      <c r="W32" s="53" t="s">
        <v>67</v>
      </c>
      <c r="X32" s="53" t="s">
        <v>67</v>
      </c>
      <c r="Y32" s="53" t="s">
        <v>67</v>
      </c>
      <c r="Z32" s="53" t="s">
        <v>67</v>
      </c>
      <c r="AA32" s="53"/>
      <c r="AB32" s="53" t="s">
        <v>67</v>
      </c>
      <c r="AC32" s="53" t="s">
        <v>67</v>
      </c>
      <c r="AD32" s="53" t="s">
        <v>67</v>
      </c>
      <c r="AE32" s="53" t="s">
        <v>67</v>
      </c>
      <c r="AF32" s="53" t="s">
        <v>67</v>
      </c>
      <c r="AG32" s="53" t="s">
        <v>67</v>
      </c>
      <c r="AH32" s="53"/>
      <c r="AI32" s="53" t="s">
        <v>67</v>
      </c>
      <c r="AJ32" s="53" t="s">
        <v>67</v>
      </c>
      <c r="AK32" s="71"/>
      <c r="AL32" s="24"/>
      <c r="AM32" s="79">
        <f t="shared" si="2"/>
        <v>14</v>
      </c>
      <c r="AN32" s="54"/>
      <c r="AO32" s="79" t="str">
        <f t="shared" si="3"/>
        <v/>
      </c>
      <c r="AP32" s="24"/>
      <c r="AQ32" s="79" t="str">
        <f t="shared" si="4"/>
        <v/>
      </c>
      <c r="AR32" s="54"/>
      <c r="AS32" s="79">
        <f t="shared" si="5"/>
        <v>14</v>
      </c>
      <c r="AT32" s="24"/>
    </row>
    <row r="33" spans="1:48" ht="27.6" customHeight="1" x14ac:dyDescent="0.3">
      <c r="A33" s="24"/>
      <c r="B33" s="24"/>
      <c r="C33" s="111" t="s">
        <v>106</v>
      </c>
      <c r="D33" s="24"/>
      <c r="E33" s="199" t="str">
        <f>IFERROR(VLOOKUP(C33,'DATOS GRALES 1'!B11:E59,4,0),"")</f>
        <v>PEON</v>
      </c>
      <c r="F33" s="192"/>
      <c r="G33" s="70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 t="s">
        <v>67</v>
      </c>
      <c r="V33" s="53" t="s">
        <v>67</v>
      </c>
      <c r="W33" s="53" t="s">
        <v>67</v>
      </c>
      <c r="X33" s="53" t="s">
        <v>67</v>
      </c>
      <c r="Y33" s="53" t="s">
        <v>67</v>
      </c>
      <c r="Z33" s="53" t="s">
        <v>67</v>
      </c>
      <c r="AA33" s="53"/>
      <c r="AB33" s="53" t="s">
        <v>67</v>
      </c>
      <c r="AC33" s="53" t="s">
        <v>67</v>
      </c>
      <c r="AD33" s="53" t="s">
        <v>67</v>
      </c>
      <c r="AE33" s="53" t="s">
        <v>67</v>
      </c>
      <c r="AF33" s="53" t="s">
        <v>67</v>
      </c>
      <c r="AG33" s="53" t="s">
        <v>67</v>
      </c>
      <c r="AH33" s="53"/>
      <c r="AI33" s="53" t="s">
        <v>67</v>
      </c>
      <c r="AJ33" s="53" t="s">
        <v>67</v>
      </c>
      <c r="AK33" s="71"/>
      <c r="AL33" s="24"/>
      <c r="AM33" s="79">
        <f t="shared" si="2"/>
        <v>14</v>
      </c>
      <c r="AN33" s="54"/>
      <c r="AO33" s="79" t="str">
        <f t="shared" si="3"/>
        <v/>
      </c>
      <c r="AP33" s="24"/>
      <c r="AQ33" s="79" t="str">
        <f t="shared" si="4"/>
        <v/>
      </c>
      <c r="AR33" s="54"/>
      <c r="AS33" s="79">
        <f t="shared" si="5"/>
        <v>14</v>
      </c>
      <c r="AT33" s="24"/>
    </row>
    <row r="34" spans="1:48" ht="27.6" customHeight="1" x14ac:dyDescent="0.3">
      <c r="A34" s="24"/>
      <c r="B34" s="24"/>
      <c r="C34" s="111" t="s">
        <v>107</v>
      </c>
      <c r="D34" s="24"/>
      <c r="E34" s="199" t="str">
        <f>IFERROR(VLOOKUP(C34,'DATOS GRALES 1'!B12:E60,4,0),"")</f>
        <v>OPERARIO</v>
      </c>
      <c r="F34" s="192"/>
      <c r="G34" s="70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 t="s">
        <v>67</v>
      </c>
      <c r="AC34" s="53" t="s">
        <v>67</v>
      </c>
      <c r="AD34" s="53" t="s">
        <v>67</v>
      </c>
      <c r="AE34" s="53" t="s">
        <v>67</v>
      </c>
      <c r="AF34" s="53" t="s">
        <v>67</v>
      </c>
      <c r="AG34" s="53" t="s">
        <v>67</v>
      </c>
      <c r="AH34" s="53"/>
      <c r="AI34" s="53" t="s">
        <v>78</v>
      </c>
      <c r="AJ34" s="53" t="s">
        <v>67</v>
      </c>
      <c r="AK34" s="71"/>
      <c r="AL34" s="24"/>
      <c r="AM34" s="79">
        <f t="shared" si="2"/>
        <v>7</v>
      </c>
      <c r="AN34" s="54"/>
      <c r="AO34" s="79">
        <f t="shared" si="3"/>
        <v>1</v>
      </c>
      <c r="AP34" s="24"/>
      <c r="AQ34" s="79" t="str">
        <f t="shared" si="4"/>
        <v/>
      </c>
      <c r="AR34" s="54"/>
      <c r="AS34" s="79">
        <f t="shared" si="5"/>
        <v>8</v>
      </c>
      <c r="AT34" s="24"/>
    </row>
    <row r="35" spans="1:48" ht="27.6" customHeight="1" x14ac:dyDescent="0.3">
      <c r="A35" s="24"/>
      <c r="B35" s="24"/>
      <c r="C35" s="111" t="s">
        <v>108</v>
      </c>
      <c r="D35" s="24"/>
      <c r="E35" s="199" t="str">
        <f>IFERROR(VLOOKUP(C35,'DATOS GRALES 1'!B13:E61,4,0),"")</f>
        <v>OPERARIO</v>
      </c>
      <c r="F35" s="192"/>
      <c r="G35" s="70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 t="s">
        <v>67</v>
      </c>
      <c r="AC35" s="53" t="s">
        <v>67</v>
      </c>
      <c r="AD35" s="53" t="s">
        <v>67</v>
      </c>
      <c r="AE35" s="53" t="s">
        <v>67</v>
      </c>
      <c r="AF35" s="53" t="s">
        <v>67</v>
      </c>
      <c r="AG35" s="53" t="s">
        <v>67</v>
      </c>
      <c r="AH35" s="53"/>
      <c r="AI35" s="53" t="s">
        <v>67</v>
      </c>
      <c r="AJ35" s="53" t="s">
        <v>67</v>
      </c>
      <c r="AK35" s="71"/>
      <c r="AL35" s="24"/>
      <c r="AM35" s="79">
        <f t="shared" si="2"/>
        <v>8</v>
      </c>
      <c r="AN35" s="54"/>
      <c r="AO35" s="79" t="str">
        <f t="shared" si="3"/>
        <v/>
      </c>
      <c r="AP35" s="24"/>
      <c r="AQ35" s="79" t="str">
        <f t="shared" si="4"/>
        <v/>
      </c>
      <c r="AR35" s="54"/>
      <c r="AS35" s="79">
        <f t="shared" si="5"/>
        <v>8</v>
      </c>
      <c r="AT35" s="24"/>
    </row>
    <row r="36" spans="1:48" ht="27.6" customHeight="1" x14ac:dyDescent="0.3">
      <c r="A36" s="24"/>
      <c r="B36" s="24"/>
      <c r="C36" s="111" t="s">
        <v>109</v>
      </c>
      <c r="D36" s="24"/>
      <c r="E36" s="199" t="str">
        <f>IFERROR(VLOOKUP(C36,'DATOS GRALES 1'!B14:E62,4,0),"")</f>
        <v>PEON</v>
      </c>
      <c r="F36" s="192"/>
      <c r="G36" s="70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 t="s">
        <v>67</v>
      </c>
      <c r="AC36" s="53" t="s">
        <v>67</v>
      </c>
      <c r="AD36" s="53" t="s">
        <v>67</v>
      </c>
      <c r="AE36" s="53" t="s">
        <v>67</v>
      </c>
      <c r="AF36" s="53" t="s">
        <v>67</v>
      </c>
      <c r="AG36" s="53" t="s">
        <v>67</v>
      </c>
      <c r="AH36" s="53"/>
      <c r="AI36" s="53" t="s">
        <v>67</v>
      </c>
      <c r="AJ36" s="53" t="s">
        <v>67</v>
      </c>
      <c r="AK36" s="71"/>
      <c r="AL36" s="24"/>
      <c r="AM36" s="79">
        <f t="shared" si="2"/>
        <v>8</v>
      </c>
      <c r="AN36" s="54"/>
      <c r="AO36" s="79" t="str">
        <f t="shared" si="3"/>
        <v/>
      </c>
      <c r="AP36" s="24"/>
      <c r="AQ36" s="79" t="str">
        <f t="shared" si="4"/>
        <v/>
      </c>
      <c r="AR36" s="54"/>
      <c r="AS36" s="79">
        <f t="shared" si="5"/>
        <v>8</v>
      </c>
      <c r="AT36" s="24"/>
    </row>
    <row r="37" spans="1:48" ht="27.6" customHeight="1" x14ac:dyDescent="0.3">
      <c r="A37" s="24"/>
      <c r="B37" s="24"/>
      <c r="C37" s="111" t="s">
        <v>112</v>
      </c>
      <c r="D37" s="24"/>
      <c r="E37" s="199" t="str">
        <f>IFERROR(VLOOKUP(C37,'DATOS GRALES 1'!B15:E63,4,0),"")</f>
        <v>OPERARIO MAQU.</v>
      </c>
      <c r="F37" s="192"/>
      <c r="G37" s="70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 t="s">
        <v>67</v>
      </c>
      <c r="AA37" s="53"/>
      <c r="AB37" s="53" t="s">
        <v>67</v>
      </c>
      <c r="AC37" s="53" t="s">
        <v>67</v>
      </c>
      <c r="AD37" s="53" t="s">
        <v>67</v>
      </c>
      <c r="AE37" s="53" t="s">
        <v>67</v>
      </c>
      <c r="AF37" s="53" t="s">
        <v>67</v>
      </c>
      <c r="AG37" s="53" t="s">
        <v>67</v>
      </c>
      <c r="AH37" s="53"/>
      <c r="AI37" s="53" t="s">
        <v>67</v>
      </c>
      <c r="AJ37" s="53" t="s">
        <v>67</v>
      </c>
      <c r="AK37" s="71"/>
      <c r="AL37" s="24"/>
      <c r="AM37" s="79">
        <f t="shared" si="2"/>
        <v>9</v>
      </c>
      <c r="AN37" s="54"/>
      <c r="AO37" s="79" t="str">
        <f t="shared" si="3"/>
        <v/>
      </c>
      <c r="AP37" s="24"/>
      <c r="AQ37" s="79" t="str">
        <f t="shared" si="4"/>
        <v/>
      </c>
      <c r="AR37" s="54"/>
      <c r="AS37" s="79">
        <f t="shared" si="5"/>
        <v>9</v>
      </c>
      <c r="AT37" s="24"/>
      <c r="AU37" t="s">
        <v>116</v>
      </c>
      <c r="AV37" t="s">
        <v>137</v>
      </c>
    </row>
    <row r="38" spans="1:48" ht="27.6" customHeight="1" x14ac:dyDescent="0.3">
      <c r="A38" s="24"/>
      <c r="B38" s="24"/>
      <c r="C38" s="111" t="s">
        <v>114</v>
      </c>
      <c r="D38" s="24"/>
      <c r="E38" s="199" t="str">
        <f>IFERROR(VLOOKUP(C38,'DATOS GRALES 1'!B16:E64,4,0),"")</f>
        <v>PEON</v>
      </c>
      <c r="F38" s="192"/>
      <c r="G38" s="70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 t="s">
        <v>78</v>
      </c>
      <c r="AC38" s="53" t="s">
        <v>67</v>
      </c>
      <c r="AD38" s="53" t="s">
        <v>67</v>
      </c>
      <c r="AE38" s="53" t="s">
        <v>67</v>
      </c>
      <c r="AF38" s="53" t="s">
        <v>67</v>
      </c>
      <c r="AG38" s="53" t="s">
        <v>67</v>
      </c>
      <c r="AH38" s="53"/>
      <c r="AI38" s="53" t="s">
        <v>67</v>
      </c>
      <c r="AJ38" s="53" t="s">
        <v>67</v>
      </c>
      <c r="AK38" s="71"/>
      <c r="AL38" s="24"/>
      <c r="AM38" s="79">
        <f t="shared" si="2"/>
        <v>7</v>
      </c>
      <c r="AN38" s="54"/>
      <c r="AO38" s="79">
        <f t="shared" si="3"/>
        <v>1</v>
      </c>
      <c r="AP38" s="24"/>
      <c r="AQ38" s="79" t="str">
        <f t="shared" si="4"/>
        <v/>
      </c>
      <c r="AR38" s="54"/>
      <c r="AS38" s="79">
        <f t="shared" si="5"/>
        <v>8</v>
      </c>
      <c r="AT38" s="24"/>
      <c r="AU38" s="104" t="s">
        <v>118</v>
      </c>
    </row>
    <row r="39" spans="1:48" ht="27.6" customHeight="1" x14ac:dyDescent="0.3">
      <c r="A39" s="24"/>
      <c r="B39" s="24"/>
      <c r="C39" s="111" t="s">
        <v>115</v>
      </c>
      <c r="D39" s="24"/>
      <c r="E39" s="199" t="str">
        <f>IFERROR(VLOOKUP(C39,'DATOS GRALES 1'!B17:E65,4,0),"")</f>
        <v>OPERARIO</v>
      </c>
      <c r="F39" s="192"/>
      <c r="G39" s="70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 t="s">
        <v>117</v>
      </c>
      <c r="AC39" s="53" t="s">
        <v>67</v>
      </c>
      <c r="AD39" s="53" t="s">
        <v>67</v>
      </c>
      <c r="AE39" s="53" t="s">
        <v>67</v>
      </c>
      <c r="AF39" s="53" t="s">
        <v>67</v>
      </c>
      <c r="AG39" s="53" t="s">
        <v>67</v>
      </c>
      <c r="AH39" s="53"/>
      <c r="AI39" s="53" t="s">
        <v>67</v>
      </c>
      <c r="AJ39" s="53" t="s">
        <v>67</v>
      </c>
      <c r="AK39" s="71"/>
      <c r="AL39" s="24"/>
      <c r="AM39" s="79">
        <f t="shared" si="2"/>
        <v>8</v>
      </c>
      <c r="AN39" s="54"/>
      <c r="AO39" s="79" t="str">
        <f t="shared" si="3"/>
        <v/>
      </c>
      <c r="AP39" s="24"/>
      <c r="AQ39" s="79" t="str">
        <f t="shared" si="4"/>
        <v/>
      </c>
      <c r="AR39" s="54"/>
      <c r="AS39" s="79">
        <f t="shared" si="5"/>
        <v>8</v>
      </c>
      <c r="AT39" s="24"/>
      <c r="AU39" t="s">
        <v>134</v>
      </c>
    </row>
    <row r="40" spans="1:48" ht="27.6" customHeight="1" x14ac:dyDescent="0.3">
      <c r="A40" s="24"/>
      <c r="B40" s="24"/>
      <c r="C40" s="111" t="s">
        <v>133</v>
      </c>
      <c r="D40" s="24"/>
      <c r="E40" s="199" t="str">
        <f>IFERROR(VLOOKUP(C40,'DATOS GRALES 1'!B18:E66,4,0),"")</f>
        <v>OPERARIO</v>
      </c>
      <c r="F40" s="192"/>
      <c r="G40" s="70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 t="s">
        <v>67</v>
      </c>
      <c r="AJ40" s="53" t="s">
        <v>67</v>
      </c>
      <c r="AK40" s="71"/>
      <c r="AL40" s="24"/>
      <c r="AM40" s="79">
        <f t="shared" si="2"/>
        <v>2</v>
      </c>
      <c r="AN40" s="54"/>
      <c r="AO40" s="79" t="str">
        <f t="shared" si="3"/>
        <v/>
      </c>
      <c r="AP40" s="24"/>
      <c r="AQ40" s="79" t="str">
        <f t="shared" si="4"/>
        <v/>
      </c>
      <c r="AR40" s="54"/>
      <c r="AS40" s="79">
        <f t="shared" si="5"/>
        <v>2</v>
      </c>
      <c r="AT40" s="24"/>
    </row>
    <row r="41" spans="1:48" ht="27.6" customHeight="1" x14ac:dyDescent="0.3">
      <c r="A41" s="24"/>
      <c r="B41" s="24"/>
      <c r="C41" s="111"/>
      <c r="D41" s="24"/>
      <c r="E41" s="199" t="str">
        <f>IFERROR(VLOOKUP(C41,'DATOS GRALES 1'!B19:E67,4,0),"")</f>
        <v/>
      </c>
      <c r="F41" s="192"/>
      <c r="G41" s="70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71"/>
      <c r="AL41" s="24"/>
      <c r="AM41" s="79" t="str">
        <f t="shared" si="2"/>
        <v/>
      </c>
      <c r="AN41" s="54"/>
      <c r="AO41" s="79" t="str">
        <f t="shared" si="3"/>
        <v/>
      </c>
      <c r="AP41" s="24"/>
      <c r="AQ41" s="79" t="str">
        <f t="shared" si="4"/>
        <v/>
      </c>
      <c r="AR41" s="54"/>
      <c r="AS41" s="79" t="str">
        <f t="shared" si="5"/>
        <v/>
      </c>
      <c r="AT41" s="24"/>
    </row>
    <row r="42" spans="1:48" ht="27.6" customHeight="1" x14ac:dyDescent="0.3">
      <c r="A42" s="24"/>
      <c r="B42" s="24"/>
      <c r="C42" s="111"/>
      <c r="D42" s="24"/>
      <c r="E42" s="199" t="str">
        <f>IFERROR(VLOOKUP(C42,'DATOS GRALES 1'!B20:E68,4,0),"")</f>
        <v/>
      </c>
      <c r="F42" s="192"/>
      <c r="G42" s="70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71"/>
      <c r="AL42" s="24"/>
      <c r="AM42" s="79" t="str">
        <f t="shared" si="2"/>
        <v/>
      </c>
      <c r="AN42" s="54"/>
      <c r="AO42" s="79" t="str">
        <f t="shared" si="3"/>
        <v/>
      </c>
      <c r="AP42" s="24"/>
      <c r="AQ42" s="79" t="str">
        <f t="shared" si="4"/>
        <v/>
      </c>
      <c r="AR42" s="54"/>
      <c r="AS42" s="79" t="str">
        <f t="shared" si="5"/>
        <v/>
      </c>
      <c r="AT42" s="24"/>
    </row>
    <row r="43" spans="1:48" ht="27.6" customHeight="1" x14ac:dyDescent="0.3">
      <c r="A43" s="24"/>
      <c r="B43" s="24"/>
      <c r="C43" s="111"/>
      <c r="D43" s="24"/>
      <c r="E43" s="199" t="str">
        <f>IFERROR(VLOOKUP(C43,'DATOS GRALES 1'!B21:E69,4,0),"")</f>
        <v/>
      </c>
      <c r="F43" s="192"/>
      <c r="G43" s="70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71"/>
      <c r="AL43" s="24"/>
      <c r="AM43" s="79" t="str">
        <f t="shared" si="2"/>
        <v/>
      </c>
      <c r="AN43" s="54"/>
      <c r="AO43" s="79" t="str">
        <f t="shared" si="3"/>
        <v/>
      </c>
      <c r="AP43" s="24"/>
      <c r="AQ43" s="79" t="str">
        <f t="shared" si="4"/>
        <v/>
      </c>
      <c r="AR43" s="54"/>
      <c r="AS43" s="79" t="str">
        <f t="shared" si="5"/>
        <v/>
      </c>
      <c r="AT43" s="24"/>
    </row>
    <row r="44" spans="1:48" ht="27.6" customHeight="1" x14ac:dyDescent="0.3">
      <c r="A44" s="24"/>
      <c r="B44" s="24"/>
      <c r="C44" s="111"/>
      <c r="D44" s="24"/>
      <c r="E44" s="199" t="str">
        <f>IFERROR(VLOOKUP(C44,'DATOS GRALES 1'!B22:E70,4,0),"")</f>
        <v/>
      </c>
      <c r="F44" s="192"/>
      <c r="G44" s="70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71"/>
      <c r="AL44" s="24"/>
      <c r="AM44" s="79" t="str">
        <f t="shared" si="2"/>
        <v/>
      </c>
      <c r="AN44" s="54"/>
      <c r="AO44" s="79" t="str">
        <f t="shared" si="3"/>
        <v/>
      </c>
      <c r="AP44" s="24"/>
      <c r="AQ44" s="79" t="str">
        <f t="shared" si="4"/>
        <v/>
      </c>
      <c r="AR44" s="54"/>
      <c r="AS44" s="79" t="str">
        <f t="shared" si="5"/>
        <v/>
      </c>
      <c r="AT44" s="24"/>
    </row>
    <row r="45" spans="1:48" ht="27.6" customHeight="1" x14ac:dyDescent="0.3">
      <c r="A45" s="24"/>
      <c r="B45" s="24"/>
      <c r="C45" s="111"/>
      <c r="D45" s="24"/>
      <c r="E45" s="199" t="str">
        <f>IFERROR(VLOOKUP(C45,'DATOS GRALES 1'!B23:E71,4,0),"")</f>
        <v/>
      </c>
      <c r="F45" s="192"/>
      <c r="G45" s="70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71"/>
      <c r="AL45" s="24"/>
      <c r="AM45" s="79" t="str">
        <f t="shared" si="2"/>
        <v/>
      </c>
      <c r="AN45" s="54"/>
      <c r="AO45" s="79" t="str">
        <f t="shared" si="3"/>
        <v/>
      </c>
      <c r="AP45" s="24"/>
      <c r="AQ45" s="79" t="str">
        <f t="shared" si="4"/>
        <v/>
      </c>
      <c r="AR45" s="54"/>
      <c r="AS45" s="79" t="str">
        <f t="shared" si="5"/>
        <v/>
      </c>
      <c r="AT45" s="24"/>
    </row>
    <row r="46" spans="1:48" ht="27.6" customHeight="1" x14ac:dyDescent="0.3">
      <c r="A46" s="24"/>
      <c r="B46" s="24"/>
      <c r="C46" s="111"/>
      <c r="D46" s="24"/>
      <c r="E46" s="199" t="str">
        <f>IFERROR(VLOOKUP(C46,'DATOS GRALES 1'!B24:E72,4,0),"")</f>
        <v/>
      </c>
      <c r="F46" s="192"/>
      <c r="G46" s="70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71"/>
      <c r="AL46" s="24"/>
      <c r="AM46" s="79" t="str">
        <f t="shared" si="2"/>
        <v/>
      </c>
      <c r="AN46" s="54"/>
      <c r="AO46" s="79" t="str">
        <f t="shared" si="3"/>
        <v/>
      </c>
      <c r="AP46" s="24"/>
      <c r="AQ46" s="79" t="str">
        <f t="shared" si="4"/>
        <v/>
      </c>
      <c r="AR46" s="54"/>
      <c r="AS46" s="79" t="str">
        <f t="shared" si="5"/>
        <v/>
      </c>
      <c r="AT46" s="24"/>
    </row>
    <row r="47" spans="1:48" ht="27.6" customHeight="1" x14ac:dyDescent="0.3">
      <c r="A47" s="24"/>
      <c r="B47" s="24"/>
      <c r="C47" s="111"/>
      <c r="D47" s="24"/>
      <c r="E47" s="199" t="str">
        <f>IFERROR(VLOOKUP(C47,'DATOS GRALES 1'!B25:E73,4,0),"")</f>
        <v/>
      </c>
      <c r="F47" s="192"/>
      <c r="G47" s="70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71"/>
      <c r="AL47" s="24"/>
      <c r="AM47" s="79" t="str">
        <f t="shared" si="2"/>
        <v/>
      </c>
      <c r="AN47" s="54"/>
      <c r="AO47" s="79" t="str">
        <f t="shared" si="3"/>
        <v/>
      </c>
      <c r="AP47" s="24"/>
      <c r="AQ47" s="79" t="str">
        <f t="shared" si="4"/>
        <v/>
      </c>
      <c r="AR47" s="54"/>
      <c r="AS47" s="79" t="str">
        <f t="shared" si="5"/>
        <v/>
      </c>
      <c r="AT47" s="24"/>
    </row>
    <row r="48" spans="1:48" ht="27.6" customHeight="1" x14ac:dyDescent="0.3">
      <c r="A48" s="24"/>
      <c r="B48" s="24"/>
      <c r="C48" s="111"/>
      <c r="D48" s="24"/>
      <c r="E48" s="199" t="str">
        <f>IFERROR(VLOOKUP(C48,'DATOS GRALES 1'!B26:E74,4,0),"")</f>
        <v/>
      </c>
      <c r="F48" s="192"/>
      <c r="G48" s="70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71"/>
      <c r="AL48" s="24"/>
      <c r="AM48" s="79" t="str">
        <f t="shared" si="2"/>
        <v/>
      </c>
      <c r="AN48" s="54"/>
      <c r="AO48" s="79" t="str">
        <f t="shared" si="3"/>
        <v/>
      </c>
      <c r="AP48" s="24"/>
      <c r="AQ48" s="79" t="str">
        <f t="shared" si="4"/>
        <v/>
      </c>
      <c r="AR48" s="54"/>
      <c r="AS48" s="79" t="str">
        <f t="shared" si="5"/>
        <v/>
      </c>
      <c r="AT48" s="24"/>
    </row>
    <row r="49" spans="1:46" ht="27.6" customHeight="1" x14ac:dyDescent="0.3">
      <c r="A49" s="24"/>
      <c r="B49" s="24"/>
      <c r="C49" s="111"/>
      <c r="D49" s="24"/>
      <c r="E49" s="199" t="str">
        <f>IFERROR(VLOOKUP(C49,'DATOS GRALES 1'!B27:E75,4,0),"")</f>
        <v/>
      </c>
      <c r="F49" s="192"/>
      <c r="G49" s="70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71"/>
      <c r="AL49" s="24"/>
      <c r="AM49" s="79" t="str">
        <f t="shared" si="2"/>
        <v/>
      </c>
      <c r="AN49" s="54"/>
      <c r="AO49" s="79" t="str">
        <f t="shared" si="3"/>
        <v/>
      </c>
      <c r="AP49" s="24"/>
      <c r="AQ49" s="79" t="str">
        <f t="shared" si="4"/>
        <v/>
      </c>
      <c r="AR49" s="54"/>
      <c r="AS49" s="79" t="str">
        <f t="shared" si="5"/>
        <v/>
      </c>
      <c r="AT49" s="24"/>
    </row>
    <row r="50" spans="1:46" ht="27.6" customHeight="1" x14ac:dyDescent="0.3">
      <c r="A50" s="24"/>
      <c r="B50" s="24"/>
      <c r="C50" s="111"/>
      <c r="D50" s="24"/>
      <c r="E50" s="199" t="str">
        <f>IFERROR(VLOOKUP(C50,'DATOS GRALES 1'!B28:E76,4,0),"")</f>
        <v/>
      </c>
      <c r="F50" s="192"/>
      <c r="G50" s="70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71"/>
      <c r="AL50" s="24"/>
      <c r="AM50" s="79" t="str">
        <f t="shared" si="2"/>
        <v/>
      </c>
      <c r="AN50" s="54"/>
      <c r="AO50" s="79" t="str">
        <f t="shared" si="3"/>
        <v/>
      </c>
      <c r="AP50" s="24"/>
      <c r="AQ50" s="79" t="str">
        <f t="shared" si="4"/>
        <v/>
      </c>
      <c r="AR50" s="54"/>
      <c r="AS50" s="79" t="str">
        <f t="shared" si="5"/>
        <v/>
      </c>
      <c r="AT50" s="24"/>
    </row>
    <row r="51" spans="1:46" ht="27.6" customHeight="1" thickBot="1" x14ac:dyDescent="0.35">
      <c r="A51" s="24"/>
      <c r="B51" s="24"/>
      <c r="C51" s="112"/>
      <c r="D51" s="24"/>
      <c r="E51" s="200" t="str">
        <f>IFERROR(VLOOKUP(C51,'DATOS GRALES 1'!B29:E77,4,0),"")</f>
        <v/>
      </c>
      <c r="F51" s="201"/>
      <c r="G51" s="72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4"/>
      <c r="AL51" s="24"/>
      <c r="AM51" s="80" t="str">
        <f t="shared" si="2"/>
        <v/>
      </c>
      <c r="AN51" s="54"/>
      <c r="AO51" s="80" t="str">
        <f t="shared" si="3"/>
        <v/>
      </c>
      <c r="AP51" s="24"/>
      <c r="AQ51" s="80" t="str">
        <f t="shared" si="4"/>
        <v/>
      </c>
      <c r="AR51" s="54"/>
      <c r="AS51" s="85" t="str">
        <f t="shared" si="5"/>
        <v/>
      </c>
      <c r="AT51" s="24"/>
    </row>
  </sheetData>
  <mergeCells count="76">
    <mergeCell ref="E42:F42"/>
    <mergeCell ref="E30:F30"/>
    <mergeCell ref="E51:F51"/>
    <mergeCell ref="E50:F50"/>
    <mergeCell ref="E49:F49"/>
    <mergeCell ref="E48:F48"/>
    <mergeCell ref="E47:F47"/>
    <mergeCell ref="E46:F46"/>
    <mergeCell ref="E45:F45"/>
    <mergeCell ref="E44:F44"/>
    <mergeCell ref="E43:F43"/>
    <mergeCell ref="E36:F36"/>
    <mergeCell ref="E35:F35"/>
    <mergeCell ref="E34:F34"/>
    <mergeCell ref="E33:F33"/>
    <mergeCell ref="E32:F32"/>
    <mergeCell ref="E31:F31"/>
    <mergeCell ref="E25:F25"/>
    <mergeCell ref="E26:F26"/>
    <mergeCell ref="E27:F27"/>
    <mergeCell ref="E28:F28"/>
    <mergeCell ref="E29:F29"/>
    <mergeCell ref="E41:F41"/>
    <mergeCell ref="E40:F40"/>
    <mergeCell ref="E39:F39"/>
    <mergeCell ref="E38:F38"/>
    <mergeCell ref="E37:F37"/>
    <mergeCell ref="E19:F19"/>
    <mergeCell ref="E20:F20"/>
    <mergeCell ref="E21:F21"/>
    <mergeCell ref="E22:F22"/>
    <mergeCell ref="E23:F23"/>
    <mergeCell ref="E24:F24"/>
    <mergeCell ref="AK8:AK11"/>
    <mergeCell ref="E13:F13"/>
    <mergeCell ref="E15:F15"/>
    <mergeCell ref="E16:F16"/>
    <mergeCell ref="E17:F17"/>
    <mergeCell ref="E18:F18"/>
    <mergeCell ref="AE8:AE11"/>
    <mergeCell ref="AF8:AF11"/>
    <mergeCell ref="AG8:AG11"/>
    <mergeCell ref="AH8:AH11"/>
    <mergeCell ref="AI8:AI11"/>
    <mergeCell ref="AJ8:AJ11"/>
    <mergeCell ref="Y8:Y11"/>
    <mergeCell ref="Z8:Z11"/>
    <mergeCell ref="AA8:AA11"/>
    <mergeCell ref="AB8:AB11"/>
    <mergeCell ref="AC8:AC11"/>
    <mergeCell ref="AD8:AD11"/>
    <mergeCell ref="S8:S11"/>
    <mergeCell ref="T8:T11"/>
    <mergeCell ref="U8:U11"/>
    <mergeCell ref="V8:V11"/>
    <mergeCell ref="W8:W11"/>
    <mergeCell ref="X8:X11"/>
    <mergeCell ref="R8:R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E4:G4"/>
    <mergeCell ref="AD4:AE4"/>
    <mergeCell ref="AG4:AH4"/>
    <mergeCell ref="V5:AA6"/>
    <mergeCell ref="AD5:AF6"/>
    <mergeCell ref="AG5:AH6"/>
    <mergeCell ref="E6:G6"/>
  </mergeCells>
  <conditionalFormatting sqref="D15:D51">
    <cfRule type="expression" dxfId="38" priority="4">
      <formula>AND(_HorasExtras="SI",OR(_Datos&gt;_PorEncimade))</formula>
    </cfRule>
  </conditionalFormatting>
  <conditionalFormatting sqref="G8:AK12">
    <cfRule type="expression" dxfId="37" priority="11">
      <formula>MONTH(_Fechainicial)&lt;&gt;MONTH($E$4&amp;1)</formula>
    </cfRule>
  </conditionalFormatting>
  <conditionalFormatting sqref="G12:AK12">
    <cfRule type="expression" dxfId="36" priority="7">
      <formula>OR(WEEKDAY(_Fechainicial,2)&gt;=7,ISNUMBER(MATCH(_Fechainicial,nFestivo,0)),MONTH(_Fechainicial)&lt;&gt;MONTH($E$4&amp;1))</formula>
    </cfRule>
    <cfRule type="expression" dxfId="35" priority="9">
      <formula>MONTH(_Fechainicial)=MONTH($E$4&amp;1)</formula>
    </cfRule>
  </conditionalFormatting>
  <conditionalFormatting sqref="G13:AK13">
    <cfRule type="expression" dxfId="34" priority="10">
      <formula>MONTH(_Fechainicial)&lt;&gt;MONTH($E$4&amp;1)</formula>
    </cfRule>
    <cfRule type="expression" dxfId="33" priority="13">
      <formula>WEEKDAY(_Fechainicial,2)&gt;WEEKDAY(_FechaSiguiente,2)</formula>
    </cfRule>
  </conditionalFormatting>
  <conditionalFormatting sqref="G15:AK51">
    <cfRule type="containsText" dxfId="32" priority="1" operator="containsText" text="MED">
      <formula>NOT(ISERROR(SEARCH("MED",G15)))</formula>
    </cfRule>
    <cfRule type="containsText" dxfId="31" priority="2" operator="containsText" text="NO">
      <formula>NOT(ISERROR(SEARCH("NO",G15)))</formula>
    </cfRule>
    <cfRule type="containsText" dxfId="30" priority="3" operator="containsText" text="SI">
      <formula>NOT(ISERROR(SEARCH("SI",G15)))</formula>
    </cfRule>
    <cfRule type="expression" dxfId="29" priority="8">
      <formula>OR(WEEKDAY(_Fechainicial,2)&gt;=7,ISNUMBER(MATCH(_Fechainicial,nFestivo,0)),MONTH(_Fechainicial)&lt;&gt;MONTH($E$4&amp;1))</formula>
    </cfRule>
    <cfRule type="expression" dxfId="28" priority="12">
      <formula>WEEKDAY(_Fechainicial,2)&gt;WEEKDAY(_FechaSiguiente,2)</formula>
    </cfRule>
  </conditionalFormatting>
  <conditionalFormatting sqref="AO4">
    <cfRule type="expression" dxfId="27" priority="6">
      <formula>_HorasExtras="NO"</formula>
    </cfRule>
  </conditionalFormatting>
  <conditionalFormatting sqref="AO6">
    <cfRule type="expression" dxfId="26" priority="5">
      <formula>_HorasExtras="NO"</formula>
    </cfRule>
  </conditionalFormatting>
  <dataValidations disablePrompts="1" count="3">
    <dataValidation type="list" allowBlank="1" showInputMessage="1" showErrorMessage="1" sqref="AO6" xr:uid="{D286C82A-87F5-4119-8003-8B373B3EA9D1}">
      <formula1>"8, 9, 10"</formula1>
    </dataValidation>
    <dataValidation type="list" allowBlank="1" showInputMessage="1" showErrorMessage="1" sqref="AO4" xr:uid="{A3782E42-5810-4B22-B5DB-561C777C4957}">
      <formula1>"SI, NO"</formula1>
    </dataValidation>
    <dataValidation type="list" allowBlank="1" showInputMessage="1" showErrorMessage="1" sqref="E4:G4" xr:uid="{301752A1-0ADA-4E9C-B4BD-34DB642F1C8A}">
      <formula1>"Enero, Febrero, Marzo, Abril, Mayo, Junio, Julio, Agosto, Setiembre, Octubre, Noviembre, Diciembre"</formula1>
    </dataValidation>
  </dataValidations>
  <pageMargins left="0.21" right="0.2" top="0.31" bottom="0.27" header="0.3" footer="0.3"/>
  <pageSetup paperSize="9" scale="44" orientation="landscape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7282A08-FF04-4A73-88E0-92FFF10AFF10}">
          <x14:formula1>
            <xm:f>'DATOS GRALES 1'!$B$2:$B$36</xm:f>
          </x14:formula1>
          <xm:sqref>C15:C22 C24:C51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2DF2-98D6-413B-B207-11A1174F5C90}">
  <sheetPr codeName="Hoja9">
    <pageSetUpPr fitToPage="1"/>
  </sheetPr>
  <dimension ref="A1:AU55"/>
  <sheetViews>
    <sheetView topLeftCell="A13" zoomScale="80" zoomScaleNormal="80" workbookViewId="0">
      <pane xSplit="4" topLeftCell="E1" activePane="topRight" state="frozen"/>
      <selection activeCell="A10" sqref="A10"/>
      <selection pane="topRight" activeCell="AI55" sqref="AI55"/>
    </sheetView>
  </sheetViews>
  <sheetFormatPr baseColWidth="10" defaultColWidth="10.77734375" defaultRowHeight="14.4" x14ac:dyDescent="0.3"/>
  <cols>
    <col min="1" max="2" width="1.77734375" customWidth="1"/>
    <col min="3" max="3" width="39.21875" customWidth="1"/>
    <col min="4" max="4" width="0.88671875" customWidth="1"/>
    <col min="5" max="5" width="11.6640625" customWidth="1"/>
    <col min="6" max="37" width="4.88671875" customWidth="1"/>
    <col min="38" max="38" width="0.88671875" customWidth="1"/>
    <col min="39" max="39" width="13.5546875" customWidth="1"/>
    <col min="40" max="40" width="0.88671875" customWidth="1"/>
    <col min="41" max="41" width="13.5546875" customWidth="1"/>
    <col min="42" max="42" width="0.88671875" customWidth="1"/>
    <col min="43" max="43" width="16.109375" customWidth="1"/>
    <col min="44" max="44" width="0.88671875" customWidth="1"/>
    <col min="45" max="45" width="13.33203125" customWidth="1"/>
    <col min="46" max="46" width="0.5546875" customWidth="1"/>
    <col min="47" max="47" width="33" customWidth="1"/>
  </cols>
  <sheetData>
    <row r="1" spans="1:46" ht="30" customHeight="1" x14ac:dyDescent="0.3">
      <c r="A1" s="21"/>
      <c r="B1" s="21"/>
      <c r="C1" s="22" t="s">
        <v>84</v>
      </c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46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</row>
    <row r="3" spans="1:46" ht="4.95" customHeight="1" thickBot="1" x14ac:dyDescent="0.35">
      <c r="A3" s="24"/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  <c r="M3" s="24"/>
      <c r="N3" s="27"/>
      <c r="O3" s="28"/>
      <c r="P3" s="28"/>
      <c r="Q3" s="28"/>
      <c r="R3" s="28"/>
      <c r="S3" s="28"/>
      <c r="T3" s="29"/>
      <c r="U3" s="24"/>
      <c r="V3" s="27"/>
      <c r="W3" s="28"/>
      <c r="X3" s="28"/>
      <c r="Y3" s="28"/>
      <c r="Z3" s="28"/>
      <c r="AA3" s="28"/>
      <c r="AB3" s="29"/>
      <c r="AC3" s="24"/>
      <c r="AD3" s="25"/>
      <c r="AE3" s="25"/>
      <c r="AF3" s="25"/>
      <c r="AG3" s="25"/>
      <c r="AH3" s="25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spans="1:46" ht="15" thickBot="1" x14ac:dyDescent="0.35">
      <c r="A4" s="24"/>
      <c r="B4" s="30"/>
      <c r="C4" s="35" t="s">
        <v>48</v>
      </c>
      <c r="D4" s="25"/>
      <c r="E4" s="188" t="s">
        <v>140</v>
      </c>
      <c r="F4" s="189"/>
      <c r="G4" s="190"/>
      <c r="H4" s="110" t="s">
        <v>51</v>
      </c>
      <c r="I4" s="25"/>
      <c r="J4" s="25"/>
      <c r="K4" s="25"/>
      <c r="L4" s="31"/>
      <c r="M4" s="24"/>
      <c r="N4" s="45" t="s">
        <v>54</v>
      </c>
      <c r="O4" s="42"/>
      <c r="P4" s="42"/>
      <c r="Q4" s="43" t="s">
        <v>57</v>
      </c>
      <c r="R4" s="42"/>
      <c r="S4" s="42"/>
      <c r="T4" s="44"/>
      <c r="U4" s="24"/>
      <c r="V4" s="45" t="s">
        <v>60</v>
      </c>
      <c r="W4" s="25"/>
      <c r="X4" s="25"/>
      <c r="Y4" s="25"/>
      <c r="Z4" s="25"/>
      <c r="AA4" s="25"/>
      <c r="AB4" s="31"/>
      <c r="AC4" s="24"/>
      <c r="AD4" s="182" t="s">
        <v>61</v>
      </c>
      <c r="AE4" s="182"/>
      <c r="AF4" s="25"/>
      <c r="AG4" s="182" t="s">
        <v>62</v>
      </c>
      <c r="AH4" s="182"/>
      <c r="AI4" s="24"/>
      <c r="AJ4" s="24"/>
      <c r="AK4" s="24"/>
      <c r="AL4" s="24"/>
      <c r="AM4" s="48" t="s">
        <v>65</v>
      </c>
      <c r="AN4" s="24"/>
      <c r="AO4" s="49" t="s">
        <v>78</v>
      </c>
      <c r="AP4" s="24"/>
      <c r="AQ4" s="24"/>
      <c r="AR4" s="24"/>
      <c r="AS4" s="24"/>
      <c r="AT4" s="24"/>
    </row>
    <row r="5" spans="1:46" ht="15" thickBot="1" x14ac:dyDescent="0.35">
      <c r="A5" s="24"/>
      <c r="B5" s="30"/>
      <c r="C5" s="25"/>
      <c r="D5" s="25"/>
      <c r="E5" s="25"/>
      <c r="F5" s="25"/>
      <c r="G5" s="25"/>
      <c r="H5" s="25"/>
      <c r="I5" s="25"/>
      <c r="J5" s="25"/>
      <c r="K5" s="25"/>
      <c r="L5" s="31"/>
      <c r="M5" s="24"/>
      <c r="N5" s="45" t="s">
        <v>55</v>
      </c>
      <c r="O5" s="42"/>
      <c r="P5" s="42"/>
      <c r="Q5" s="43" t="s">
        <v>58</v>
      </c>
      <c r="R5" s="42"/>
      <c r="S5" s="42"/>
      <c r="T5" s="44"/>
      <c r="U5" s="24"/>
      <c r="V5" s="180" t="str">
        <f>"Desde: "&amp;TEXT(DATE(E6,MONTH(E4&amp;1),1),"mmm-dd-yy")&amp;" Hasta "&amp;TEXT(EOMONTH(DATE(E6,MONTH(E4&amp;1),1),0),"mmm-dd-yy")</f>
        <v>Desde: Oct-01-25 Hasta Oct-31-25</v>
      </c>
      <c r="W5" s="181"/>
      <c r="X5" s="181"/>
      <c r="Y5" s="181"/>
      <c r="Z5" s="181"/>
      <c r="AA5" s="181"/>
      <c r="AB5" s="31"/>
      <c r="AC5" s="24"/>
      <c r="AD5" s="183" t="str">
        <f>E4</f>
        <v>Octubre</v>
      </c>
      <c r="AE5" s="183"/>
      <c r="AF5" s="183"/>
      <c r="AG5" s="183">
        <f>E6</f>
        <v>2025</v>
      </c>
      <c r="AH5" s="183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spans="1:46" ht="15" thickBot="1" x14ac:dyDescent="0.35">
      <c r="A6" s="24"/>
      <c r="B6" s="30"/>
      <c r="C6" s="36" t="s">
        <v>49</v>
      </c>
      <c r="D6" s="25"/>
      <c r="E6" s="188">
        <v>2025</v>
      </c>
      <c r="F6" s="189"/>
      <c r="G6" s="190"/>
      <c r="H6" s="110" t="s">
        <v>50</v>
      </c>
      <c r="I6" s="25"/>
      <c r="J6" s="25"/>
      <c r="K6" s="25"/>
      <c r="L6" s="31"/>
      <c r="M6" s="24"/>
      <c r="N6" s="45" t="s">
        <v>56</v>
      </c>
      <c r="O6" s="42"/>
      <c r="P6" s="42"/>
      <c r="Q6" s="43" t="s">
        <v>59</v>
      </c>
      <c r="R6" s="42"/>
      <c r="S6" s="42"/>
      <c r="T6" s="44"/>
      <c r="U6" s="24"/>
      <c r="V6" s="180"/>
      <c r="W6" s="181"/>
      <c r="X6" s="181"/>
      <c r="Y6" s="181"/>
      <c r="Z6" s="181"/>
      <c r="AA6" s="181"/>
      <c r="AB6" s="31"/>
      <c r="AC6" s="24"/>
      <c r="AD6" s="183"/>
      <c r="AE6" s="183"/>
      <c r="AF6" s="183"/>
      <c r="AG6" s="183"/>
      <c r="AH6" s="183"/>
      <c r="AI6" s="24"/>
      <c r="AJ6" s="24"/>
      <c r="AK6" s="24"/>
      <c r="AL6" s="24"/>
      <c r="AM6" s="48" t="s">
        <v>66</v>
      </c>
      <c r="AN6" s="24"/>
      <c r="AO6" s="49">
        <v>8</v>
      </c>
      <c r="AP6" s="24"/>
      <c r="AQ6" s="24"/>
      <c r="AR6" s="24"/>
      <c r="AS6" s="24"/>
      <c r="AT6" s="24"/>
    </row>
    <row r="7" spans="1:46" ht="4.95" customHeight="1" x14ac:dyDescent="0.3">
      <c r="A7" s="24"/>
      <c r="B7" s="32"/>
      <c r="C7" s="33"/>
      <c r="D7" s="33"/>
      <c r="E7" s="33"/>
      <c r="F7" s="33"/>
      <c r="G7" s="33"/>
      <c r="H7" s="33"/>
      <c r="I7" s="33"/>
      <c r="J7" s="33"/>
      <c r="K7" s="33"/>
      <c r="L7" s="34"/>
      <c r="M7" s="24"/>
      <c r="N7" s="32"/>
      <c r="O7" s="33"/>
      <c r="P7" s="33"/>
      <c r="Q7" s="33"/>
      <c r="R7" s="33"/>
      <c r="S7" s="33"/>
      <c r="T7" s="34"/>
      <c r="U7" s="24"/>
      <c r="V7" s="32"/>
      <c r="W7" s="33"/>
      <c r="X7" s="33"/>
      <c r="Y7" s="33"/>
      <c r="Z7" s="33"/>
      <c r="AA7" s="33"/>
      <c r="AB7" s="34"/>
      <c r="AC7" s="24"/>
      <c r="AD7" s="25"/>
      <c r="AE7" s="25"/>
      <c r="AF7" s="25"/>
      <c r="AG7" s="25"/>
      <c r="AH7" s="25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</row>
    <row r="8" spans="1:46" x14ac:dyDescent="0.3">
      <c r="A8" s="24"/>
      <c r="B8" s="24"/>
      <c r="C8" s="24"/>
      <c r="D8" s="24"/>
      <c r="E8" s="24"/>
      <c r="F8" s="24"/>
      <c r="G8" s="184">
        <f>DATE(E6,MONTH(E4&amp;1),1)</f>
        <v>45931</v>
      </c>
      <c r="H8" s="184">
        <f t="shared" ref="H8:AK8" si="0">G8+1</f>
        <v>45932</v>
      </c>
      <c r="I8" s="184">
        <f t="shared" si="0"/>
        <v>45933</v>
      </c>
      <c r="J8" s="184">
        <f t="shared" si="0"/>
        <v>45934</v>
      </c>
      <c r="K8" s="184">
        <f t="shared" si="0"/>
        <v>45935</v>
      </c>
      <c r="L8" s="184">
        <f t="shared" si="0"/>
        <v>45936</v>
      </c>
      <c r="M8" s="184">
        <f t="shared" si="0"/>
        <v>45937</v>
      </c>
      <c r="N8" s="184">
        <f t="shared" si="0"/>
        <v>45938</v>
      </c>
      <c r="O8" s="184">
        <f t="shared" si="0"/>
        <v>45939</v>
      </c>
      <c r="P8" s="184">
        <f t="shared" si="0"/>
        <v>45940</v>
      </c>
      <c r="Q8" s="184">
        <f t="shared" si="0"/>
        <v>45941</v>
      </c>
      <c r="R8" s="184">
        <f t="shared" si="0"/>
        <v>45942</v>
      </c>
      <c r="S8" s="184">
        <f t="shared" si="0"/>
        <v>45943</v>
      </c>
      <c r="T8" s="184">
        <f t="shared" si="0"/>
        <v>45944</v>
      </c>
      <c r="U8" s="184">
        <f t="shared" si="0"/>
        <v>45945</v>
      </c>
      <c r="V8" s="184">
        <f t="shared" si="0"/>
        <v>45946</v>
      </c>
      <c r="W8" s="184">
        <f t="shared" si="0"/>
        <v>45947</v>
      </c>
      <c r="X8" s="184">
        <f t="shared" si="0"/>
        <v>45948</v>
      </c>
      <c r="Y8" s="184">
        <f t="shared" si="0"/>
        <v>45949</v>
      </c>
      <c r="Z8" s="184">
        <f t="shared" si="0"/>
        <v>45950</v>
      </c>
      <c r="AA8" s="184">
        <f t="shared" si="0"/>
        <v>45951</v>
      </c>
      <c r="AB8" s="184">
        <f t="shared" si="0"/>
        <v>45952</v>
      </c>
      <c r="AC8" s="184">
        <f t="shared" si="0"/>
        <v>45953</v>
      </c>
      <c r="AD8" s="184">
        <f t="shared" si="0"/>
        <v>45954</v>
      </c>
      <c r="AE8" s="184">
        <f t="shared" si="0"/>
        <v>45955</v>
      </c>
      <c r="AF8" s="184">
        <f t="shared" si="0"/>
        <v>45956</v>
      </c>
      <c r="AG8" s="184">
        <f t="shared" si="0"/>
        <v>45957</v>
      </c>
      <c r="AH8" s="184">
        <f t="shared" si="0"/>
        <v>45958</v>
      </c>
      <c r="AI8" s="184">
        <f t="shared" si="0"/>
        <v>45959</v>
      </c>
      <c r="AJ8" s="184">
        <f t="shared" si="0"/>
        <v>45960</v>
      </c>
      <c r="AK8" s="184">
        <f t="shared" si="0"/>
        <v>45961</v>
      </c>
      <c r="AL8" s="50"/>
      <c r="AM8" s="24"/>
      <c r="AN8" s="24"/>
      <c r="AO8" s="24"/>
      <c r="AP8" s="24"/>
      <c r="AQ8" s="24"/>
      <c r="AR8" s="24"/>
      <c r="AS8" s="24"/>
      <c r="AT8" s="24"/>
    </row>
    <row r="9" spans="1:46" x14ac:dyDescent="0.3">
      <c r="A9" s="24"/>
      <c r="B9" s="24"/>
      <c r="C9" s="24"/>
      <c r="D9" s="24"/>
      <c r="E9" s="24"/>
      <c r="F9" s="2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50"/>
      <c r="AM9" s="24"/>
      <c r="AN9" s="24"/>
      <c r="AO9" s="24"/>
      <c r="AP9" s="24"/>
      <c r="AQ9" s="24"/>
      <c r="AR9" s="24"/>
      <c r="AS9" s="24"/>
      <c r="AT9" s="24" t="s">
        <v>68</v>
      </c>
    </row>
    <row r="10" spans="1:46" x14ac:dyDescent="0.3">
      <c r="A10" s="24"/>
      <c r="B10" s="24"/>
      <c r="C10" s="24"/>
      <c r="D10" s="24"/>
      <c r="E10" s="24"/>
      <c r="F10" s="2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50"/>
      <c r="AM10" s="24"/>
      <c r="AN10" s="24"/>
      <c r="AO10" s="24"/>
      <c r="AP10" s="24"/>
      <c r="AQ10" s="24"/>
      <c r="AR10" s="24"/>
      <c r="AS10" s="24"/>
      <c r="AT10" s="50">
        <v>45658</v>
      </c>
    </row>
    <row r="11" spans="1:46" x14ac:dyDescent="0.3">
      <c r="A11" s="24"/>
      <c r="B11" s="24"/>
      <c r="C11" s="24"/>
      <c r="D11" s="24"/>
      <c r="E11" s="24"/>
      <c r="F11" s="2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50"/>
      <c r="AM11" s="24"/>
      <c r="AN11" s="24"/>
      <c r="AO11" s="24"/>
      <c r="AP11" s="24"/>
      <c r="AQ11" s="24"/>
      <c r="AR11" s="24"/>
      <c r="AS11" s="24"/>
      <c r="AT11" s="50">
        <v>45866</v>
      </c>
    </row>
    <row r="12" spans="1:46" ht="6" customHeight="1" thickBot="1" x14ac:dyDescent="0.35">
      <c r="A12" s="24"/>
      <c r="B12" s="24"/>
      <c r="C12" s="24"/>
      <c r="D12" s="24"/>
      <c r="E12" s="24"/>
      <c r="F12" s="24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24"/>
      <c r="AM12" s="24"/>
      <c r="AN12" s="24"/>
      <c r="AO12" s="24"/>
      <c r="AP12" s="24"/>
      <c r="AQ12" s="24"/>
      <c r="AR12" s="24"/>
      <c r="AS12" s="24"/>
      <c r="AT12" s="50">
        <v>45867</v>
      </c>
    </row>
    <row r="13" spans="1:46" ht="27.6" customHeight="1" thickBot="1" x14ac:dyDescent="0.35">
      <c r="A13" s="24"/>
      <c r="B13" s="24"/>
      <c r="C13" s="24" t="s">
        <v>47</v>
      </c>
      <c r="D13" s="24"/>
      <c r="E13" s="187" t="s">
        <v>52</v>
      </c>
      <c r="F13" s="187"/>
      <c r="G13" s="37" t="str">
        <f t="shared" ref="G13:AK13" si="1">PROPER(LEFT(TEXT(G8,"dddd"),3))</f>
        <v>Mié</v>
      </c>
      <c r="H13" s="37" t="str">
        <f t="shared" si="1"/>
        <v>Jue</v>
      </c>
      <c r="I13" s="37" t="str">
        <f t="shared" si="1"/>
        <v>Vie</v>
      </c>
      <c r="J13" s="37" t="str">
        <f t="shared" si="1"/>
        <v>Sáb</v>
      </c>
      <c r="K13" s="37" t="str">
        <f t="shared" si="1"/>
        <v>Dom</v>
      </c>
      <c r="L13" s="37" t="str">
        <f t="shared" si="1"/>
        <v>Lun</v>
      </c>
      <c r="M13" s="37" t="str">
        <f t="shared" si="1"/>
        <v>Mar</v>
      </c>
      <c r="N13" s="37" t="str">
        <f t="shared" si="1"/>
        <v>Mié</v>
      </c>
      <c r="O13" s="37" t="str">
        <f t="shared" si="1"/>
        <v>Jue</v>
      </c>
      <c r="P13" s="37" t="str">
        <f t="shared" si="1"/>
        <v>Vie</v>
      </c>
      <c r="Q13" s="37" t="str">
        <f t="shared" si="1"/>
        <v>Sáb</v>
      </c>
      <c r="R13" s="37" t="str">
        <f t="shared" si="1"/>
        <v>Dom</v>
      </c>
      <c r="S13" s="37" t="str">
        <f t="shared" si="1"/>
        <v>Lun</v>
      </c>
      <c r="T13" s="37" t="str">
        <f t="shared" si="1"/>
        <v>Mar</v>
      </c>
      <c r="U13" s="37" t="str">
        <f t="shared" si="1"/>
        <v>Mié</v>
      </c>
      <c r="V13" s="37" t="str">
        <f t="shared" si="1"/>
        <v>Jue</v>
      </c>
      <c r="W13" s="37" t="str">
        <f t="shared" si="1"/>
        <v>Vie</v>
      </c>
      <c r="X13" s="37" t="str">
        <f t="shared" si="1"/>
        <v>Sáb</v>
      </c>
      <c r="Y13" s="37" t="str">
        <f t="shared" si="1"/>
        <v>Dom</v>
      </c>
      <c r="Z13" s="37" t="str">
        <f t="shared" si="1"/>
        <v>Lun</v>
      </c>
      <c r="AA13" s="37" t="str">
        <f t="shared" si="1"/>
        <v>Mar</v>
      </c>
      <c r="AB13" s="37" t="str">
        <f t="shared" si="1"/>
        <v>Mié</v>
      </c>
      <c r="AC13" s="37" t="str">
        <f t="shared" si="1"/>
        <v>Jue</v>
      </c>
      <c r="AD13" s="37" t="str">
        <f t="shared" si="1"/>
        <v>Vie</v>
      </c>
      <c r="AE13" s="37" t="str">
        <f t="shared" si="1"/>
        <v>Sáb</v>
      </c>
      <c r="AF13" s="37" t="str">
        <f t="shared" si="1"/>
        <v>Dom</v>
      </c>
      <c r="AG13" s="37" t="str">
        <f t="shared" si="1"/>
        <v>Lun</v>
      </c>
      <c r="AH13" s="37" t="str">
        <f t="shared" si="1"/>
        <v>Mar</v>
      </c>
      <c r="AI13" s="37" t="str">
        <f t="shared" si="1"/>
        <v>Mié</v>
      </c>
      <c r="AJ13" s="37" t="str">
        <f t="shared" si="1"/>
        <v>Jue</v>
      </c>
      <c r="AK13" s="37" t="str">
        <f t="shared" si="1"/>
        <v>Vie</v>
      </c>
      <c r="AL13" s="24"/>
      <c r="AM13" s="81" t="s">
        <v>80</v>
      </c>
      <c r="AN13" s="75"/>
      <c r="AO13" s="82" t="s">
        <v>81</v>
      </c>
      <c r="AP13" s="76"/>
      <c r="AQ13" s="115" t="s">
        <v>82</v>
      </c>
      <c r="AR13" s="77"/>
      <c r="AS13" s="84" t="s">
        <v>7</v>
      </c>
      <c r="AT13" s="50">
        <v>45962</v>
      </c>
    </row>
    <row r="14" spans="1:46" ht="6" customHeight="1" thickBot="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50">
        <v>46016</v>
      </c>
    </row>
    <row r="15" spans="1:46" ht="27.6" customHeight="1" x14ac:dyDescent="0.3">
      <c r="A15" s="24"/>
      <c r="B15" s="24"/>
      <c r="C15" s="55" t="s">
        <v>102</v>
      </c>
      <c r="D15" s="24"/>
      <c r="E15" s="193" t="str">
        <f>IFERROR(VLOOKUP(C15,'DATOS GRALES 1'!$B$2:$E$52,4,0),"")</f>
        <v>RESIDENTE</v>
      </c>
      <c r="F15" s="194"/>
      <c r="G15" s="67" t="s">
        <v>67</v>
      </c>
      <c r="H15" s="68" t="s">
        <v>67</v>
      </c>
      <c r="I15" s="68" t="s">
        <v>67</v>
      </c>
      <c r="J15" s="68"/>
      <c r="K15" s="68"/>
      <c r="L15" s="68" t="s">
        <v>141</v>
      </c>
      <c r="M15" s="68" t="s">
        <v>67</v>
      </c>
      <c r="N15" s="68" t="s">
        <v>67</v>
      </c>
      <c r="O15" s="68" t="s">
        <v>67</v>
      </c>
      <c r="P15" s="68" t="s">
        <v>67</v>
      </c>
      <c r="Q15" s="68"/>
      <c r="R15" s="68"/>
      <c r="S15" s="68" t="s">
        <v>67</v>
      </c>
      <c r="T15" s="68" t="s">
        <v>67</v>
      </c>
      <c r="U15" s="68" t="s">
        <v>67</v>
      </c>
      <c r="V15" s="68" t="s">
        <v>67</v>
      </c>
      <c r="W15" s="68" t="s">
        <v>78</v>
      </c>
      <c r="X15" s="68" t="s">
        <v>78</v>
      </c>
      <c r="Y15" s="68"/>
      <c r="Z15" s="68" t="s">
        <v>78</v>
      </c>
      <c r="AA15" s="68" t="s">
        <v>67</v>
      </c>
      <c r="AB15" s="68" t="s">
        <v>67</v>
      </c>
      <c r="AC15" s="68" t="s">
        <v>67</v>
      </c>
      <c r="AD15" s="68" t="s">
        <v>67</v>
      </c>
      <c r="AE15" s="68"/>
      <c r="AF15" s="68"/>
      <c r="AG15" s="68" t="s">
        <v>67</v>
      </c>
      <c r="AH15" s="68" t="s">
        <v>67</v>
      </c>
      <c r="AI15" s="68" t="s">
        <v>67</v>
      </c>
      <c r="AJ15" s="68" t="s">
        <v>67</v>
      </c>
      <c r="AK15" s="69" t="s">
        <v>67</v>
      </c>
      <c r="AL15" s="24"/>
      <c r="AM15" s="78">
        <f t="shared" ref="AM15:AM22" si="2">IF(COUNTIF(G15:AK15,"SI")=0,"",COUNTIF(G15:AK15,"SI"))</f>
        <v>21</v>
      </c>
      <c r="AN15" s="54"/>
      <c r="AO15" s="78">
        <f t="shared" ref="AO15:AO22" si="3">IF(COUNTIF(G15:AK15,"NO")=0,"",COUNTIF(G15:AK15,"NO"))</f>
        <v>3</v>
      </c>
      <c r="AP15" s="24"/>
      <c r="AQ15" s="78" t="str">
        <f t="shared" ref="AQ15:AQ22" si="4">IF(COUNTIF(G15:AK15,"MED")=0,"",COUNTIF(G15:AK15,"MED"))</f>
        <v/>
      </c>
      <c r="AR15" s="54"/>
      <c r="AS15" s="78">
        <f t="shared" ref="AS15:AS22" si="5">IF(SUM(AM15:AQ15)=0,"",SUM(AM15:AQ15))</f>
        <v>24</v>
      </c>
      <c r="AT15" s="50">
        <v>46022</v>
      </c>
    </row>
    <row r="16" spans="1:46" ht="27.6" customHeight="1" thickBot="1" x14ac:dyDescent="0.35">
      <c r="A16" s="24"/>
      <c r="B16" s="24"/>
      <c r="C16" s="56" t="s">
        <v>95</v>
      </c>
      <c r="D16" s="24"/>
      <c r="E16" s="195" t="str">
        <f>IFERROR(VLOOKUP(C16,'DATOS GRALES 1'!$B$2:$E$52,4,0),"")</f>
        <v>ING. CALIDAD</v>
      </c>
      <c r="F16" s="196"/>
      <c r="G16" s="70" t="s">
        <v>67</v>
      </c>
      <c r="H16" s="53" t="s">
        <v>67</v>
      </c>
      <c r="I16" s="53" t="s">
        <v>67</v>
      </c>
      <c r="J16" s="53"/>
      <c r="K16" s="53"/>
      <c r="L16" s="53" t="s">
        <v>141</v>
      </c>
      <c r="M16" s="53" t="s">
        <v>67</v>
      </c>
      <c r="N16" s="53" t="s">
        <v>67</v>
      </c>
      <c r="O16" s="53" t="s">
        <v>67</v>
      </c>
      <c r="P16" s="53" t="s">
        <v>78</v>
      </c>
      <c r="Q16" s="53"/>
      <c r="R16" s="53"/>
      <c r="S16" s="53" t="s">
        <v>67</v>
      </c>
      <c r="T16" s="53" t="s">
        <v>67</v>
      </c>
      <c r="U16" s="53" t="s">
        <v>67</v>
      </c>
      <c r="V16" s="53" t="s">
        <v>67</v>
      </c>
      <c r="W16" s="53" t="s">
        <v>67</v>
      </c>
      <c r="X16" s="53" t="s">
        <v>78</v>
      </c>
      <c r="Y16" s="53"/>
      <c r="Z16" s="53" t="s">
        <v>67</v>
      </c>
      <c r="AA16" s="53" t="s">
        <v>67</v>
      </c>
      <c r="AB16" s="53" t="s">
        <v>67</v>
      </c>
      <c r="AC16" s="53" t="s">
        <v>67</v>
      </c>
      <c r="AD16" s="53" t="s">
        <v>67</v>
      </c>
      <c r="AE16" s="53"/>
      <c r="AF16" s="53"/>
      <c r="AG16" s="53" t="s">
        <v>67</v>
      </c>
      <c r="AH16" s="53" t="s">
        <v>67</v>
      </c>
      <c r="AI16" s="53" t="s">
        <v>67</v>
      </c>
      <c r="AJ16" s="53" t="s">
        <v>67</v>
      </c>
      <c r="AK16" s="71" t="s">
        <v>67</v>
      </c>
      <c r="AL16" s="24"/>
      <c r="AM16" s="79">
        <f t="shared" si="2"/>
        <v>22</v>
      </c>
      <c r="AN16" s="54"/>
      <c r="AO16" s="79">
        <f t="shared" si="3"/>
        <v>2</v>
      </c>
      <c r="AP16" s="24"/>
      <c r="AQ16" s="79" t="str">
        <f t="shared" si="4"/>
        <v/>
      </c>
      <c r="AR16" s="54"/>
      <c r="AS16" s="79">
        <f t="shared" si="5"/>
        <v>24</v>
      </c>
      <c r="AT16" s="24"/>
    </row>
    <row r="17" spans="1:47" ht="27.6" customHeight="1" x14ac:dyDescent="0.3">
      <c r="A17" s="24"/>
      <c r="B17" s="24"/>
      <c r="C17" s="56" t="s">
        <v>98</v>
      </c>
      <c r="D17" s="24"/>
      <c r="E17" s="195" t="str">
        <f>IFERROR(VLOOKUP(C17,'DATOS GRALES 1'!$B$2:$E$52,4,0),"")</f>
        <v>ASIS. ING.</v>
      </c>
      <c r="F17" s="196"/>
      <c r="G17" s="70" t="s">
        <v>67</v>
      </c>
      <c r="H17" s="53" t="s">
        <v>67</v>
      </c>
      <c r="I17" s="53" t="s">
        <v>67</v>
      </c>
      <c r="J17" s="53"/>
      <c r="K17" s="53"/>
      <c r="L17" s="53" t="s">
        <v>67</v>
      </c>
      <c r="M17" s="53" t="s">
        <v>67</v>
      </c>
      <c r="N17" s="53" t="s">
        <v>67</v>
      </c>
      <c r="O17" s="68" t="s">
        <v>67</v>
      </c>
      <c r="P17" s="53" t="s">
        <v>67</v>
      </c>
      <c r="Q17" s="53"/>
      <c r="R17" s="53"/>
      <c r="S17" s="53" t="s">
        <v>67</v>
      </c>
      <c r="T17" s="53" t="s">
        <v>67</v>
      </c>
      <c r="U17" s="53" t="s">
        <v>67</v>
      </c>
      <c r="V17" s="53" t="s">
        <v>67</v>
      </c>
      <c r="W17" s="53" t="s">
        <v>67</v>
      </c>
      <c r="X17" s="53" t="s">
        <v>67</v>
      </c>
      <c r="Y17" s="53"/>
      <c r="Z17" s="53" t="s">
        <v>67</v>
      </c>
      <c r="AA17" s="53" t="s">
        <v>67</v>
      </c>
      <c r="AB17" s="53" t="s">
        <v>67</v>
      </c>
      <c r="AC17" s="53" t="s">
        <v>67</v>
      </c>
      <c r="AD17" s="53" t="s">
        <v>67</v>
      </c>
      <c r="AE17" s="53"/>
      <c r="AF17" s="53"/>
      <c r="AG17" s="53" t="s">
        <v>67</v>
      </c>
      <c r="AH17" s="53" t="s">
        <v>67</v>
      </c>
      <c r="AI17" s="53" t="s">
        <v>67</v>
      </c>
      <c r="AJ17" s="53" t="s">
        <v>67</v>
      </c>
      <c r="AK17" s="71" t="s">
        <v>67</v>
      </c>
      <c r="AL17" s="24"/>
      <c r="AM17" s="79">
        <f t="shared" si="2"/>
        <v>24</v>
      </c>
      <c r="AN17" s="54"/>
      <c r="AO17" s="79" t="str">
        <f t="shared" si="3"/>
        <v/>
      </c>
      <c r="AP17" s="24"/>
      <c r="AQ17" s="79" t="str">
        <f t="shared" si="4"/>
        <v/>
      </c>
      <c r="AR17" s="54"/>
      <c r="AS17" s="79">
        <f t="shared" si="5"/>
        <v>24</v>
      </c>
      <c r="AT17" s="24"/>
    </row>
    <row r="18" spans="1:47" ht="27.6" customHeight="1" thickBot="1" x14ac:dyDescent="0.35">
      <c r="A18" s="24"/>
      <c r="B18" s="24"/>
      <c r="C18" s="132" t="s">
        <v>92</v>
      </c>
      <c r="D18" s="24"/>
      <c r="E18" s="195" t="str">
        <f>IFERROR(VLOOKUP(C18,'DATOS GRALES 1'!$B$2:$E$52,4,0),"")</f>
        <v>LOGISTICO</v>
      </c>
      <c r="F18" s="196"/>
      <c r="G18" s="70" t="s">
        <v>67</v>
      </c>
      <c r="H18" s="53" t="s">
        <v>67</v>
      </c>
      <c r="I18" s="53" t="s">
        <v>67</v>
      </c>
      <c r="J18" s="53"/>
      <c r="K18" s="53"/>
      <c r="L18" s="53" t="s">
        <v>67</v>
      </c>
      <c r="M18" s="53" t="s">
        <v>67</v>
      </c>
      <c r="N18" s="53" t="s">
        <v>67</v>
      </c>
      <c r="O18" s="53" t="s">
        <v>67</v>
      </c>
      <c r="P18" s="53" t="s">
        <v>67</v>
      </c>
      <c r="Q18" s="53"/>
      <c r="R18" s="53"/>
      <c r="S18" s="53" t="s">
        <v>67</v>
      </c>
      <c r="T18" s="53" t="s">
        <v>132</v>
      </c>
      <c r="U18" s="53" t="s">
        <v>67</v>
      </c>
      <c r="V18" s="53" t="s">
        <v>67</v>
      </c>
      <c r="W18" s="53" t="s">
        <v>67</v>
      </c>
      <c r="X18" s="53" t="s">
        <v>78</v>
      </c>
      <c r="Y18" s="53"/>
      <c r="Z18" s="53" t="s">
        <v>67</v>
      </c>
      <c r="AA18" s="53" t="s">
        <v>67</v>
      </c>
      <c r="AB18" s="53" t="s">
        <v>67</v>
      </c>
      <c r="AC18" s="53" t="s">
        <v>67</v>
      </c>
      <c r="AD18" s="53" t="s">
        <v>67</v>
      </c>
      <c r="AE18" s="53"/>
      <c r="AF18" s="53"/>
      <c r="AG18" s="53" t="s">
        <v>67</v>
      </c>
      <c r="AH18" s="53" t="s">
        <v>67</v>
      </c>
      <c r="AI18" s="53" t="s">
        <v>67</v>
      </c>
      <c r="AJ18" s="53" t="s">
        <v>67</v>
      </c>
      <c r="AK18" s="71" t="s">
        <v>67</v>
      </c>
      <c r="AL18" s="24"/>
      <c r="AM18" s="79">
        <f t="shared" si="2"/>
        <v>22</v>
      </c>
      <c r="AN18" s="54"/>
      <c r="AO18" s="79">
        <f t="shared" si="3"/>
        <v>1</v>
      </c>
      <c r="AP18" s="24"/>
      <c r="AQ18" s="79">
        <f t="shared" si="4"/>
        <v>1</v>
      </c>
      <c r="AR18" s="54"/>
      <c r="AS18" s="79">
        <f t="shared" si="5"/>
        <v>24</v>
      </c>
      <c r="AT18" s="24"/>
    </row>
    <row r="19" spans="1:47" ht="27.6" customHeight="1" x14ac:dyDescent="0.3">
      <c r="A19" s="24"/>
      <c r="B19" s="24"/>
      <c r="C19" s="56" t="s">
        <v>100</v>
      </c>
      <c r="D19" s="24"/>
      <c r="E19" s="195" t="str">
        <f>IFERROR(VLOOKUP(C19,'DATOS GRALES 1'!$B$2:$E$52,4,0),"")</f>
        <v>MAESTRO OBRA</v>
      </c>
      <c r="F19" s="196"/>
      <c r="G19" s="70" t="s">
        <v>67</v>
      </c>
      <c r="H19" s="53" t="s">
        <v>67</v>
      </c>
      <c r="I19" s="53" t="s">
        <v>67</v>
      </c>
      <c r="J19" s="53"/>
      <c r="K19" s="53"/>
      <c r="L19" s="53" t="s">
        <v>67</v>
      </c>
      <c r="M19" s="53" t="s">
        <v>67</v>
      </c>
      <c r="N19" s="53" t="s">
        <v>67</v>
      </c>
      <c r="O19" s="68" t="s">
        <v>67</v>
      </c>
      <c r="P19" s="53" t="s">
        <v>67</v>
      </c>
      <c r="Q19" s="53"/>
      <c r="R19" s="53"/>
      <c r="S19" s="53" t="s">
        <v>67</v>
      </c>
      <c r="T19" s="53" t="s">
        <v>67</v>
      </c>
      <c r="U19" s="53" t="s">
        <v>67</v>
      </c>
      <c r="V19" s="53" t="s">
        <v>67</v>
      </c>
      <c r="W19" s="53" t="s">
        <v>67</v>
      </c>
      <c r="X19" s="53" t="s">
        <v>67</v>
      </c>
      <c r="Y19" s="53"/>
      <c r="Z19" s="53" t="s">
        <v>67</v>
      </c>
      <c r="AA19" s="53" t="s">
        <v>67</v>
      </c>
      <c r="AB19" s="53" t="s">
        <v>67</v>
      </c>
      <c r="AC19" s="53" t="s">
        <v>67</v>
      </c>
      <c r="AD19" s="53" t="s">
        <v>67</v>
      </c>
      <c r="AE19" s="53"/>
      <c r="AF19" s="53"/>
      <c r="AG19" s="53" t="s">
        <v>67</v>
      </c>
      <c r="AH19" s="53" t="s">
        <v>67</v>
      </c>
      <c r="AI19" s="53" t="s">
        <v>67</v>
      </c>
      <c r="AJ19" s="53" t="s">
        <v>67</v>
      </c>
      <c r="AK19" s="71" t="s">
        <v>67</v>
      </c>
      <c r="AL19" s="24"/>
      <c r="AM19" s="79">
        <f t="shared" si="2"/>
        <v>24</v>
      </c>
      <c r="AN19" s="54"/>
      <c r="AO19" s="79" t="str">
        <f t="shared" si="3"/>
        <v/>
      </c>
      <c r="AP19" s="24"/>
      <c r="AQ19" s="79" t="str">
        <f t="shared" si="4"/>
        <v/>
      </c>
      <c r="AR19" s="54"/>
      <c r="AS19" s="79">
        <f t="shared" si="5"/>
        <v>24</v>
      </c>
      <c r="AT19" s="24"/>
    </row>
    <row r="20" spans="1:47" ht="27.6" customHeight="1" thickBot="1" x14ac:dyDescent="0.35">
      <c r="A20" s="24"/>
      <c r="B20" s="24"/>
      <c r="C20" s="56" t="s">
        <v>131</v>
      </c>
      <c r="D20" s="24"/>
      <c r="E20" s="195" t="str">
        <f>IFERROR(VLOOKUP(C20,'DATOS GRALES 1'!$B$2:$E$52,4,0),"")</f>
        <v>TOPOGRAFO</v>
      </c>
      <c r="F20" s="196"/>
      <c r="G20" s="70" t="s">
        <v>67</v>
      </c>
      <c r="H20" s="53" t="s">
        <v>67</v>
      </c>
      <c r="I20" s="53" t="s">
        <v>67</v>
      </c>
      <c r="J20" s="53"/>
      <c r="K20" s="53"/>
      <c r="L20" s="53" t="s">
        <v>67</v>
      </c>
      <c r="M20" s="53" t="s">
        <v>67</v>
      </c>
      <c r="N20" s="53" t="s">
        <v>67</v>
      </c>
      <c r="O20" s="53" t="s">
        <v>132</v>
      </c>
      <c r="P20" s="53" t="s">
        <v>67</v>
      </c>
      <c r="Q20" s="53"/>
      <c r="R20" s="53"/>
      <c r="S20" s="53" t="s">
        <v>67</v>
      </c>
      <c r="T20" s="53" t="s">
        <v>67</v>
      </c>
      <c r="U20" s="53" t="s">
        <v>67</v>
      </c>
      <c r="V20" s="53" t="s">
        <v>67</v>
      </c>
      <c r="W20" s="53" t="s">
        <v>67</v>
      </c>
      <c r="X20" s="53" t="s">
        <v>67</v>
      </c>
      <c r="Y20" s="53"/>
      <c r="Z20" s="53" t="s">
        <v>67</v>
      </c>
      <c r="AA20" s="53" t="s">
        <v>67</v>
      </c>
      <c r="AB20" s="53" t="s">
        <v>67</v>
      </c>
      <c r="AC20" s="53" t="s">
        <v>67</v>
      </c>
      <c r="AD20" s="53" t="s">
        <v>67</v>
      </c>
      <c r="AE20" s="53"/>
      <c r="AF20" s="53"/>
      <c r="AG20" s="53" t="s">
        <v>67</v>
      </c>
      <c r="AH20" s="53" t="s">
        <v>67</v>
      </c>
      <c r="AI20" s="53" t="s">
        <v>67</v>
      </c>
      <c r="AJ20" s="53" t="s">
        <v>67</v>
      </c>
      <c r="AK20" s="71" t="s">
        <v>67</v>
      </c>
      <c r="AL20" s="24"/>
      <c r="AM20" s="79">
        <f t="shared" si="2"/>
        <v>23</v>
      </c>
      <c r="AN20" s="54"/>
      <c r="AO20" s="79" t="str">
        <f t="shared" si="3"/>
        <v/>
      </c>
      <c r="AP20" s="24"/>
      <c r="AQ20" s="79">
        <f t="shared" si="4"/>
        <v>1</v>
      </c>
      <c r="AR20" s="54"/>
      <c r="AS20" s="79">
        <f t="shared" si="5"/>
        <v>24</v>
      </c>
      <c r="AT20" s="24"/>
    </row>
    <row r="21" spans="1:47" ht="28.2" customHeight="1" x14ac:dyDescent="0.3">
      <c r="A21" s="24"/>
      <c r="B21" s="24"/>
      <c r="C21" s="56" t="s">
        <v>139</v>
      </c>
      <c r="D21" s="24"/>
      <c r="E21" s="195" t="str">
        <f>IFERROR(VLOOKUP(C21,'DATOS GRALES 1'!$B$2:$E$52,4,0),"")</f>
        <v>ESP. SEGURIDAD</v>
      </c>
      <c r="F21" s="196"/>
      <c r="G21" s="70" t="s">
        <v>67</v>
      </c>
      <c r="H21" s="53" t="s">
        <v>67</v>
      </c>
      <c r="I21" s="53" t="s">
        <v>67</v>
      </c>
      <c r="J21" s="53"/>
      <c r="K21" s="53"/>
      <c r="L21" s="53" t="s">
        <v>67</v>
      </c>
      <c r="M21" s="53" t="s">
        <v>67</v>
      </c>
      <c r="N21" s="53" t="s">
        <v>67</v>
      </c>
      <c r="O21" s="68" t="s">
        <v>67</v>
      </c>
      <c r="P21" s="53" t="s">
        <v>67</v>
      </c>
      <c r="Q21" s="53"/>
      <c r="R21" s="53"/>
      <c r="S21" s="53" t="s">
        <v>67</v>
      </c>
      <c r="T21" s="53" t="s">
        <v>67</v>
      </c>
      <c r="U21" s="53" t="s">
        <v>67</v>
      </c>
      <c r="V21" s="53" t="s">
        <v>67</v>
      </c>
      <c r="W21" s="53" t="s">
        <v>67</v>
      </c>
      <c r="X21" s="53" t="s">
        <v>78</v>
      </c>
      <c r="Y21" s="53"/>
      <c r="Z21" s="53" t="s">
        <v>67</v>
      </c>
      <c r="AA21" s="53" t="s">
        <v>67</v>
      </c>
      <c r="AB21" s="53" t="s">
        <v>67</v>
      </c>
      <c r="AC21" s="53" t="s">
        <v>67</v>
      </c>
      <c r="AD21" s="53" t="s">
        <v>67</v>
      </c>
      <c r="AE21" s="53"/>
      <c r="AF21" s="53"/>
      <c r="AG21" s="53" t="s">
        <v>67</v>
      </c>
      <c r="AH21" s="53" t="s">
        <v>67</v>
      </c>
      <c r="AI21" s="53" t="s">
        <v>67</v>
      </c>
      <c r="AJ21" s="53" t="s">
        <v>67</v>
      </c>
      <c r="AK21" s="71" t="s">
        <v>67</v>
      </c>
      <c r="AL21" s="24"/>
      <c r="AM21" s="79">
        <f t="shared" si="2"/>
        <v>23</v>
      </c>
      <c r="AN21" s="54"/>
      <c r="AO21" s="79">
        <f t="shared" si="3"/>
        <v>1</v>
      </c>
      <c r="AP21" s="24"/>
      <c r="AQ21" s="79" t="str">
        <f t="shared" si="4"/>
        <v/>
      </c>
      <c r="AR21" s="54"/>
      <c r="AS21" s="79">
        <f t="shared" si="5"/>
        <v>24</v>
      </c>
      <c r="AT21" s="24"/>
    </row>
    <row r="22" spans="1:47" ht="10.95" customHeight="1" x14ac:dyDescent="0.3">
      <c r="A22" s="24"/>
      <c r="B22" s="24"/>
      <c r="C22" s="56"/>
      <c r="D22" s="24"/>
      <c r="E22" s="195" t="str">
        <f>IFERROR(VLOOKUP(C22,'DATOS GRALES 1'!$B$2:$E$52,4,0),"")</f>
        <v/>
      </c>
      <c r="F22" s="196"/>
      <c r="G22" s="70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71"/>
      <c r="AL22" s="24"/>
      <c r="AM22" s="79" t="str">
        <f t="shared" si="2"/>
        <v/>
      </c>
      <c r="AN22" s="54"/>
      <c r="AO22" s="79" t="str">
        <f t="shared" si="3"/>
        <v/>
      </c>
      <c r="AP22" s="24"/>
      <c r="AQ22" s="79" t="str">
        <f t="shared" si="4"/>
        <v/>
      </c>
      <c r="AR22" s="54"/>
      <c r="AS22" s="79" t="str">
        <f t="shared" si="5"/>
        <v/>
      </c>
      <c r="AT22" s="24"/>
    </row>
    <row r="23" spans="1:47" ht="27.6" customHeight="1" x14ac:dyDescent="0.3">
      <c r="A23" s="24"/>
      <c r="B23" s="24"/>
      <c r="C23" s="86" t="s">
        <v>83</v>
      </c>
      <c r="D23" s="24"/>
      <c r="E23" s="197"/>
      <c r="F23" s="198"/>
      <c r="G23" s="91" t="s">
        <v>83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3"/>
      <c r="AL23" s="24"/>
      <c r="AM23" s="79"/>
      <c r="AN23" s="54"/>
      <c r="AO23" s="79"/>
      <c r="AP23" s="51"/>
      <c r="AQ23" s="79"/>
      <c r="AR23" s="54"/>
      <c r="AS23" s="79"/>
      <c r="AT23" s="24"/>
    </row>
    <row r="24" spans="1:47" ht="27.6" customHeight="1" x14ac:dyDescent="0.3">
      <c r="A24" s="24"/>
      <c r="B24" s="24"/>
      <c r="C24" s="56" t="s">
        <v>18</v>
      </c>
      <c r="D24" s="24"/>
      <c r="E24" s="191" t="str">
        <f>IFERROR(VLOOKUP(C24,'DATOS GRALES 1'!$B$2:$E$52,4,0),"")</f>
        <v>PEON</v>
      </c>
      <c r="F24" s="192"/>
      <c r="G24" s="70" t="s">
        <v>67</v>
      </c>
      <c r="H24" s="53" t="s">
        <v>67</v>
      </c>
      <c r="I24" s="53" t="s">
        <v>67</v>
      </c>
      <c r="J24" s="53"/>
      <c r="K24" s="53"/>
      <c r="L24" s="53" t="s">
        <v>67</v>
      </c>
      <c r="M24" s="53" t="s">
        <v>67</v>
      </c>
      <c r="N24" s="53" t="s">
        <v>67</v>
      </c>
      <c r="O24" s="53" t="s">
        <v>67</v>
      </c>
      <c r="P24" s="53" t="s">
        <v>67</v>
      </c>
      <c r="Q24" s="53"/>
      <c r="R24" s="53"/>
      <c r="S24" s="53" t="s">
        <v>78</v>
      </c>
      <c r="T24" s="53" t="s">
        <v>67</v>
      </c>
      <c r="U24" s="53" t="s">
        <v>67</v>
      </c>
      <c r="V24" s="53" t="s">
        <v>67</v>
      </c>
      <c r="W24" s="53" t="s">
        <v>67</v>
      </c>
      <c r="X24" s="53" t="s">
        <v>67</v>
      </c>
      <c r="Y24" s="53"/>
      <c r="Z24" s="53" t="s">
        <v>67</v>
      </c>
      <c r="AA24" s="53" t="s">
        <v>67</v>
      </c>
      <c r="AB24" s="53" t="s">
        <v>67</v>
      </c>
      <c r="AC24" s="53" t="s">
        <v>67</v>
      </c>
      <c r="AD24" s="53" t="s">
        <v>67</v>
      </c>
      <c r="AE24" s="53"/>
      <c r="AF24" s="53"/>
      <c r="AG24" s="53" t="s">
        <v>67</v>
      </c>
      <c r="AH24" s="53" t="s">
        <v>67</v>
      </c>
      <c r="AI24" s="53" t="s">
        <v>67</v>
      </c>
      <c r="AJ24" s="53" t="s">
        <v>67</v>
      </c>
      <c r="AK24" s="71" t="s">
        <v>67</v>
      </c>
      <c r="AL24" s="24"/>
      <c r="AM24" s="79">
        <f t="shared" ref="AM24:AM51" si="6">IF(COUNTIF(G24:AK24,"SI")=0,"",COUNTIF(G24:AK24,"SI"))</f>
        <v>23</v>
      </c>
      <c r="AN24" s="54"/>
      <c r="AO24" s="79">
        <f t="shared" ref="AO24:AO51" si="7">IF(COUNTIF(G24:AK24,"NO")=0,"",COUNTIF(G24:AK24,"NO"))</f>
        <v>1</v>
      </c>
      <c r="AP24" s="24"/>
      <c r="AQ24" s="79" t="str">
        <f t="shared" ref="AQ24:AQ51" si="8">IF(COUNTIF(G24:AK24,"MED")=0,"",COUNTIF(G24:AK24,"MED"))</f>
        <v/>
      </c>
      <c r="AR24" s="54"/>
      <c r="AS24" s="79">
        <f t="shared" ref="AS24:AS51" si="9">IF(SUM(AM24:AQ24)=0,"",SUM(AM24:AQ24))</f>
        <v>24</v>
      </c>
      <c r="AT24" s="24"/>
    </row>
    <row r="25" spans="1:47" ht="27.6" customHeight="1" x14ac:dyDescent="0.3">
      <c r="A25" s="24"/>
      <c r="B25" s="24"/>
      <c r="C25" s="56" t="s">
        <v>16</v>
      </c>
      <c r="D25" s="24"/>
      <c r="E25" s="191" t="str">
        <f>IFERROR(VLOOKUP(C25,'DATOS GRALES 1'!$B$2:$E$52,4,0),"")</f>
        <v>PEON</v>
      </c>
      <c r="F25" s="192"/>
      <c r="G25" s="70" t="s">
        <v>67</v>
      </c>
      <c r="H25" s="53" t="s">
        <v>67</v>
      </c>
      <c r="I25" s="53" t="s">
        <v>67</v>
      </c>
      <c r="J25" s="53"/>
      <c r="K25" s="53"/>
      <c r="L25" s="53" t="s">
        <v>67</v>
      </c>
      <c r="M25" s="53" t="s">
        <v>67</v>
      </c>
      <c r="N25" s="53" t="s">
        <v>67</v>
      </c>
      <c r="O25" s="53" t="s">
        <v>67</v>
      </c>
      <c r="P25" s="53" t="s">
        <v>67</v>
      </c>
      <c r="Q25" s="53"/>
      <c r="R25" s="53"/>
      <c r="S25" s="53" t="s">
        <v>78</v>
      </c>
      <c r="T25" s="53" t="s">
        <v>67</v>
      </c>
      <c r="U25" s="53" t="s">
        <v>67</v>
      </c>
      <c r="V25" s="53" t="s">
        <v>67</v>
      </c>
      <c r="W25" s="53" t="s">
        <v>67</v>
      </c>
      <c r="X25" s="53" t="s">
        <v>67</v>
      </c>
      <c r="Y25" s="53"/>
      <c r="Z25" s="53" t="s">
        <v>67</v>
      </c>
      <c r="AA25" s="53" t="s">
        <v>67</v>
      </c>
      <c r="AB25" s="53" t="s">
        <v>67</v>
      </c>
      <c r="AC25" s="53" t="s">
        <v>67</v>
      </c>
      <c r="AD25" s="53" t="s">
        <v>67</v>
      </c>
      <c r="AE25" s="53"/>
      <c r="AF25" s="53"/>
      <c r="AG25" s="53" t="s">
        <v>78</v>
      </c>
      <c r="AH25" s="53" t="s">
        <v>67</v>
      </c>
      <c r="AI25" s="53" t="s">
        <v>67</v>
      </c>
      <c r="AJ25" s="53" t="s">
        <v>67</v>
      </c>
      <c r="AK25" s="71" t="s">
        <v>67</v>
      </c>
      <c r="AL25" s="24"/>
      <c r="AM25" s="79">
        <f t="shared" si="6"/>
        <v>22</v>
      </c>
      <c r="AN25" s="54"/>
      <c r="AO25" s="79">
        <f t="shared" si="7"/>
        <v>2</v>
      </c>
      <c r="AP25" s="24"/>
      <c r="AQ25" s="79" t="str">
        <f t="shared" si="8"/>
        <v/>
      </c>
      <c r="AR25" s="54"/>
      <c r="AS25" s="79">
        <f t="shared" si="9"/>
        <v>24</v>
      </c>
      <c r="AT25" s="24"/>
      <c r="AU25" t="s">
        <v>229</v>
      </c>
    </row>
    <row r="26" spans="1:47" ht="27.6" customHeight="1" x14ac:dyDescent="0.3">
      <c r="A26" s="24"/>
      <c r="B26" s="24"/>
      <c r="C26" s="56" t="s">
        <v>17</v>
      </c>
      <c r="D26" s="24"/>
      <c r="E26" s="191" t="str">
        <f>IFERROR(VLOOKUP(C26,'DATOS GRALES 1'!$B$2:$E$52,4,0),"")</f>
        <v>PEON</v>
      </c>
      <c r="F26" s="192"/>
      <c r="G26" s="70" t="s">
        <v>67</v>
      </c>
      <c r="H26" s="53" t="s">
        <v>67</v>
      </c>
      <c r="I26" s="53" t="s">
        <v>67</v>
      </c>
      <c r="J26" s="53"/>
      <c r="K26" s="53"/>
      <c r="L26" s="53" t="s">
        <v>67</v>
      </c>
      <c r="M26" s="53" t="s">
        <v>67</v>
      </c>
      <c r="N26" s="53" t="s">
        <v>67</v>
      </c>
      <c r="O26" s="53" t="s">
        <v>67</v>
      </c>
      <c r="P26" s="53" t="s">
        <v>67</v>
      </c>
      <c r="Q26" s="53"/>
      <c r="R26" s="53"/>
      <c r="S26" s="53" t="s">
        <v>78</v>
      </c>
      <c r="T26" s="53" t="s">
        <v>67</v>
      </c>
      <c r="U26" s="53" t="s">
        <v>67</v>
      </c>
      <c r="V26" s="53" t="s">
        <v>67</v>
      </c>
      <c r="W26" s="53" t="s">
        <v>67</v>
      </c>
      <c r="X26" s="53" t="s">
        <v>67</v>
      </c>
      <c r="Y26" s="53"/>
      <c r="Z26" s="53" t="s">
        <v>67</v>
      </c>
      <c r="AA26" s="53" t="s">
        <v>67</v>
      </c>
      <c r="AB26" s="53" t="s">
        <v>67</v>
      </c>
      <c r="AC26" s="53" t="s">
        <v>78</v>
      </c>
      <c r="AD26" s="53" t="s">
        <v>67</v>
      </c>
      <c r="AE26" s="53"/>
      <c r="AF26" s="53"/>
      <c r="AG26" s="53" t="s">
        <v>67</v>
      </c>
      <c r="AH26" s="53" t="s">
        <v>67</v>
      </c>
      <c r="AI26" s="53" t="s">
        <v>67</v>
      </c>
      <c r="AJ26" s="53" t="s">
        <v>67</v>
      </c>
      <c r="AK26" s="71" t="s">
        <v>67</v>
      </c>
      <c r="AL26" s="24"/>
      <c r="AM26" s="79">
        <f t="shared" si="6"/>
        <v>22</v>
      </c>
      <c r="AN26" s="54"/>
      <c r="AO26" s="79">
        <f t="shared" si="7"/>
        <v>2</v>
      </c>
      <c r="AP26" s="24"/>
      <c r="AQ26" s="79" t="str">
        <f t="shared" si="8"/>
        <v/>
      </c>
      <c r="AR26" s="54"/>
      <c r="AS26" s="79">
        <f t="shared" si="9"/>
        <v>24</v>
      </c>
      <c r="AT26" s="24"/>
    </row>
    <row r="27" spans="1:47" ht="27.6" customHeight="1" x14ac:dyDescent="0.3">
      <c r="A27" s="24"/>
      <c r="B27" s="24"/>
      <c r="C27" s="56" t="s">
        <v>22</v>
      </c>
      <c r="D27" s="24"/>
      <c r="E27" s="191" t="str">
        <f>IFERROR(VLOOKUP(C27,'DATOS GRALES 1'!$B$2:$E$52,4,0),"")</f>
        <v>PEON</v>
      </c>
      <c r="F27" s="192"/>
      <c r="G27" s="70" t="s">
        <v>67</v>
      </c>
      <c r="H27" s="53" t="s">
        <v>67</v>
      </c>
      <c r="I27" s="53" t="s">
        <v>67</v>
      </c>
      <c r="J27" s="53"/>
      <c r="K27" s="53"/>
      <c r="L27" s="53" t="s">
        <v>67</v>
      </c>
      <c r="M27" s="53" t="s">
        <v>67</v>
      </c>
      <c r="N27" s="53" t="s">
        <v>67</v>
      </c>
      <c r="O27" s="53" t="s">
        <v>67</v>
      </c>
      <c r="P27" s="53" t="s">
        <v>67</v>
      </c>
      <c r="Q27" s="53"/>
      <c r="R27" s="53"/>
      <c r="S27" s="53" t="s">
        <v>78</v>
      </c>
      <c r="T27" s="53" t="s">
        <v>67</v>
      </c>
      <c r="U27" s="53" t="s">
        <v>67</v>
      </c>
      <c r="V27" s="53" t="s">
        <v>67</v>
      </c>
      <c r="W27" s="53" t="s">
        <v>67</v>
      </c>
      <c r="X27" s="53" t="s">
        <v>67</v>
      </c>
      <c r="Y27" s="53"/>
      <c r="Z27" s="53" t="s">
        <v>78</v>
      </c>
      <c r="AA27" s="53" t="s">
        <v>67</v>
      </c>
      <c r="AB27" s="53" t="s">
        <v>67</v>
      </c>
      <c r="AC27" s="53" t="s">
        <v>78</v>
      </c>
      <c r="AD27" s="53" t="s">
        <v>67</v>
      </c>
      <c r="AE27" s="53"/>
      <c r="AF27" s="53"/>
      <c r="AG27" s="53" t="s">
        <v>67</v>
      </c>
      <c r="AH27" s="53" t="s">
        <v>67</v>
      </c>
      <c r="AI27" s="53" t="s">
        <v>67</v>
      </c>
      <c r="AJ27" s="53" t="s">
        <v>67</v>
      </c>
      <c r="AK27" s="71" t="s">
        <v>67</v>
      </c>
      <c r="AL27" s="24"/>
      <c r="AM27" s="79">
        <f t="shared" si="6"/>
        <v>21</v>
      </c>
      <c r="AN27" s="54"/>
      <c r="AO27" s="79">
        <f t="shared" si="7"/>
        <v>3</v>
      </c>
      <c r="AP27" s="24"/>
      <c r="AQ27" s="79" t="str">
        <f t="shared" si="8"/>
        <v/>
      </c>
      <c r="AR27" s="54"/>
      <c r="AS27" s="79">
        <f t="shared" si="9"/>
        <v>24</v>
      </c>
      <c r="AT27" s="24"/>
    </row>
    <row r="28" spans="1:47" ht="27.6" customHeight="1" x14ac:dyDescent="0.3">
      <c r="A28" s="24"/>
      <c r="B28" s="24"/>
      <c r="C28" s="56" t="s">
        <v>21</v>
      </c>
      <c r="D28" s="24"/>
      <c r="E28" s="191" t="str">
        <f>IFERROR(VLOOKUP(C28,'DATOS GRALES 1'!$B$2:$E$52,4,0),"")</f>
        <v>OPERARIO</v>
      </c>
      <c r="F28" s="192"/>
      <c r="G28" s="70" t="s">
        <v>67</v>
      </c>
      <c r="H28" s="53" t="s">
        <v>67</v>
      </c>
      <c r="I28" s="53" t="s">
        <v>67</v>
      </c>
      <c r="J28" s="53"/>
      <c r="K28" s="53"/>
      <c r="L28" s="53" t="s">
        <v>67</v>
      </c>
      <c r="M28" s="53" t="s">
        <v>67</v>
      </c>
      <c r="N28" s="53" t="s">
        <v>67</v>
      </c>
      <c r="O28" s="53" t="s">
        <v>67</v>
      </c>
      <c r="P28" s="53" t="s">
        <v>67</v>
      </c>
      <c r="Q28" s="53"/>
      <c r="R28" s="53"/>
      <c r="S28" s="53" t="s">
        <v>78</v>
      </c>
      <c r="T28" s="53" t="s">
        <v>67</v>
      </c>
      <c r="U28" s="53" t="s">
        <v>67</v>
      </c>
      <c r="V28" s="53" t="s">
        <v>67</v>
      </c>
      <c r="W28" s="53" t="s">
        <v>67</v>
      </c>
      <c r="X28" s="53" t="s">
        <v>67</v>
      </c>
      <c r="Y28" s="53"/>
      <c r="Z28" s="53" t="s">
        <v>67</v>
      </c>
      <c r="AA28" s="53" t="s">
        <v>67</v>
      </c>
      <c r="AB28" s="53" t="s">
        <v>67</v>
      </c>
      <c r="AC28" s="53" t="s">
        <v>78</v>
      </c>
      <c r="AD28" s="53" t="s">
        <v>67</v>
      </c>
      <c r="AE28" s="53"/>
      <c r="AF28" s="53"/>
      <c r="AG28" s="53" t="s">
        <v>67</v>
      </c>
      <c r="AH28" s="53" t="s">
        <v>67</v>
      </c>
      <c r="AI28" s="53" t="s">
        <v>67</v>
      </c>
      <c r="AJ28" s="53" t="s">
        <v>67</v>
      </c>
      <c r="AK28" s="71" t="s">
        <v>67</v>
      </c>
      <c r="AL28" s="24"/>
      <c r="AM28" s="79">
        <f t="shared" si="6"/>
        <v>22</v>
      </c>
      <c r="AN28" s="54"/>
      <c r="AO28" s="79">
        <f t="shared" si="7"/>
        <v>2</v>
      </c>
      <c r="AP28" s="24"/>
      <c r="AQ28" s="79" t="str">
        <f t="shared" si="8"/>
        <v/>
      </c>
      <c r="AR28" s="54"/>
      <c r="AS28" s="79">
        <f t="shared" si="9"/>
        <v>24</v>
      </c>
      <c r="AT28" s="24"/>
    </row>
    <row r="29" spans="1:47" ht="27.6" customHeight="1" x14ac:dyDescent="0.3">
      <c r="A29" s="24"/>
      <c r="B29" s="24"/>
      <c r="C29" s="56" t="s">
        <v>25</v>
      </c>
      <c r="D29" s="24"/>
      <c r="E29" s="191" t="str">
        <f>IFERROR(VLOOKUP(C29,'DATOS GRALES 1'!$B$2:$E$52,4,0),"")</f>
        <v>PEON</v>
      </c>
      <c r="F29" s="192"/>
      <c r="G29" s="70" t="s">
        <v>67</v>
      </c>
      <c r="H29" s="53" t="s">
        <v>67</v>
      </c>
      <c r="I29" s="53" t="s">
        <v>67</v>
      </c>
      <c r="J29" s="53"/>
      <c r="K29" s="53"/>
      <c r="L29" s="53" t="s">
        <v>67</v>
      </c>
      <c r="M29" s="53" t="s">
        <v>67</v>
      </c>
      <c r="N29" s="53" t="s">
        <v>67</v>
      </c>
      <c r="O29" s="53" t="s">
        <v>67</v>
      </c>
      <c r="P29" s="53" t="s">
        <v>67</v>
      </c>
      <c r="Q29" s="53"/>
      <c r="R29" s="53"/>
      <c r="S29" s="53" t="s">
        <v>78</v>
      </c>
      <c r="T29" s="53" t="s">
        <v>67</v>
      </c>
      <c r="U29" s="53" t="s">
        <v>67</v>
      </c>
      <c r="V29" s="53" t="s">
        <v>67</v>
      </c>
      <c r="W29" s="53" t="s">
        <v>67</v>
      </c>
      <c r="X29" s="53" t="s">
        <v>67</v>
      </c>
      <c r="Y29" s="53"/>
      <c r="Z29" s="53" t="s">
        <v>67</v>
      </c>
      <c r="AA29" s="53" t="s">
        <v>67</v>
      </c>
      <c r="AB29" s="53" t="s">
        <v>67</v>
      </c>
      <c r="AC29" s="53" t="s">
        <v>67</v>
      </c>
      <c r="AD29" s="53" t="s">
        <v>67</v>
      </c>
      <c r="AE29" s="53"/>
      <c r="AF29" s="53"/>
      <c r="AG29" s="53" t="s">
        <v>67</v>
      </c>
      <c r="AH29" s="53" t="s">
        <v>67</v>
      </c>
      <c r="AI29" s="53" t="s">
        <v>67</v>
      </c>
      <c r="AJ29" s="53" t="s">
        <v>67</v>
      </c>
      <c r="AK29" s="71" t="s">
        <v>67</v>
      </c>
      <c r="AL29" s="24"/>
      <c r="AM29" s="79">
        <f t="shared" si="6"/>
        <v>23</v>
      </c>
      <c r="AN29" s="54"/>
      <c r="AO29" s="79">
        <f t="shared" si="7"/>
        <v>1</v>
      </c>
      <c r="AP29" s="24"/>
      <c r="AQ29" s="79" t="str">
        <f t="shared" si="8"/>
        <v/>
      </c>
      <c r="AR29" s="54"/>
      <c r="AS29" s="79">
        <f t="shared" si="9"/>
        <v>24</v>
      </c>
      <c r="AT29" s="24"/>
    </row>
    <row r="30" spans="1:47" ht="27.6" customHeight="1" x14ac:dyDescent="0.3">
      <c r="A30" s="24"/>
      <c r="B30" s="24"/>
      <c r="C30" s="131" t="s">
        <v>19</v>
      </c>
      <c r="D30" s="24"/>
      <c r="E30" s="191" t="str">
        <f>IFERROR(VLOOKUP(C30,'DATOS GRALES 1'!$B$2:$E$52,4,0),"")</f>
        <v>OPERARIO/VOLQUETERO</v>
      </c>
      <c r="F30" s="192"/>
      <c r="G30" s="70" t="s">
        <v>67</v>
      </c>
      <c r="H30" s="53" t="s">
        <v>67</v>
      </c>
      <c r="I30" s="53" t="s">
        <v>132</v>
      </c>
      <c r="J30" s="53"/>
      <c r="K30" s="53"/>
      <c r="L30" s="53" t="s">
        <v>67</v>
      </c>
      <c r="M30" s="53" t="s">
        <v>67</v>
      </c>
      <c r="N30" s="53" t="s">
        <v>67</v>
      </c>
      <c r="O30" s="53" t="s">
        <v>67</v>
      </c>
      <c r="P30" s="53" t="s">
        <v>132</v>
      </c>
      <c r="Q30" s="53"/>
      <c r="R30" s="53"/>
      <c r="S30" s="53" t="s">
        <v>78</v>
      </c>
      <c r="T30" s="53" t="s">
        <v>78</v>
      </c>
      <c r="U30" s="53" t="s">
        <v>67</v>
      </c>
      <c r="V30" s="53" t="s">
        <v>67</v>
      </c>
      <c r="W30" s="53" t="s">
        <v>67</v>
      </c>
      <c r="X30" s="53" t="s">
        <v>67</v>
      </c>
      <c r="Y30" s="53"/>
      <c r="Z30" s="53" t="s">
        <v>67</v>
      </c>
      <c r="AA30" s="53" t="s">
        <v>67</v>
      </c>
      <c r="AB30" s="53" t="s">
        <v>78</v>
      </c>
      <c r="AC30" s="53" t="s">
        <v>78</v>
      </c>
      <c r="AD30" s="53" t="s">
        <v>78</v>
      </c>
      <c r="AE30" s="53"/>
      <c r="AF30" s="53"/>
      <c r="AG30" s="53" t="s">
        <v>78</v>
      </c>
      <c r="AH30" s="53" t="s">
        <v>78</v>
      </c>
      <c r="AI30" s="53" t="s">
        <v>78</v>
      </c>
      <c r="AJ30" s="53" t="s">
        <v>78</v>
      </c>
      <c r="AK30" s="71" t="s">
        <v>78</v>
      </c>
      <c r="AL30" s="24"/>
      <c r="AM30" s="79">
        <f t="shared" si="6"/>
        <v>12</v>
      </c>
      <c r="AN30" s="54"/>
      <c r="AO30" s="79">
        <f t="shared" si="7"/>
        <v>10</v>
      </c>
      <c r="AP30" s="24"/>
      <c r="AQ30" s="79">
        <f t="shared" si="8"/>
        <v>2</v>
      </c>
      <c r="AR30" s="54"/>
      <c r="AS30" s="79">
        <f t="shared" si="9"/>
        <v>24</v>
      </c>
      <c r="AT30" s="24"/>
      <c r="AU30" s="114" t="s">
        <v>171</v>
      </c>
    </row>
    <row r="31" spans="1:47" ht="27.6" customHeight="1" x14ac:dyDescent="0.3">
      <c r="A31" s="24"/>
      <c r="B31" s="24"/>
      <c r="C31" s="56" t="s">
        <v>104</v>
      </c>
      <c r="D31" s="24"/>
      <c r="E31" s="191" t="str">
        <f>IFERROR(VLOOKUP(C31,'DATOS GRALES 1'!$B$2:$E$52,4,0),"")</f>
        <v>OPERARIO</v>
      </c>
      <c r="F31" s="192"/>
      <c r="G31" s="70" t="s">
        <v>67</v>
      </c>
      <c r="H31" s="53" t="s">
        <v>67</v>
      </c>
      <c r="I31" s="53" t="s">
        <v>67</v>
      </c>
      <c r="J31" s="53"/>
      <c r="K31" s="53"/>
      <c r="L31" s="53" t="s">
        <v>67</v>
      </c>
      <c r="M31" s="53" t="s">
        <v>67</v>
      </c>
      <c r="N31" s="53" t="s">
        <v>67</v>
      </c>
      <c r="O31" s="53" t="s">
        <v>67</v>
      </c>
      <c r="P31" s="53" t="s">
        <v>67</v>
      </c>
      <c r="Q31" s="53"/>
      <c r="R31" s="53"/>
      <c r="S31" s="53" t="s">
        <v>67</v>
      </c>
      <c r="T31" s="53" t="s">
        <v>67</v>
      </c>
      <c r="U31" s="53" t="s">
        <v>67</v>
      </c>
      <c r="V31" s="53" t="s">
        <v>67</v>
      </c>
      <c r="W31" s="53" t="s">
        <v>67</v>
      </c>
      <c r="X31" s="53" t="s">
        <v>78</v>
      </c>
      <c r="Y31" s="53"/>
      <c r="Z31" s="53" t="s">
        <v>67</v>
      </c>
      <c r="AA31" s="53" t="s">
        <v>67</v>
      </c>
      <c r="AB31" s="53" t="s">
        <v>67</v>
      </c>
      <c r="AC31" s="53" t="s">
        <v>67</v>
      </c>
      <c r="AD31" s="53" t="s">
        <v>67</v>
      </c>
      <c r="AE31" s="53"/>
      <c r="AF31" s="53"/>
      <c r="AG31" s="53" t="s">
        <v>67</v>
      </c>
      <c r="AH31" s="53" t="s">
        <v>67</v>
      </c>
      <c r="AI31" s="53" t="s">
        <v>67</v>
      </c>
      <c r="AJ31" s="53" t="s">
        <v>67</v>
      </c>
      <c r="AK31" s="71" t="s">
        <v>67</v>
      </c>
      <c r="AL31" s="24"/>
      <c r="AM31" s="79">
        <f t="shared" si="6"/>
        <v>23</v>
      </c>
      <c r="AN31" s="54"/>
      <c r="AO31" s="79">
        <f t="shared" si="7"/>
        <v>1</v>
      </c>
      <c r="AP31" s="24"/>
      <c r="AQ31" s="79" t="str">
        <f t="shared" si="8"/>
        <v/>
      </c>
      <c r="AR31" s="54"/>
      <c r="AS31" s="79">
        <f t="shared" si="9"/>
        <v>24</v>
      </c>
      <c r="AT31" s="24"/>
    </row>
    <row r="32" spans="1:47" ht="27.6" customHeight="1" x14ac:dyDescent="0.3">
      <c r="A32" s="24"/>
      <c r="B32" s="24"/>
      <c r="C32" s="56" t="s">
        <v>106</v>
      </c>
      <c r="D32" s="24"/>
      <c r="E32" s="191" t="str">
        <f>IFERROR(VLOOKUP(C32,'DATOS GRALES 1'!$B$2:$E$52,4,0),"")</f>
        <v>PEON</v>
      </c>
      <c r="F32" s="192"/>
      <c r="G32" s="70" t="s">
        <v>67</v>
      </c>
      <c r="H32" s="53" t="s">
        <v>67</v>
      </c>
      <c r="I32" s="53" t="s">
        <v>67</v>
      </c>
      <c r="J32" s="53"/>
      <c r="K32" s="53"/>
      <c r="L32" s="53" t="s">
        <v>67</v>
      </c>
      <c r="M32" s="53" t="s">
        <v>67</v>
      </c>
      <c r="N32" s="53" t="s">
        <v>67</v>
      </c>
      <c r="O32" s="53" t="s">
        <v>67</v>
      </c>
      <c r="P32" s="53" t="s">
        <v>67</v>
      </c>
      <c r="Q32" s="53"/>
      <c r="R32" s="53"/>
      <c r="S32" s="53" t="s">
        <v>67</v>
      </c>
      <c r="T32" s="53" t="s">
        <v>67</v>
      </c>
      <c r="U32" s="53" t="s">
        <v>67</v>
      </c>
      <c r="V32" s="53" t="s">
        <v>67</v>
      </c>
      <c r="W32" s="53" t="s">
        <v>67</v>
      </c>
      <c r="X32" s="53" t="s">
        <v>78</v>
      </c>
      <c r="Y32" s="53"/>
      <c r="Z32" s="53" t="s">
        <v>67</v>
      </c>
      <c r="AA32" s="53" t="s">
        <v>67</v>
      </c>
      <c r="AB32" s="53" t="s">
        <v>67</v>
      </c>
      <c r="AC32" s="53" t="s">
        <v>67</v>
      </c>
      <c r="AD32" s="53" t="s">
        <v>67</v>
      </c>
      <c r="AE32" s="53"/>
      <c r="AF32" s="53"/>
      <c r="AG32" s="53" t="s">
        <v>67</v>
      </c>
      <c r="AH32" s="53" t="s">
        <v>67</v>
      </c>
      <c r="AI32" s="53" t="s">
        <v>67</v>
      </c>
      <c r="AJ32" s="53" t="s">
        <v>67</v>
      </c>
      <c r="AK32" s="71" t="s">
        <v>67</v>
      </c>
      <c r="AL32" s="24"/>
      <c r="AM32" s="79">
        <f t="shared" si="6"/>
        <v>23</v>
      </c>
      <c r="AN32" s="54"/>
      <c r="AO32" s="79">
        <f t="shared" si="7"/>
        <v>1</v>
      </c>
      <c r="AP32" s="24"/>
      <c r="AQ32" s="79" t="str">
        <f t="shared" si="8"/>
        <v/>
      </c>
      <c r="AR32" s="54"/>
      <c r="AS32" s="79">
        <f t="shared" si="9"/>
        <v>24</v>
      </c>
      <c r="AT32" s="24"/>
    </row>
    <row r="33" spans="1:47" ht="27.6" customHeight="1" x14ac:dyDescent="0.3">
      <c r="A33" s="24"/>
      <c r="B33" s="24"/>
      <c r="C33" s="56" t="s">
        <v>107</v>
      </c>
      <c r="D33" s="24"/>
      <c r="E33" s="191" t="str">
        <f>IFERROR(VLOOKUP(C33,'DATOS GRALES 1'!$B$2:$E$52,4,0),"")</f>
        <v>OPERARIO</v>
      </c>
      <c r="F33" s="192"/>
      <c r="G33" s="70" t="s">
        <v>67</v>
      </c>
      <c r="H33" s="53" t="s">
        <v>67</v>
      </c>
      <c r="I33" s="53" t="s">
        <v>67</v>
      </c>
      <c r="J33" s="53"/>
      <c r="K33" s="53"/>
      <c r="L33" s="53" t="s">
        <v>67</v>
      </c>
      <c r="M33" s="53" t="s">
        <v>67</v>
      </c>
      <c r="N33" s="53" t="s">
        <v>67</v>
      </c>
      <c r="O33" s="53" t="s">
        <v>67</v>
      </c>
      <c r="P33" s="53" t="s">
        <v>67</v>
      </c>
      <c r="Q33" s="53"/>
      <c r="R33" s="53"/>
      <c r="S33" s="53" t="s">
        <v>78</v>
      </c>
      <c r="T33" s="53" t="s">
        <v>67</v>
      </c>
      <c r="U33" s="53" t="s">
        <v>67</v>
      </c>
      <c r="V33" s="53" t="s">
        <v>67</v>
      </c>
      <c r="W33" s="53" t="s">
        <v>67</v>
      </c>
      <c r="X33" s="53" t="s">
        <v>67</v>
      </c>
      <c r="Y33" s="53"/>
      <c r="Z33" s="53" t="s">
        <v>67</v>
      </c>
      <c r="AA33" s="53" t="s">
        <v>67</v>
      </c>
      <c r="AB33" s="53" t="s">
        <v>67</v>
      </c>
      <c r="AC33" s="53" t="s">
        <v>67</v>
      </c>
      <c r="AD33" s="53" t="s">
        <v>67</v>
      </c>
      <c r="AE33" s="53"/>
      <c r="AF33" s="53"/>
      <c r="AG33" s="53" t="s">
        <v>132</v>
      </c>
      <c r="AH33" s="53" t="s">
        <v>67</v>
      </c>
      <c r="AI33" s="53" t="s">
        <v>67</v>
      </c>
      <c r="AJ33" s="53" t="s">
        <v>67</v>
      </c>
      <c r="AK33" s="71" t="s">
        <v>67</v>
      </c>
      <c r="AL33" s="24"/>
      <c r="AM33" s="79">
        <f t="shared" si="6"/>
        <v>22</v>
      </c>
      <c r="AN33" s="54"/>
      <c r="AO33" s="79">
        <f t="shared" si="7"/>
        <v>1</v>
      </c>
      <c r="AP33" s="24"/>
      <c r="AQ33" s="79">
        <f t="shared" si="8"/>
        <v>1</v>
      </c>
      <c r="AR33" s="54"/>
      <c r="AS33" s="79">
        <f t="shared" si="9"/>
        <v>24</v>
      </c>
      <c r="AT33" s="24"/>
      <c r="AU33" t="s">
        <v>228</v>
      </c>
    </row>
    <row r="34" spans="1:47" ht="27.6" customHeight="1" x14ac:dyDescent="0.3">
      <c r="A34" s="24"/>
      <c r="B34" s="24"/>
      <c r="C34" s="131" t="s">
        <v>108</v>
      </c>
      <c r="D34" s="24"/>
      <c r="E34" s="191" t="str">
        <f>IFERROR(VLOOKUP(C34,'DATOS GRALES 1'!$B$2:$E$52,4,0),"")</f>
        <v>OPERARIO</v>
      </c>
      <c r="F34" s="192"/>
      <c r="G34" s="70" t="s">
        <v>67</v>
      </c>
      <c r="H34" s="53" t="s">
        <v>67</v>
      </c>
      <c r="I34" s="53" t="s">
        <v>67</v>
      </c>
      <c r="J34" s="53"/>
      <c r="K34" s="53"/>
      <c r="L34" s="53" t="s">
        <v>67</v>
      </c>
      <c r="M34" s="53" t="s">
        <v>67</v>
      </c>
      <c r="N34" s="53" t="s">
        <v>67</v>
      </c>
      <c r="O34" s="53" t="s">
        <v>67</v>
      </c>
      <c r="P34" s="53" t="s">
        <v>67</v>
      </c>
      <c r="Q34" s="53"/>
      <c r="R34" s="53"/>
      <c r="S34" s="53" t="s">
        <v>78</v>
      </c>
      <c r="T34" s="53" t="s">
        <v>78</v>
      </c>
      <c r="U34" s="53" t="s">
        <v>78</v>
      </c>
      <c r="V34" s="53" t="s">
        <v>78</v>
      </c>
      <c r="W34" s="53" t="s">
        <v>78</v>
      </c>
      <c r="X34" s="53" t="s">
        <v>78</v>
      </c>
      <c r="Y34" s="53"/>
      <c r="Z34" s="53" t="s">
        <v>67</v>
      </c>
      <c r="AA34" s="53" t="s">
        <v>67</v>
      </c>
      <c r="AB34" s="53" t="s">
        <v>67</v>
      </c>
      <c r="AC34" s="53" t="s">
        <v>78</v>
      </c>
      <c r="AD34" s="53" t="s">
        <v>78</v>
      </c>
      <c r="AE34" s="53"/>
      <c r="AF34" s="53"/>
      <c r="AG34" s="53" t="s">
        <v>78</v>
      </c>
      <c r="AH34" s="53" t="s">
        <v>78</v>
      </c>
      <c r="AI34" s="53" t="s">
        <v>78</v>
      </c>
      <c r="AJ34" s="53" t="s">
        <v>78</v>
      </c>
      <c r="AK34" s="71" t="s">
        <v>78</v>
      </c>
      <c r="AL34" s="24"/>
      <c r="AM34" s="79">
        <f t="shared" si="6"/>
        <v>11</v>
      </c>
      <c r="AN34" s="54"/>
      <c r="AO34" s="79">
        <f t="shared" si="7"/>
        <v>13</v>
      </c>
      <c r="AP34" s="24"/>
      <c r="AQ34" s="79" t="str">
        <f t="shared" si="8"/>
        <v/>
      </c>
      <c r="AR34" s="54"/>
      <c r="AS34" s="79">
        <f t="shared" si="9"/>
        <v>24</v>
      </c>
      <c r="AT34" s="24"/>
      <c r="AU34" t="s">
        <v>146</v>
      </c>
    </row>
    <row r="35" spans="1:47" ht="27.6" customHeight="1" x14ac:dyDescent="0.3">
      <c r="A35" s="24"/>
      <c r="B35" s="24"/>
      <c r="C35" s="131" t="s">
        <v>109</v>
      </c>
      <c r="D35" s="24"/>
      <c r="E35" s="191" t="str">
        <f>IFERROR(VLOOKUP(C35,'DATOS GRALES 1'!$B$2:$E$52,4,0),"")</f>
        <v>PEON</v>
      </c>
      <c r="F35" s="192"/>
      <c r="G35" s="70" t="s">
        <v>67</v>
      </c>
      <c r="H35" s="53" t="s">
        <v>67</v>
      </c>
      <c r="I35" s="53" t="s">
        <v>67</v>
      </c>
      <c r="J35" s="53"/>
      <c r="K35" s="53"/>
      <c r="L35" s="53" t="s">
        <v>67</v>
      </c>
      <c r="M35" s="53" t="s">
        <v>67</v>
      </c>
      <c r="N35" s="53" t="s">
        <v>67</v>
      </c>
      <c r="O35" s="53" t="s">
        <v>67</v>
      </c>
      <c r="P35" s="53" t="s">
        <v>67</v>
      </c>
      <c r="Q35" s="53"/>
      <c r="R35" s="53"/>
      <c r="S35" s="53" t="s">
        <v>67</v>
      </c>
      <c r="T35" s="53" t="s">
        <v>67</v>
      </c>
      <c r="U35" s="53" t="s">
        <v>67</v>
      </c>
      <c r="V35" s="53" t="s">
        <v>67</v>
      </c>
      <c r="W35" s="53" t="s">
        <v>67</v>
      </c>
      <c r="X35" s="53" t="s">
        <v>78</v>
      </c>
      <c r="Y35" s="53"/>
      <c r="Z35" s="53" t="s">
        <v>67</v>
      </c>
      <c r="AA35" s="53" t="s">
        <v>67</v>
      </c>
      <c r="AB35" s="53" t="s">
        <v>67</v>
      </c>
      <c r="AC35" s="53" t="s">
        <v>67</v>
      </c>
      <c r="AD35" s="53" t="s">
        <v>67</v>
      </c>
      <c r="AE35" s="53"/>
      <c r="AF35" s="53"/>
      <c r="AG35" s="53" t="s">
        <v>78</v>
      </c>
      <c r="AH35" s="53" t="s">
        <v>78</v>
      </c>
      <c r="AI35" s="53" t="s">
        <v>78</v>
      </c>
      <c r="AJ35" s="53" t="s">
        <v>78</v>
      </c>
      <c r="AK35" s="71" t="s">
        <v>78</v>
      </c>
      <c r="AL35" s="24"/>
      <c r="AM35" s="79">
        <f t="shared" si="6"/>
        <v>18</v>
      </c>
      <c r="AN35" s="54"/>
      <c r="AO35" s="79">
        <f t="shared" si="7"/>
        <v>6</v>
      </c>
      <c r="AP35" s="24"/>
      <c r="AQ35" s="79" t="str">
        <f t="shared" si="8"/>
        <v/>
      </c>
      <c r="AR35" s="54"/>
      <c r="AS35" s="79">
        <f t="shared" si="9"/>
        <v>24</v>
      </c>
      <c r="AT35" s="24"/>
    </row>
    <row r="36" spans="1:47" ht="27.6" customHeight="1" x14ac:dyDescent="0.3">
      <c r="A36" s="24"/>
      <c r="B36" s="24"/>
      <c r="C36" s="56" t="s">
        <v>112</v>
      </c>
      <c r="D36" s="24"/>
      <c r="E36" s="191" t="str">
        <f>IFERROR(VLOOKUP(C36,'DATOS GRALES 1'!$B$2:$E$52,4,0),"")</f>
        <v>OPERARIO MAQU.</v>
      </c>
      <c r="F36" s="192"/>
      <c r="G36" s="70" t="s">
        <v>67</v>
      </c>
      <c r="H36" s="53" t="s">
        <v>67</v>
      </c>
      <c r="I36" s="53" t="s">
        <v>67</v>
      </c>
      <c r="J36" s="53"/>
      <c r="K36" s="53"/>
      <c r="L36" s="53" t="s">
        <v>67</v>
      </c>
      <c r="M36" s="53" t="s">
        <v>67</v>
      </c>
      <c r="N36" s="53" t="s">
        <v>67</v>
      </c>
      <c r="O36" s="53" t="s">
        <v>67</v>
      </c>
      <c r="P36" s="53" t="s">
        <v>67</v>
      </c>
      <c r="Q36" s="53"/>
      <c r="R36" s="53"/>
      <c r="S36" s="53" t="s">
        <v>78</v>
      </c>
      <c r="T36" s="53" t="s">
        <v>78</v>
      </c>
      <c r="U36" s="53" t="s">
        <v>67</v>
      </c>
      <c r="V36" s="53" t="s">
        <v>67</v>
      </c>
      <c r="W36" s="53" t="s">
        <v>67</v>
      </c>
      <c r="X36" s="53" t="s">
        <v>78</v>
      </c>
      <c r="Y36" s="53"/>
      <c r="Z36" s="53" t="s">
        <v>67</v>
      </c>
      <c r="AA36" s="53" t="s">
        <v>67</v>
      </c>
      <c r="AB36" s="53" t="s">
        <v>67</v>
      </c>
      <c r="AC36" s="53" t="s">
        <v>67</v>
      </c>
      <c r="AD36" s="53" t="s">
        <v>67</v>
      </c>
      <c r="AE36" s="53"/>
      <c r="AF36" s="53"/>
      <c r="AG36" s="53" t="s">
        <v>67</v>
      </c>
      <c r="AH36" s="53" t="s">
        <v>67</v>
      </c>
      <c r="AI36" s="53" t="s">
        <v>67</v>
      </c>
      <c r="AJ36" s="53" t="s">
        <v>67</v>
      </c>
      <c r="AK36" s="71" t="s">
        <v>67</v>
      </c>
      <c r="AL36" s="24"/>
      <c r="AM36" s="79">
        <f t="shared" si="6"/>
        <v>21</v>
      </c>
      <c r="AN36" s="54"/>
      <c r="AO36" s="79">
        <f t="shared" si="7"/>
        <v>3</v>
      </c>
      <c r="AP36" s="24"/>
      <c r="AQ36" s="79" t="str">
        <f t="shared" si="8"/>
        <v/>
      </c>
      <c r="AR36" s="54"/>
      <c r="AS36" s="79">
        <f t="shared" si="9"/>
        <v>24</v>
      </c>
      <c r="AT36" s="24"/>
    </row>
    <row r="37" spans="1:47" ht="27.6" customHeight="1" x14ac:dyDescent="0.3">
      <c r="A37" s="24"/>
      <c r="B37" s="24"/>
      <c r="C37" s="131" t="s">
        <v>114</v>
      </c>
      <c r="D37" s="24"/>
      <c r="E37" s="191" t="str">
        <f>IFERROR(VLOOKUP(C37,'DATOS GRALES 1'!$B$2:$E$52,4,0),"")</f>
        <v>PEON</v>
      </c>
      <c r="F37" s="192"/>
      <c r="G37" s="70" t="s">
        <v>67</v>
      </c>
      <c r="H37" s="53" t="s">
        <v>67</v>
      </c>
      <c r="I37" s="53" t="s">
        <v>67</v>
      </c>
      <c r="J37" s="53"/>
      <c r="K37" s="53"/>
      <c r="L37" s="53" t="s">
        <v>67</v>
      </c>
      <c r="M37" s="53" t="s">
        <v>67</v>
      </c>
      <c r="N37" s="53" t="s">
        <v>67</v>
      </c>
      <c r="O37" s="53" t="s">
        <v>67</v>
      </c>
      <c r="P37" s="53" t="s">
        <v>67</v>
      </c>
      <c r="Q37" s="53"/>
      <c r="R37" s="53"/>
      <c r="S37" s="53" t="s">
        <v>78</v>
      </c>
      <c r="T37" s="53" t="s">
        <v>67</v>
      </c>
      <c r="U37" s="53" t="s">
        <v>67</v>
      </c>
      <c r="V37" s="53" t="s">
        <v>67</v>
      </c>
      <c r="W37" s="53" t="s">
        <v>67</v>
      </c>
      <c r="X37" s="53" t="s">
        <v>67</v>
      </c>
      <c r="Y37" s="53"/>
      <c r="Z37" s="53" t="s">
        <v>67</v>
      </c>
      <c r="AA37" s="53" t="s">
        <v>78</v>
      </c>
      <c r="AB37" s="53" t="s">
        <v>78</v>
      </c>
      <c r="AC37" s="53" t="s">
        <v>78</v>
      </c>
      <c r="AD37" s="53" t="s">
        <v>78</v>
      </c>
      <c r="AE37" s="53"/>
      <c r="AF37" s="53"/>
      <c r="AG37" s="53" t="s">
        <v>78</v>
      </c>
      <c r="AH37" s="53" t="s">
        <v>78</v>
      </c>
      <c r="AI37" s="53" t="s">
        <v>78</v>
      </c>
      <c r="AJ37" s="53" t="s">
        <v>78</v>
      </c>
      <c r="AK37" s="71" t="s">
        <v>78</v>
      </c>
      <c r="AL37" s="24"/>
      <c r="AM37" s="79">
        <f t="shared" si="6"/>
        <v>14</v>
      </c>
      <c r="AN37" s="54"/>
      <c r="AO37" s="79">
        <f t="shared" si="7"/>
        <v>10</v>
      </c>
      <c r="AP37" s="24"/>
      <c r="AQ37" s="79" t="str">
        <f t="shared" si="8"/>
        <v/>
      </c>
      <c r="AR37" s="54"/>
      <c r="AS37" s="79">
        <f t="shared" si="9"/>
        <v>24</v>
      </c>
      <c r="AT37" s="24"/>
      <c r="AU37" t="s">
        <v>172</v>
      </c>
    </row>
    <row r="38" spans="1:47" ht="27.6" customHeight="1" x14ac:dyDescent="0.3">
      <c r="A38" s="24"/>
      <c r="B38" s="24"/>
      <c r="C38" s="56" t="s">
        <v>115</v>
      </c>
      <c r="D38" s="24"/>
      <c r="E38" s="191" t="str">
        <f>IFERROR(VLOOKUP(C38,'DATOS GRALES 1'!$B$2:$E$52,4,0),"")</f>
        <v>OPERARIO</v>
      </c>
      <c r="F38" s="192"/>
      <c r="G38" s="70" t="s">
        <v>67</v>
      </c>
      <c r="H38" s="53" t="s">
        <v>67</v>
      </c>
      <c r="I38" s="53" t="s">
        <v>67</v>
      </c>
      <c r="J38" s="53"/>
      <c r="K38" s="53"/>
      <c r="L38" s="53" t="s">
        <v>67</v>
      </c>
      <c r="M38" s="53" t="s">
        <v>67</v>
      </c>
      <c r="N38" s="53" t="s">
        <v>67</v>
      </c>
      <c r="O38" s="53" t="s">
        <v>67</v>
      </c>
      <c r="P38" s="53" t="s">
        <v>67</v>
      </c>
      <c r="Q38" s="53"/>
      <c r="R38" s="53"/>
      <c r="S38" s="53" t="s">
        <v>78</v>
      </c>
      <c r="T38" s="53" t="s">
        <v>78</v>
      </c>
      <c r="U38" s="53" t="s">
        <v>67</v>
      </c>
      <c r="V38" s="53" t="s">
        <v>67</v>
      </c>
      <c r="W38" s="53" t="s">
        <v>67</v>
      </c>
      <c r="X38" s="53" t="s">
        <v>67</v>
      </c>
      <c r="Y38" s="53"/>
      <c r="Z38" s="53" t="s">
        <v>67</v>
      </c>
      <c r="AA38" s="53" t="s">
        <v>67</v>
      </c>
      <c r="AB38" s="53" t="s">
        <v>67</v>
      </c>
      <c r="AC38" s="53" t="s">
        <v>67</v>
      </c>
      <c r="AD38" s="53" t="s">
        <v>67</v>
      </c>
      <c r="AE38" s="53"/>
      <c r="AF38" s="53"/>
      <c r="AG38" s="53" t="s">
        <v>67</v>
      </c>
      <c r="AH38" s="53" t="s">
        <v>67</v>
      </c>
      <c r="AI38" s="53" t="s">
        <v>67</v>
      </c>
      <c r="AJ38" s="53" t="s">
        <v>67</v>
      </c>
      <c r="AK38" s="71" t="s">
        <v>67</v>
      </c>
      <c r="AL38" s="24"/>
      <c r="AM38" s="79">
        <f t="shared" si="6"/>
        <v>22</v>
      </c>
      <c r="AN38" s="54"/>
      <c r="AO38" s="79">
        <f t="shared" si="7"/>
        <v>2</v>
      </c>
      <c r="AP38" s="24"/>
      <c r="AQ38" s="79" t="str">
        <f t="shared" si="8"/>
        <v/>
      </c>
      <c r="AR38" s="54"/>
      <c r="AS38" s="79">
        <f t="shared" si="9"/>
        <v>24</v>
      </c>
      <c r="AT38" s="24"/>
      <c r="AU38" s="104"/>
    </row>
    <row r="39" spans="1:47" ht="27.6" customHeight="1" x14ac:dyDescent="0.3">
      <c r="A39" s="24"/>
      <c r="B39" s="24"/>
      <c r="C39" s="56" t="s">
        <v>133</v>
      </c>
      <c r="D39" s="24"/>
      <c r="E39" s="191" t="str">
        <f>IFERROR(VLOOKUP(C39,'DATOS GRALES 1'!$B$2:$E$52,4,0),"")</f>
        <v>OPERARIO</v>
      </c>
      <c r="F39" s="192"/>
      <c r="G39" s="70" t="s">
        <v>67</v>
      </c>
      <c r="H39" s="53" t="s">
        <v>67</v>
      </c>
      <c r="I39" s="53" t="s">
        <v>67</v>
      </c>
      <c r="J39" s="53"/>
      <c r="K39" s="53"/>
      <c r="L39" s="53" t="s">
        <v>67</v>
      </c>
      <c r="M39" s="53" t="s">
        <v>67</v>
      </c>
      <c r="N39" s="53" t="s">
        <v>67</v>
      </c>
      <c r="O39" s="53" t="s">
        <v>67</v>
      </c>
      <c r="P39" s="53" t="s">
        <v>67</v>
      </c>
      <c r="Q39" s="53"/>
      <c r="R39" s="53"/>
      <c r="S39" s="53" t="s">
        <v>67</v>
      </c>
      <c r="T39" s="53" t="s">
        <v>67</v>
      </c>
      <c r="U39" s="53" t="s">
        <v>67</v>
      </c>
      <c r="V39" s="53" t="s">
        <v>67</v>
      </c>
      <c r="W39" s="53" t="s">
        <v>67</v>
      </c>
      <c r="X39" s="53" t="s">
        <v>78</v>
      </c>
      <c r="Y39" s="53"/>
      <c r="Z39" s="53" t="s">
        <v>67</v>
      </c>
      <c r="AA39" s="53" t="s">
        <v>67</v>
      </c>
      <c r="AB39" s="53" t="s">
        <v>67</v>
      </c>
      <c r="AC39" s="53" t="s">
        <v>67</v>
      </c>
      <c r="AD39" s="53" t="s">
        <v>67</v>
      </c>
      <c r="AE39" s="53"/>
      <c r="AF39" s="53"/>
      <c r="AG39" s="53" t="s">
        <v>67</v>
      </c>
      <c r="AH39" s="53" t="s">
        <v>67</v>
      </c>
      <c r="AI39" s="53" t="s">
        <v>67</v>
      </c>
      <c r="AJ39" s="53" t="s">
        <v>67</v>
      </c>
      <c r="AK39" s="71" t="s">
        <v>67</v>
      </c>
      <c r="AL39" s="24"/>
      <c r="AM39" s="79">
        <f t="shared" si="6"/>
        <v>23</v>
      </c>
      <c r="AN39" s="54"/>
      <c r="AO39" s="79">
        <f t="shared" si="7"/>
        <v>1</v>
      </c>
      <c r="AP39" s="24"/>
      <c r="AQ39" s="79" t="str">
        <f t="shared" si="8"/>
        <v/>
      </c>
      <c r="AR39" s="54"/>
      <c r="AS39" s="79">
        <f t="shared" si="9"/>
        <v>24</v>
      </c>
      <c r="AT39" s="24"/>
    </row>
    <row r="40" spans="1:47" ht="27.6" customHeight="1" x14ac:dyDescent="0.3">
      <c r="A40" s="24"/>
      <c r="B40" s="24"/>
      <c r="C40" s="56" t="s">
        <v>142</v>
      </c>
      <c r="D40" s="24"/>
      <c r="E40" s="191" t="str">
        <f>IFERROR(VLOOKUP(C40,'DATOS GRALES 1'!$B$2:$E$52,4,0),"")</f>
        <v/>
      </c>
      <c r="F40" s="192"/>
      <c r="G40" s="70"/>
      <c r="H40" s="53"/>
      <c r="I40" s="53"/>
      <c r="J40" s="53"/>
      <c r="K40" s="53"/>
      <c r="L40" s="53" t="s">
        <v>67</v>
      </c>
      <c r="M40" s="53" t="s">
        <v>67</v>
      </c>
      <c r="N40" s="53" t="s">
        <v>67</v>
      </c>
      <c r="O40" s="53" t="s">
        <v>67</v>
      </c>
      <c r="P40" s="53" t="s">
        <v>67</v>
      </c>
      <c r="Q40" s="53"/>
      <c r="R40" s="53"/>
      <c r="S40" s="53" t="s">
        <v>67</v>
      </c>
      <c r="T40" s="53" t="s">
        <v>67</v>
      </c>
      <c r="U40" s="53" t="s">
        <v>67</v>
      </c>
      <c r="V40" s="53" t="s">
        <v>67</v>
      </c>
      <c r="W40" s="53" t="s">
        <v>67</v>
      </c>
      <c r="X40" s="53" t="s">
        <v>67</v>
      </c>
      <c r="Y40" s="53"/>
      <c r="Z40" s="53" t="s">
        <v>67</v>
      </c>
      <c r="AA40" s="53" t="s">
        <v>67</v>
      </c>
      <c r="AB40" s="53" t="s">
        <v>67</v>
      </c>
      <c r="AC40" s="53" t="s">
        <v>67</v>
      </c>
      <c r="AD40" s="53" t="s">
        <v>67</v>
      </c>
      <c r="AE40" s="53"/>
      <c r="AF40" s="53"/>
      <c r="AG40" s="53" t="s">
        <v>67</v>
      </c>
      <c r="AH40" s="53" t="s">
        <v>67</v>
      </c>
      <c r="AI40" s="53" t="s">
        <v>67</v>
      </c>
      <c r="AJ40" s="53" t="s">
        <v>67</v>
      </c>
      <c r="AK40" s="71" t="s">
        <v>67</v>
      </c>
      <c r="AL40" s="24"/>
      <c r="AM40" s="79">
        <f t="shared" si="6"/>
        <v>21</v>
      </c>
      <c r="AN40" s="54"/>
      <c r="AO40" s="79" t="str">
        <f t="shared" si="7"/>
        <v/>
      </c>
      <c r="AP40" s="24"/>
      <c r="AQ40" s="79" t="str">
        <f t="shared" si="8"/>
        <v/>
      </c>
      <c r="AR40" s="54"/>
      <c r="AS40" s="79">
        <f t="shared" si="9"/>
        <v>21</v>
      </c>
      <c r="AT40" s="24"/>
    </row>
    <row r="41" spans="1:47" ht="27.6" customHeight="1" x14ac:dyDescent="0.3">
      <c r="A41" s="24"/>
      <c r="B41" s="24"/>
      <c r="C41" s="131" t="s">
        <v>177</v>
      </c>
      <c r="D41" s="24"/>
      <c r="E41" s="191" t="str">
        <f>IFERROR(VLOOKUP(C41,'DATOS GRALES 1'!$B$2:$E$52,4,0),"")</f>
        <v xml:space="preserve">PEÓN </v>
      </c>
      <c r="F41" s="192"/>
      <c r="G41" s="70"/>
      <c r="H41" s="53"/>
      <c r="I41" s="53"/>
      <c r="J41" s="53"/>
      <c r="K41" s="53"/>
      <c r="L41" s="53" t="s">
        <v>67</v>
      </c>
      <c r="M41" s="53" t="s">
        <v>67</v>
      </c>
      <c r="N41" s="53" t="s">
        <v>67</v>
      </c>
      <c r="O41" s="53" t="s">
        <v>67</v>
      </c>
      <c r="P41" s="53" t="s">
        <v>67</v>
      </c>
      <c r="Q41" s="53"/>
      <c r="R41" s="53"/>
      <c r="S41" s="53" t="s">
        <v>78</v>
      </c>
      <c r="T41" s="53" t="s">
        <v>67</v>
      </c>
      <c r="U41" s="53" t="s">
        <v>67</v>
      </c>
      <c r="V41" s="53" t="s">
        <v>67</v>
      </c>
      <c r="W41" s="53" t="s">
        <v>67</v>
      </c>
      <c r="X41" s="53" t="s">
        <v>67</v>
      </c>
      <c r="Y41" s="53"/>
      <c r="Z41" s="53" t="s">
        <v>78</v>
      </c>
      <c r="AA41" s="53" t="s">
        <v>78</v>
      </c>
      <c r="AB41" s="53" t="s">
        <v>78</v>
      </c>
      <c r="AC41" s="53" t="s">
        <v>78</v>
      </c>
      <c r="AD41" s="53" t="s">
        <v>78</v>
      </c>
      <c r="AE41" s="53"/>
      <c r="AF41" s="53"/>
      <c r="AG41" s="53" t="s">
        <v>78</v>
      </c>
      <c r="AH41" s="53" t="s">
        <v>78</v>
      </c>
      <c r="AI41" s="53" t="s">
        <v>78</v>
      </c>
      <c r="AJ41" s="53" t="s">
        <v>78</v>
      </c>
      <c r="AK41" s="71" t="s">
        <v>78</v>
      </c>
      <c r="AL41" s="24"/>
      <c r="AM41" s="79">
        <f t="shared" si="6"/>
        <v>10</v>
      </c>
      <c r="AN41" s="54"/>
      <c r="AO41" s="79">
        <f t="shared" si="7"/>
        <v>11</v>
      </c>
      <c r="AP41" s="24"/>
      <c r="AQ41" s="79" t="str">
        <f t="shared" si="8"/>
        <v/>
      </c>
      <c r="AR41" s="54"/>
      <c r="AS41" s="79">
        <f t="shared" si="9"/>
        <v>21</v>
      </c>
      <c r="AT41" s="24"/>
    </row>
    <row r="42" spans="1:47" ht="27.6" customHeight="1" x14ac:dyDescent="0.3">
      <c r="A42" s="24"/>
      <c r="B42" s="24"/>
      <c r="C42" s="56" t="s">
        <v>190</v>
      </c>
      <c r="D42" s="24"/>
      <c r="E42" s="191" t="str">
        <f>IFERROR(VLOOKUP(C42,'DATOS GRALES 1'!$B$2:$E$52,4,0),"")</f>
        <v>OPERARIO</v>
      </c>
      <c r="F42" s="192"/>
      <c r="G42" s="70"/>
      <c r="H42" s="53"/>
      <c r="I42" s="53"/>
      <c r="J42" s="53"/>
      <c r="K42" s="53"/>
      <c r="L42" s="53" t="s">
        <v>67</v>
      </c>
      <c r="M42" s="53" t="s">
        <v>67</v>
      </c>
      <c r="N42" s="53" t="s">
        <v>67</v>
      </c>
      <c r="O42" s="53" t="s">
        <v>67</v>
      </c>
      <c r="P42" s="53" t="s">
        <v>67</v>
      </c>
      <c r="Q42" s="53"/>
      <c r="R42" s="53"/>
      <c r="S42" s="53" t="s">
        <v>78</v>
      </c>
      <c r="T42" s="53" t="s">
        <v>78</v>
      </c>
      <c r="U42" s="53" t="s">
        <v>67</v>
      </c>
      <c r="V42" s="53" t="s">
        <v>67</v>
      </c>
      <c r="W42" s="53" t="s">
        <v>67</v>
      </c>
      <c r="X42" s="53" t="s">
        <v>67</v>
      </c>
      <c r="Y42" s="53"/>
      <c r="Z42" s="53" t="s">
        <v>67</v>
      </c>
      <c r="AA42" s="53" t="s">
        <v>67</v>
      </c>
      <c r="AB42" s="53" t="s">
        <v>67</v>
      </c>
      <c r="AC42" s="53" t="s">
        <v>67</v>
      </c>
      <c r="AD42" s="53" t="s">
        <v>67</v>
      </c>
      <c r="AE42" s="53"/>
      <c r="AF42" s="53"/>
      <c r="AG42" s="53" t="s">
        <v>67</v>
      </c>
      <c r="AH42" s="53" t="s">
        <v>67</v>
      </c>
      <c r="AI42" s="53" t="s">
        <v>67</v>
      </c>
      <c r="AJ42" s="53" t="s">
        <v>67</v>
      </c>
      <c r="AK42" s="71" t="s">
        <v>67</v>
      </c>
      <c r="AL42" s="24"/>
      <c r="AM42" s="79">
        <f t="shared" si="6"/>
        <v>19</v>
      </c>
      <c r="AN42" s="54"/>
      <c r="AO42" s="79">
        <f t="shared" si="7"/>
        <v>2</v>
      </c>
      <c r="AP42" s="24"/>
      <c r="AQ42" s="79" t="str">
        <f t="shared" si="8"/>
        <v/>
      </c>
      <c r="AR42" s="54"/>
      <c r="AS42" s="79">
        <f t="shared" si="9"/>
        <v>21</v>
      </c>
      <c r="AT42" s="24"/>
    </row>
    <row r="43" spans="1:47" ht="27.6" customHeight="1" x14ac:dyDescent="0.3">
      <c r="A43" s="24"/>
      <c r="B43" s="24"/>
      <c r="C43" s="56" t="s">
        <v>202</v>
      </c>
      <c r="D43" s="24"/>
      <c r="E43" s="191" t="str">
        <f>IFERROR(VLOOKUP(C43,'DATOS GRALES 1'!$B$2:$E$52,4,0),"")</f>
        <v>OPERARIO</v>
      </c>
      <c r="F43" s="192"/>
      <c r="G43" s="70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 t="s">
        <v>67</v>
      </c>
      <c r="T43" s="53" t="s">
        <v>67</v>
      </c>
      <c r="U43" s="53" t="s">
        <v>67</v>
      </c>
      <c r="V43" s="53" t="s">
        <v>67</v>
      </c>
      <c r="W43" s="53" t="s">
        <v>67</v>
      </c>
      <c r="X43" s="53" t="s">
        <v>67</v>
      </c>
      <c r="Y43" s="53"/>
      <c r="Z43" s="53" t="s">
        <v>67</v>
      </c>
      <c r="AA43" s="53" t="s">
        <v>67</v>
      </c>
      <c r="AB43" s="53" t="s">
        <v>67</v>
      </c>
      <c r="AC43" s="53" t="s">
        <v>67</v>
      </c>
      <c r="AD43" s="53" t="s">
        <v>67</v>
      </c>
      <c r="AE43" s="53"/>
      <c r="AF43" s="53"/>
      <c r="AG43" s="53" t="s">
        <v>67</v>
      </c>
      <c r="AH43" s="53" t="s">
        <v>67</v>
      </c>
      <c r="AI43" s="53" t="s">
        <v>67</v>
      </c>
      <c r="AJ43" s="53" t="s">
        <v>67</v>
      </c>
      <c r="AK43" s="71" t="s">
        <v>67</v>
      </c>
      <c r="AL43" s="24"/>
      <c r="AM43" s="79">
        <f t="shared" si="6"/>
        <v>16</v>
      </c>
      <c r="AN43" s="54"/>
      <c r="AO43" s="79" t="str">
        <f t="shared" si="7"/>
        <v/>
      </c>
      <c r="AP43" s="24"/>
      <c r="AQ43" s="79" t="str">
        <f t="shared" si="8"/>
        <v/>
      </c>
      <c r="AR43" s="54"/>
      <c r="AS43" s="79">
        <f t="shared" si="9"/>
        <v>16</v>
      </c>
      <c r="AT43" s="24"/>
    </row>
    <row r="44" spans="1:47" ht="27.6" customHeight="1" x14ac:dyDescent="0.3">
      <c r="A44" s="24"/>
      <c r="B44" s="24"/>
      <c r="C44" s="131" t="s">
        <v>208</v>
      </c>
      <c r="D44" s="24"/>
      <c r="E44" s="191" t="str">
        <f>IFERROR(VLOOKUP(C44,'DATOS GRALES 1'!$B$2:$E$52,4,0),"")</f>
        <v>PEON</v>
      </c>
      <c r="F44" s="192"/>
      <c r="G44" s="70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 t="s">
        <v>67</v>
      </c>
      <c r="V44" s="53" t="s">
        <v>67</v>
      </c>
      <c r="W44" s="53" t="s">
        <v>67</v>
      </c>
      <c r="X44" s="53" t="s">
        <v>67</v>
      </c>
      <c r="Y44" s="53"/>
      <c r="Z44" s="53" t="s">
        <v>67</v>
      </c>
      <c r="AA44" s="53" t="s">
        <v>67</v>
      </c>
      <c r="AB44" s="53" t="s">
        <v>67</v>
      </c>
      <c r="AC44" s="53" t="s">
        <v>67</v>
      </c>
      <c r="AD44" s="53" t="s">
        <v>67</v>
      </c>
      <c r="AE44" s="53"/>
      <c r="AF44" s="53"/>
      <c r="AG44" s="53" t="s">
        <v>78</v>
      </c>
      <c r="AH44" s="53" t="s">
        <v>78</v>
      </c>
      <c r="AI44" s="53" t="s">
        <v>78</v>
      </c>
      <c r="AJ44" s="53" t="s">
        <v>78</v>
      </c>
      <c r="AK44" s="71" t="s">
        <v>78</v>
      </c>
      <c r="AL44" s="24"/>
      <c r="AM44" s="79">
        <f t="shared" si="6"/>
        <v>9</v>
      </c>
      <c r="AN44" s="54"/>
      <c r="AO44" s="79">
        <f t="shared" si="7"/>
        <v>5</v>
      </c>
      <c r="AP44" s="24"/>
      <c r="AQ44" s="79" t="str">
        <f t="shared" si="8"/>
        <v/>
      </c>
      <c r="AR44" s="54"/>
      <c r="AS44" s="79">
        <f t="shared" si="9"/>
        <v>14</v>
      </c>
      <c r="AT44" s="24"/>
    </row>
    <row r="45" spans="1:47" ht="27.6" customHeight="1" x14ac:dyDescent="0.3">
      <c r="A45" s="24"/>
      <c r="B45" s="24"/>
      <c r="C45" s="56" t="s">
        <v>209</v>
      </c>
      <c r="D45" s="24"/>
      <c r="E45" s="191" t="str">
        <f>IFERROR(VLOOKUP(C45,'DATOS GRALES 1'!$B$2:$E$52,4,0),"")</f>
        <v>PEON</v>
      </c>
      <c r="F45" s="192"/>
      <c r="G45" s="70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 t="s">
        <v>67</v>
      </c>
      <c r="V45" s="53" t="s">
        <v>67</v>
      </c>
      <c r="W45" s="53" t="s">
        <v>67</v>
      </c>
      <c r="X45" s="53" t="s">
        <v>67</v>
      </c>
      <c r="Y45" s="53"/>
      <c r="Z45" s="53" t="s">
        <v>67</v>
      </c>
      <c r="AA45" s="53" t="s">
        <v>67</v>
      </c>
      <c r="AB45" s="53" t="s">
        <v>67</v>
      </c>
      <c r="AC45" s="53" t="s">
        <v>67</v>
      </c>
      <c r="AD45" s="53" t="s">
        <v>67</v>
      </c>
      <c r="AE45" s="53"/>
      <c r="AF45" s="53"/>
      <c r="AG45" s="53" t="s">
        <v>67</v>
      </c>
      <c r="AH45" s="53" t="s">
        <v>67</v>
      </c>
      <c r="AI45" s="53" t="s">
        <v>67</v>
      </c>
      <c r="AJ45" s="53" t="s">
        <v>67</v>
      </c>
      <c r="AK45" s="71" t="s">
        <v>67</v>
      </c>
      <c r="AL45" s="24"/>
      <c r="AM45" s="79">
        <f t="shared" si="6"/>
        <v>14</v>
      </c>
      <c r="AN45" s="54"/>
      <c r="AO45" s="79" t="str">
        <f t="shared" si="7"/>
        <v/>
      </c>
      <c r="AP45" s="24"/>
      <c r="AQ45" s="79" t="str">
        <f t="shared" si="8"/>
        <v/>
      </c>
      <c r="AR45" s="54"/>
      <c r="AS45" s="79">
        <f t="shared" si="9"/>
        <v>14</v>
      </c>
      <c r="AT45" s="24"/>
    </row>
    <row r="46" spans="1:47" ht="27.6" customHeight="1" x14ac:dyDescent="0.3">
      <c r="A46" s="24"/>
      <c r="B46" s="24"/>
      <c r="C46" s="56" t="s">
        <v>210</v>
      </c>
      <c r="D46" s="24"/>
      <c r="E46" s="191" t="str">
        <f>IFERROR(VLOOKUP(C46,'DATOS GRALES 1'!$B$2:$E$52,4,0),"")</f>
        <v>OPERARIO</v>
      </c>
      <c r="F46" s="192"/>
      <c r="G46" s="70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 t="s">
        <v>67</v>
      </c>
      <c r="V46" s="53" t="s">
        <v>67</v>
      </c>
      <c r="W46" s="53" t="s">
        <v>67</v>
      </c>
      <c r="X46" s="53" t="s">
        <v>67</v>
      </c>
      <c r="Y46" s="53"/>
      <c r="Z46" s="53" t="s">
        <v>67</v>
      </c>
      <c r="AA46" s="53" t="s">
        <v>67</v>
      </c>
      <c r="AB46" s="53" t="s">
        <v>67</v>
      </c>
      <c r="AC46" s="53" t="s">
        <v>67</v>
      </c>
      <c r="AD46" s="53" t="s">
        <v>67</v>
      </c>
      <c r="AE46" s="53"/>
      <c r="AF46" s="53"/>
      <c r="AG46" s="53" t="s">
        <v>67</v>
      </c>
      <c r="AH46" s="53" t="s">
        <v>67</v>
      </c>
      <c r="AI46" s="53" t="s">
        <v>67</v>
      </c>
      <c r="AJ46" s="53" t="s">
        <v>67</v>
      </c>
      <c r="AK46" s="71" t="s">
        <v>67</v>
      </c>
      <c r="AL46" s="24"/>
      <c r="AM46" s="79">
        <f t="shared" si="6"/>
        <v>14</v>
      </c>
      <c r="AN46" s="54"/>
      <c r="AO46" s="79" t="str">
        <f t="shared" si="7"/>
        <v/>
      </c>
      <c r="AP46" s="24"/>
      <c r="AQ46" s="79" t="str">
        <f t="shared" si="8"/>
        <v/>
      </c>
      <c r="AR46" s="54"/>
      <c r="AS46" s="79">
        <f t="shared" si="9"/>
        <v>14</v>
      </c>
      <c r="AT46" s="24"/>
    </row>
    <row r="47" spans="1:47" ht="27.6" customHeight="1" x14ac:dyDescent="0.3">
      <c r="A47" s="24"/>
      <c r="B47" s="24"/>
      <c r="C47" s="56" t="s">
        <v>212</v>
      </c>
      <c r="D47" s="24"/>
      <c r="E47" s="191" t="str">
        <f>IFERROR(VLOOKUP(C47,'DATOS GRALES 1'!$B$2:$E$52,4,0),"")</f>
        <v>OPERARIO</v>
      </c>
      <c r="F47" s="192"/>
      <c r="G47" s="70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 t="s">
        <v>67</v>
      </c>
      <c r="V47" s="53" t="s">
        <v>67</v>
      </c>
      <c r="W47" s="53" t="s">
        <v>67</v>
      </c>
      <c r="X47" s="53" t="s">
        <v>67</v>
      </c>
      <c r="Y47" s="53"/>
      <c r="Z47" s="53" t="s">
        <v>67</v>
      </c>
      <c r="AA47" s="53" t="s">
        <v>67</v>
      </c>
      <c r="AB47" s="53" t="s">
        <v>67</v>
      </c>
      <c r="AC47" s="53" t="s">
        <v>78</v>
      </c>
      <c r="AD47" s="53" t="s">
        <v>78</v>
      </c>
      <c r="AE47" s="53"/>
      <c r="AF47" s="53"/>
      <c r="AG47" s="53" t="s">
        <v>67</v>
      </c>
      <c r="AH47" s="53" t="s">
        <v>67</v>
      </c>
      <c r="AI47" s="53" t="s">
        <v>67</v>
      </c>
      <c r="AJ47" s="53" t="s">
        <v>67</v>
      </c>
      <c r="AK47" s="71" t="s">
        <v>67</v>
      </c>
      <c r="AL47" s="24"/>
      <c r="AM47" s="79">
        <f t="shared" si="6"/>
        <v>12</v>
      </c>
      <c r="AN47" s="54"/>
      <c r="AO47" s="79">
        <f t="shared" si="7"/>
        <v>2</v>
      </c>
      <c r="AP47" s="24"/>
      <c r="AQ47" s="79" t="str">
        <f t="shared" si="8"/>
        <v/>
      </c>
      <c r="AR47" s="54"/>
      <c r="AS47" s="79">
        <f t="shared" si="9"/>
        <v>14</v>
      </c>
      <c r="AT47" s="24"/>
    </row>
    <row r="48" spans="1:47" ht="27.6" customHeight="1" x14ac:dyDescent="0.3">
      <c r="A48" s="24"/>
      <c r="B48" s="24"/>
      <c r="C48" s="56" t="s">
        <v>213</v>
      </c>
      <c r="D48" s="24"/>
      <c r="E48" s="191" t="str">
        <f>IFERROR(VLOOKUP(C48,'DATOS GRALES 1'!$B$2:$E$52,4,0),"")</f>
        <v>PEON</v>
      </c>
      <c r="F48" s="192"/>
      <c r="G48" s="70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 t="s">
        <v>67</v>
      </c>
      <c r="AA48" s="53" t="s">
        <v>67</v>
      </c>
      <c r="AB48" s="53" t="s">
        <v>67</v>
      </c>
      <c r="AC48" s="53" t="s">
        <v>67</v>
      </c>
      <c r="AD48" s="53" t="s">
        <v>67</v>
      </c>
      <c r="AE48" s="53"/>
      <c r="AF48" s="53"/>
      <c r="AG48" s="53" t="s">
        <v>67</v>
      </c>
      <c r="AH48" s="53" t="s">
        <v>67</v>
      </c>
      <c r="AI48" s="53" t="s">
        <v>67</v>
      </c>
      <c r="AJ48" s="53" t="s">
        <v>67</v>
      </c>
      <c r="AK48" s="71" t="s">
        <v>67</v>
      </c>
      <c r="AL48" s="24"/>
      <c r="AM48" s="79">
        <f t="shared" si="6"/>
        <v>10</v>
      </c>
      <c r="AN48" s="54"/>
      <c r="AO48" s="79" t="str">
        <f t="shared" si="7"/>
        <v/>
      </c>
      <c r="AP48" s="24"/>
      <c r="AQ48" s="79" t="str">
        <f t="shared" si="8"/>
        <v/>
      </c>
      <c r="AR48" s="54"/>
      <c r="AS48" s="79">
        <f t="shared" si="9"/>
        <v>10</v>
      </c>
      <c r="AT48" s="24"/>
    </row>
    <row r="49" spans="1:46" ht="27.6" customHeight="1" x14ac:dyDescent="0.3">
      <c r="A49" s="24"/>
      <c r="B49" s="24"/>
      <c r="C49" s="56" t="s">
        <v>215</v>
      </c>
      <c r="D49" s="24"/>
      <c r="E49" s="191" t="str">
        <f>IFERROR(VLOOKUP(C49,'DATOS GRALES 1'!$B$2:$E$52,4,0),"")</f>
        <v>PEON</v>
      </c>
      <c r="F49" s="192"/>
      <c r="G49" s="70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 t="s">
        <v>67</v>
      </c>
      <c r="AA49" s="53" t="s">
        <v>67</v>
      </c>
      <c r="AB49" s="53" t="s">
        <v>67</v>
      </c>
      <c r="AC49" s="53" t="s">
        <v>67</v>
      </c>
      <c r="AD49" s="53" t="s">
        <v>67</v>
      </c>
      <c r="AE49" s="53"/>
      <c r="AF49" s="53"/>
      <c r="AG49" s="53" t="s">
        <v>67</v>
      </c>
      <c r="AH49" s="53" t="s">
        <v>67</v>
      </c>
      <c r="AI49" s="53" t="s">
        <v>67</v>
      </c>
      <c r="AJ49" s="53" t="s">
        <v>67</v>
      </c>
      <c r="AK49" s="71" t="s">
        <v>67</v>
      </c>
      <c r="AL49" s="24"/>
      <c r="AM49" s="79">
        <f t="shared" si="6"/>
        <v>10</v>
      </c>
      <c r="AN49" s="54"/>
      <c r="AO49" s="79" t="str">
        <f t="shared" si="7"/>
        <v/>
      </c>
      <c r="AP49" s="24"/>
      <c r="AQ49" s="79" t="str">
        <f t="shared" si="8"/>
        <v/>
      </c>
      <c r="AR49" s="54"/>
      <c r="AS49" s="79">
        <f t="shared" si="9"/>
        <v>10</v>
      </c>
      <c r="AT49" s="24"/>
    </row>
    <row r="50" spans="1:46" ht="27.6" customHeight="1" x14ac:dyDescent="0.3">
      <c r="A50" s="24"/>
      <c r="B50" s="24"/>
      <c r="C50" s="56" t="s">
        <v>218</v>
      </c>
      <c r="D50" s="24"/>
      <c r="E50" s="191" t="str">
        <f>IFERROR(VLOOKUP(C50,'DATOS GRALES 1'!$B$2:$E$52,4,0),"")</f>
        <v>PEON</v>
      </c>
      <c r="F50" s="192"/>
      <c r="G50" s="70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 t="s">
        <v>67</v>
      </c>
      <c r="AB50" s="53" t="s">
        <v>67</v>
      </c>
      <c r="AC50" s="53" t="s">
        <v>67</v>
      </c>
      <c r="AD50" s="53" t="s">
        <v>67</v>
      </c>
      <c r="AE50" s="53"/>
      <c r="AF50" s="53"/>
      <c r="AG50" s="53" t="s">
        <v>67</v>
      </c>
      <c r="AH50" s="53" t="s">
        <v>67</v>
      </c>
      <c r="AI50" s="53" t="s">
        <v>67</v>
      </c>
      <c r="AJ50" s="53" t="s">
        <v>67</v>
      </c>
      <c r="AK50" s="71" t="s">
        <v>67</v>
      </c>
      <c r="AL50" s="24"/>
      <c r="AM50" s="79">
        <f t="shared" si="6"/>
        <v>9</v>
      </c>
      <c r="AN50" s="54"/>
      <c r="AO50" s="79" t="str">
        <f t="shared" si="7"/>
        <v/>
      </c>
      <c r="AP50" s="24"/>
      <c r="AQ50" s="79" t="str">
        <f t="shared" si="8"/>
        <v/>
      </c>
      <c r="AR50" s="54"/>
      <c r="AS50" s="79">
        <f t="shared" si="9"/>
        <v>9</v>
      </c>
      <c r="AT50" s="24"/>
    </row>
    <row r="51" spans="1:46" ht="28.95" customHeight="1" thickBot="1" x14ac:dyDescent="0.35">
      <c r="A51" s="24"/>
      <c r="B51" s="24"/>
      <c r="C51" s="56" t="s">
        <v>220</v>
      </c>
      <c r="D51" s="24"/>
      <c r="E51" s="191" t="str">
        <f>IFERROR(VLOOKUP(C51,'DATOS GRALES 1'!$B$2:$E$52,4,0),"")</f>
        <v>PEON</v>
      </c>
      <c r="F51" s="192"/>
      <c r="G51" s="72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 t="s">
        <v>67</v>
      </c>
      <c r="AB51" s="73" t="s">
        <v>67</v>
      </c>
      <c r="AC51" s="73" t="s">
        <v>67</v>
      </c>
      <c r="AD51" s="73" t="s">
        <v>67</v>
      </c>
      <c r="AE51" s="73"/>
      <c r="AF51" s="73"/>
      <c r="AG51" s="73" t="s">
        <v>67</v>
      </c>
      <c r="AH51" s="73" t="s">
        <v>67</v>
      </c>
      <c r="AI51" s="73" t="s">
        <v>67</v>
      </c>
      <c r="AJ51" s="73" t="s">
        <v>67</v>
      </c>
      <c r="AK51" s="74" t="s">
        <v>67</v>
      </c>
      <c r="AL51" s="24"/>
      <c r="AM51" s="80">
        <f t="shared" si="6"/>
        <v>9</v>
      </c>
      <c r="AN51" s="54"/>
      <c r="AO51" s="80" t="str">
        <f t="shared" si="7"/>
        <v/>
      </c>
      <c r="AP51" s="24"/>
      <c r="AQ51" s="80" t="str">
        <f t="shared" si="8"/>
        <v/>
      </c>
      <c r="AR51" s="54"/>
      <c r="AS51" s="85">
        <f t="shared" si="9"/>
        <v>9</v>
      </c>
      <c r="AT51" s="24"/>
    </row>
    <row r="52" spans="1:46" ht="28.95" customHeight="1" thickBot="1" x14ac:dyDescent="0.35">
      <c r="C52" s="56" t="s">
        <v>222</v>
      </c>
      <c r="D52" s="24"/>
      <c r="E52" s="191" t="str">
        <f>IFERROR(VLOOKUP(C52,'DATOS GRALES 1'!$B$2:$E$52,4,0),"")</f>
        <v>OPERARIO</v>
      </c>
      <c r="F52" s="192"/>
      <c r="G52" s="72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 t="s">
        <v>67</v>
      </c>
      <c r="AB52" s="73" t="s">
        <v>67</v>
      </c>
      <c r="AC52" s="73" t="s">
        <v>67</v>
      </c>
      <c r="AD52" s="73" t="s">
        <v>67</v>
      </c>
      <c r="AE52" s="73"/>
      <c r="AF52" s="73"/>
      <c r="AG52" s="73" t="s">
        <v>67</v>
      </c>
      <c r="AH52" s="73" t="s">
        <v>67</v>
      </c>
      <c r="AI52" s="73" t="s">
        <v>67</v>
      </c>
      <c r="AJ52" s="73" t="s">
        <v>67</v>
      </c>
      <c r="AK52" s="74" t="s">
        <v>67</v>
      </c>
      <c r="AL52" s="24"/>
      <c r="AM52" s="80">
        <f t="shared" ref="AM52:AM54" si="10">IF(COUNTIF(G52:AK52,"SI")=0,"",COUNTIF(G52:AK52,"SI"))</f>
        <v>9</v>
      </c>
      <c r="AN52" s="54"/>
      <c r="AO52" s="80" t="str">
        <f t="shared" ref="AO52:AO54" si="11">IF(COUNTIF(G52:AK52,"NO")=0,"",COUNTIF(G52:AK52,"NO"))</f>
        <v/>
      </c>
      <c r="AP52" s="24"/>
      <c r="AQ52" s="80" t="str">
        <f t="shared" ref="AQ52:AQ54" si="12">IF(COUNTIF(G52:AK52,"MED")=0,"",COUNTIF(G52:AK52,"MED"))</f>
        <v/>
      </c>
      <c r="AR52" s="54"/>
      <c r="AS52" s="85">
        <f t="shared" ref="AS52:AS54" si="13">IF(SUM(AM52:AQ52)=0,"",SUM(AM52:AQ52))</f>
        <v>9</v>
      </c>
    </row>
    <row r="53" spans="1:46" ht="28.95" customHeight="1" thickBot="1" x14ac:dyDescent="0.35">
      <c r="C53" s="56" t="s">
        <v>224</v>
      </c>
      <c r="D53" s="24"/>
      <c r="E53" s="191" t="str">
        <f>IFERROR(VLOOKUP(C53,'DATOS GRALES 1'!$B$2:$E$52,4,0),"")</f>
        <v>OPERARIO</v>
      </c>
      <c r="F53" s="192"/>
      <c r="G53" s="72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 t="s">
        <v>67</v>
      </c>
      <c r="AB53" s="73" t="s">
        <v>67</v>
      </c>
      <c r="AC53" s="73" t="s">
        <v>67</v>
      </c>
      <c r="AD53" s="73" t="s">
        <v>67</v>
      </c>
      <c r="AE53" s="73"/>
      <c r="AF53" s="73"/>
      <c r="AG53" s="73" t="s">
        <v>67</v>
      </c>
      <c r="AH53" s="73" t="s">
        <v>67</v>
      </c>
      <c r="AI53" s="73" t="s">
        <v>67</v>
      </c>
      <c r="AJ53" s="73" t="s">
        <v>67</v>
      </c>
      <c r="AK53" s="74" t="s">
        <v>67</v>
      </c>
      <c r="AL53" s="24"/>
      <c r="AM53" s="80">
        <f t="shared" si="10"/>
        <v>9</v>
      </c>
      <c r="AN53" s="54"/>
      <c r="AO53" s="80" t="str">
        <f t="shared" si="11"/>
        <v/>
      </c>
      <c r="AP53" s="24"/>
      <c r="AQ53" s="80" t="str">
        <f t="shared" si="12"/>
        <v/>
      </c>
      <c r="AR53" s="54"/>
      <c r="AS53" s="85">
        <f t="shared" si="13"/>
        <v>9</v>
      </c>
    </row>
    <row r="54" spans="1:46" ht="28.95" customHeight="1" thickBot="1" x14ac:dyDescent="0.35">
      <c r="C54" s="56" t="s">
        <v>226</v>
      </c>
      <c r="D54" s="24"/>
      <c r="E54" s="191" t="str">
        <f>IFERROR(VLOOKUP(C54,'DATOS GRALES 1'!$B$2:$E$52,4,0),"")</f>
        <v>OPERARIO</v>
      </c>
      <c r="F54" s="192"/>
      <c r="G54" s="72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 t="s">
        <v>67</v>
      </c>
      <c r="AH54" s="73" t="s">
        <v>67</v>
      </c>
      <c r="AI54" s="73" t="s">
        <v>67</v>
      </c>
      <c r="AJ54" s="73" t="s">
        <v>67</v>
      </c>
      <c r="AK54" s="74" t="s">
        <v>67</v>
      </c>
      <c r="AL54" s="24"/>
      <c r="AM54" s="80">
        <f t="shared" si="10"/>
        <v>5</v>
      </c>
      <c r="AN54" s="54"/>
      <c r="AO54" s="80" t="str">
        <f t="shared" si="11"/>
        <v/>
      </c>
      <c r="AP54" s="24"/>
      <c r="AQ54" s="80" t="str">
        <f t="shared" si="12"/>
        <v/>
      </c>
      <c r="AR54" s="54"/>
      <c r="AS54" s="85">
        <f t="shared" si="13"/>
        <v>5</v>
      </c>
    </row>
    <row r="55" spans="1:46" ht="28.8" customHeight="1" thickBot="1" x14ac:dyDescent="0.35">
      <c r="C55" s="56" t="s">
        <v>230</v>
      </c>
      <c r="D55" s="24"/>
      <c r="E55" s="191" t="str">
        <f>IFERROR(VLOOKUP(C55,'DATOS GRALES 1'!$B$2:$E$52,4,0),"")</f>
        <v>OPERARIO</v>
      </c>
      <c r="F55" s="192"/>
      <c r="G55" s="72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 t="s">
        <v>67</v>
      </c>
      <c r="AJ55" s="73" t="s">
        <v>67</v>
      </c>
      <c r="AK55" s="74" t="s">
        <v>67</v>
      </c>
      <c r="AL55" s="24"/>
      <c r="AM55" s="80">
        <f t="shared" ref="AM55" si="14">IF(COUNTIF(G55:AK55,"SI")=0,"",COUNTIF(G55:AK55,"SI"))</f>
        <v>3</v>
      </c>
      <c r="AN55" s="54"/>
      <c r="AO55" s="80" t="str">
        <f t="shared" ref="AO55" si="15">IF(COUNTIF(G55:AK55,"NO")=0,"",COUNTIF(G55:AK55,"NO"))</f>
        <v/>
      </c>
      <c r="AP55" s="24"/>
      <c r="AQ55" s="80" t="str">
        <f t="shared" ref="AQ55" si="16">IF(COUNTIF(G55:AK55,"MED")=0,"",COUNTIF(G55:AK55,"MED"))</f>
        <v/>
      </c>
      <c r="AR55" s="54"/>
      <c r="AS55" s="85">
        <f t="shared" ref="AS55" si="17">IF(SUM(AM55:AQ55)=0,"",SUM(AM55:AQ55))</f>
        <v>3</v>
      </c>
    </row>
  </sheetData>
  <mergeCells count="80">
    <mergeCell ref="AD4:AE4"/>
    <mergeCell ref="AG4:AH4"/>
    <mergeCell ref="V5:AA6"/>
    <mergeCell ref="AD5:AF6"/>
    <mergeCell ref="AG5:AH6"/>
    <mergeCell ref="I8:I11"/>
    <mergeCell ref="J8:J11"/>
    <mergeCell ref="K8:K11"/>
    <mergeCell ref="L8:L11"/>
    <mergeCell ref="E4:G4"/>
    <mergeCell ref="E6:G6"/>
    <mergeCell ref="E18:F18"/>
    <mergeCell ref="AE8:AE11"/>
    <mergeCell ref="AF8:AF11"/>
    <mergeCell ref="AG8:AG11"/>
    <mergeCell ref="AH8:AH11"/>
    <mergeCell ref="Y8:Y11"/>
    <mergeCell ref="Z8:Z11"/>
    <mergeCell ref="AA8:AA11"/>
    <mergeCell ref="AB8:AB11"/>
    <mergeCell ref="AC8:AC11"/>
    <mergeCell ref="AD8:AD11"/>
    <mergeCell ref="S8:S11"/>
    <mergeCell ref="T8:T11"/>
    <mergeCell ref="U8:U11"/>
    <mergeCell ref="V8:V11"/>
    <mergeCell ref="W8:W11"/>
    <mergeCell ref="AK8:AK11"/>
    <mergeCell ref="E13:F13"/>
    <mergeCell ref="E15:F15"/>
    <mergeCell ref="E16:F16"/>
    <mergeCell ref="E17:F17"/>
    <mergeCell ref="AI8:AI11"/>
    <mergeCell ref="AJ8:AJ11"/>
    <mergeCell ref="X8:X11"/>
    <mergeCell ref="M8:M11"/>
    <mergeCell ref="N8:N11"/>
    <mergeCell ref="O8:O11"/>
    <mergeCell ref="P8:P11"/>
    <mergeCell ref="Q8:Q11"/>
    <mergeCell ref="R8:R11"/>
    <mergeCell ref="G8:G11"/>
    <mergeCell ref="H8:H11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8:F48"/>
    <mergeCell ref="E41:F41"/>
    <mergeCell ref="E46:F46"/>
    <mergeCell ref="E47:F47"/>
    <mergeCell ref="E52:F52"/>
    <mergeCell ref="E43:F43"/>
    <mergeCell ref="E44:F44"/>
    <mergeCell ref="E45:F45"/>
    <mergeCell ref="E42:F42"/>
    <mergeCell ref="E55:F55"/>
    <mergeCell ref="E54:F54"/>
    <mergeCell ref="E49:F49"/>
    <mergeCell ref="E50:F50"/>
    <mergeCell ref="E51:F51"/>
    <mergeCell ref="E53:F53"/>
  </mergeCells>
  <conditionalFormatting sqref="D15:D55">
    <cfRule type="expression" dxfId="25" priority="4">
      <formula>AND(_HorasExtras="SI",OR(_Datos&gt;_PorEncimade))</formula>
    </cfRule>
  </conditionalFormatting>
  <conditionalFormatting sqref="G8:AK12">
    <cfRule type="expression" dxfId="24" priority="11">
      <formula>MONTH(_Fechainicial)&lt;&gt;MONTH($E$4&amp;1)</formula>
    </cfRule>
  </conditionalFormatting>
  <conditionalFormatting sqref="G12:AK12">
    <cfRule type="expression" dxfId="23" priority="7">
      <formula>OR(WEEKDAY(_Fechainicial,2)&gt;=7,ISNUMBER(MATCH(_Fechainicial,nFestivo,0)),MONTH(_Fechainicial)&lt;&gt;MONTH($E$4&amp;1))</formula>
    </cfRule>
    <cfRule type="expression" dxfId="22" priority="9">
      <formula>MONTH(_Fechainicial)=MONTH($E$4&amp;1)</formula>
    </cfRule>
  </conditionalFormatting>
  <conditionalFormatting sqref="G13:AK13">
    <cfRule type="expression" dxfId="21" priority="10">
      <formula>MONTH(_Fechainicial)&lt;&gt;MONTH($E$4&amp;1)</formula>
    </cfRule>
    <cfRule type="expression" dxfId="20" priority="13">
      <formula>WEEKDAY(_Fechainicial,2)&gt;WEEKDAY(_FechaSiguiente,2)</formula>
    </cfRule>
  </conditionalFormatting>
  <conditionalFormatting sqref="G15:AK55">
    <cfRule type="containsText" dxfId="19" priority="1" operator="containsText" text="MED">
      <formula>NOT(ISERROR(SEARCH("MED",G15)))</formula>
    </cfRule>
    <cfRule type="containsText" dxfId="18" priority="2" operator="containsText" text="NO">
      <formula>NOT(ISERROR(SEARCH("NO",G15)))</formula>
    </cfRule>
    <cfRule type="containsText" dxfId="17" priority="3" operator="containsText" text="SI">
      <formula>NOT(ISERROR(SEARCH("SI",G15)))</formula>
    </cfRule>
    <cfRule type="expression" dxfId="16" priority="8">
      <formula>OR(WEEKDAY(_Fechainicial,2)&gt;=7,ISNUMBER(MATCH(_Fechainicial,nFestivo,0)),MONTH(_Fechainicial)&lt;&gt;MONTH($E$4&amp;1))</formula>
    </cfRule>
    <cfRule type="expression" dxfId="15" priority="12">
      <formula>WEEKDAY(_Fechainicial,2)&gt;WEEKDAY(_FechaSiguiente,2)</formula>
    </cfRule>
  </conditionalFormatting>
  <conditionalFormatting sqref="AO4">
    <cfRule type="expression" dxfId="14" priority="6">
      <formula>_HorasExtras="NO"</formula>
    </cfRule>
  </conditionalFormatting>
  <conditionalFormatting sqref="AO6">
    <cfRule type="expression" dxfId="13" priority="5">
      <formula>_HorasExtras="NO"</formula>
    </cfRule>
  </conditionalFormatting>
  <dataValidations count="3">
    <dataValidation type="list" allowBlank="1" showInputMessage="1" showErrorMessage="1" sqref="E4:G4" xr:uid="{FB1AD685-207B-49FC-AA49-8CBC8A8ABDAB}">
      <formula1>"Enero, Febrero, Marzo, Abril, Mayo, Junio, Julio, Agosto, Setiembre, Octubre, Noviembre, Diciembre"</formula1>
    </dataValidation>
    <dataValidation type="list" allowBlank="1" showInputMessage="1" showErrorMessage="1" sqref="AO4" xr:uid="{4C8B61DA-50AE-4EE8-AD65-CB7E531FE684}">
      <formula1>"SI, NO"</formula1>
    </dataValidation>
    <dataValidation type="list" allowBlank="1" showInputMessage="1" showErrorMessage="1" sqref="AO6" xr:uid="{111383AD-9A57-4904-86F4-AEA55B3E0BB7}">
      <formula1>"8, 9, 10"</formula1>
    </dataValidation>
  </dataValidations>
  <pageMargins left="0.21" right="0.2" top="0.31" bottom="0.27" header="0.3" footer="0.3"/>
  <pageSetup paperSize="9" scale="41" orientation="landscape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B35A52-5693-48DB-86ED-F92C4A367AF7}">
          <x14:formula1>
            <xm:f>'DATOS GRALES 1'!$B$2:$B$36</xm:f>
          </x14:formula1>
          <xm:sqref>C15:C22 C24:C47</xm:sqref>
        </x14:dataValidation>
        <x14:dataValidation type="list" allowBlank="1" showInputMessage="1" showErrorMessage="1" xr:uid="{DDBBFD80-A2BD-46C1-B49F-E0657596B189}">
          <x14:formula1>
            <xm:f>'DATOS GRALES 1'!$B$2:$B$62</xm:f>
          </x14:formula1>
          <xm:sqref>C48:C55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E8ED-90A6-4EA2-A3D7-356CC68E1088}">
  <sheetPr>
    <pageSetUpPr fitToPage="1"/>
  </sheetPr>
  <dimension ref="A1:AU72"/>
  <sheetViews>
    <sheetView tabSelected="1" topLeftCell="A13" zoomScale="80" zoomScaleNormal="80" workbookViewId="0">
      <pane xSplit="4" topLeftCell="E1" activePane="topRight" state="frozen"/>
      <selection activeCell="A10" sqref="A10"/>
      <selection pane="topRight" activeCell="AM15" sqref="AM15"/>
    </sheetView>
  </sheetViews>
  <sheetFormatPr baseColWidth="10" defaultColWidth="10.77734375" defaultRowHeight="14.4" x14ac:dyDescent="0.3"/>
  <cols>
    <col min="1" max="2" width="1.77734375" customWidth="1"/>
    <col min="3" max="3" width="39.21875" customWidth="1"/>
    <col min="4" max="4" width="0.88671875" customWidth="1"/>
    <col min="5" max="5" width="11.6640625" customWidth="1"/>
    <col min="6" max="37" width="4.88671875" customWidth="1"/>
    <col min="38" max="38" width="0.88671875" customWidth="1"/>
    <col min="39" max="39" width="13.5546875" customWidth="1"/>
    <col min="40" max="40" width="0.88671875" customWidth="1"/>
    <col min="41" max="41" width="13.5546875" customWidth="1"/>
    <col min="42" max="42" width="0.88671875" customWidth="1"/>
    <col min="43" max="43" width="16.109375" customWidth="1"/>
    <col min="44" max="44" width="0.88671875" customWidth="1"/>
    <col min="45" max="45" width="13.33203125" customWidth="1"/>
    <col min="46" max="46" width="0.5546875" customWidth="1"/>
    <col min="47" max="47" width="33" customWidth="1"/>
  </cols>
  <sheetData>
    <row r="1" spans="1:46" ht="30" customHeight="1" x14ac:dyDescent="0.3">
      <c r="A1" s="21"/>
      <c r="B1" s="21"/>
      <c r="C1" s="22" t="s">
        <v>84</v>
      </c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46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</row>
    <row r="3" spans="1:46" ht="4.95" customHeight="1" thickBot="1" x14ac:dyDescent="0.35">
      <c r="A3" s="24"/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  <c r="M3" s="24"/>
      <c r="N3" s="27"/>
      <c r="O3" s="28"/>
      <c r="P3" s="28"/>
      <c r="Q3" s="28"/>
      <c r="R3" s="28"/>
      <c r="S3" s="28"/>
      <c r="T3" s="29"/>
      <c r="U3" s="24"/>
      <c r="V3" s="27"/>
      <c r="W3" s="28"/>
      <c r="X3" s="28"/>
      <c r="Y3" s="28"/>
      <c r="Z3" s="28"/>
      <c r="AA3" s="28"/>
      <c r="AB3" s="29"/>
      <c r="AC3" s="24"/>
      <c r="AD3" s="25"/>
      <c r="AE3" s="25"/>
      <c r="AF3" s="25"/>
      <c r="AG3" s="25"/>
      <c r="AH3" s="25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spans="1:46" ht="15" thickBot="1" x14ac:dyDescent="0.35">
      <c r="A4" s="24"/>
      <c r="B4" s="30"/>
      <c r="C4" s="35" t="s">
        <v>48</v>
      </c>
      <c r="D4" s="25"/>
      <c r="E4" s="188" t="s">
        <v>231</v>
      </c>
      <c r="F4" s="189"/>
      <c r="G4" s="190"/>
      <c r="H4" s="110" t="s">
        <v>51</v>
      </c>
      <c r="I4" s="25"/>
      <c r="J4" s="25"/>
      <c r="K4" s="25"/>
      <c r="L4" s="31"/>
      <c r="M4" s="24"/>
      <c r="N4" s="45" t="s">
        <v>54</v>
      </c>
      <c r="O4" s="42"/>
      <c r="P4" s="42"/>
      <c r="Q4" s="43" t="s">
        <v>57</v>
      </c>
      <c r="R4" s="42"/>
      <c r="S4" s="42"/>
      <c r="T4" s="44"/>
      <c r="U4" s="24"/>
      <c r="V4" s="45" t="s">
        <v>60</v>
      </c>
      <c r="W4" s="25"/>
      <c r="X4" s="25"/>
      <c r="Y4" s="25"/>
      <c r="Z4" s="25"/>
      <c r="AA4" s="25"/>
      <c r="AB4" s="31"/>
      <c r="AC4" s="24"/>
      <c r="AD4" s="182" t="s">
        <v>61</v>
      </c>
      <c r="AE4" s="182"/>
      <c r="AF4" s="25"/>
      <c r="AG4" s="182" t="s">
        <v>62</v>
      </c>
      <c r="AH4" s="182"/>
      <c r="AI4" s="24"/>
      <c r="AJ4" s="24"/>
      <c r="AK4" s="24"/>
      <c r="AL4" s="24"/>
      <c r="AM4" s="48" t="s">
        <v>65</v>
      </c>
      <c r="AN4" s="24"/>
      <c r="AO4" s="49" t="s">
        <v>78</v>
      </c>
      <c r="AP4" s="24"/>
      <c r="AQ4" s="24"/>
      <c r="AR4" s="24"/>
      <c r="AS4" s="24"/>
      <c r="AT4" s="24"/>
    </row>
    <row r="5" spans="1:46" ht="15" thickBot="1" x14ac:dyDescent="0.35">
      <c r="A5" s="24"/>
      <c r="B5" s="30"/>
      <c r="C5" s="25"/>
      <c r="D5" s="25"/>
      <c r="E5" s="25"/>
      <c r="F5" s="25"/>
      <c r="G5" s="25"/>
      <c r="H5" s="25"/>
      <c r="I5" s="25"/>
      <c r="J5" s="25"/>
      <c r="K5" s="25"/>
      <c r="L5" s="31"/>
      <c r="M5" s="24"/>
      <c r="N5" s="45" t="s">
        <v>55</v>
      </c>
      <c r="O5" s="42"/>
      <c r="P5" s="42"/>
      <c r="Q5" s="43" t="s">
        <v>58</v>
      </c>
      <c r="R5" s="42"/>
      <c r="S5" s="42"/>
      <c r="T5" s="44"/>
      <c r="U5" s="24"/>
      <c r="V5" s="180" t="str">
        <f>"Desde: "&amp;TEXT(DATE(E6,MONTH(E4&amp;1),1),"mmm-dd-yy")&amp;" Hasta "&amp;TEXT(EOMONTH(DATE(E6,MONTH(E4&amp;1),1),0),"mmm-dd-yy")</f>
        <v>Desde: Nov-01-25 Hasta Nov-30-25</v>
      </c>
      <c r="W5" s="181"/>
      <c r="X5" s="181"/>
      <c r="Y5" s="181"/>
      <c r="Z5" s="181"/>
      <c r="AA5" s="181"/>
      <c r="AB5" s="31"/>
      <c r="AC5" s="24"/>
      <c r="AD5" s="183" t="str">
        <f>E4</f>
        <v>Noviembre</v>
      </c>
      <c r="AE5" s="183"/>
      <c r="AF5" s="183"/>
      <c r="AG5" s="183">
        <f>E6</f>
        <v>2025</v>
      </c>
      <c r="AH5" s="183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spans="1:46" ht="15" thickBot="1" x14ac:dyDescent="0.35">
      <c r="A6" s="24"/>
      <c r="B6" s="30"/>
      <c r="C6" s="36" t="s">
        <v>49</v>
      </c>
      <c r="D6" s="25"/>
      <c r="E6" s="188">
        <v>2025</v>
      </c>
      <c r="F6" s="189"/>
      <c r="G6" s="190"/>
      <c r="H6" s="110" t="s">
        <v>50</v>
      </c>
      <c r="I6" s="25"/>
      <c r="J6" s="25"/>
      <c r="K6" s="25"/>
      <c r="L6" s="31"/>
      <c r="M6" s="24"/>
      <c r="N6" s="45" t="s">
        <v>56</v>
      </c>
      <c r="O6" s="42"/>
      <c r="P6" s="42"/>
      <c r="Q6" s="43" t="s">
        <v>59</v>
      </c>
      <c r="R6" s="42"/>
      <c r="S6" s="42"/>
      <c r="T6" s="44"/>
      <c r="U6" s="24"/>
      <c r="V6" s="180"/>
      <c r="W6" s="181"/>
      <c r="X6" s="181"/>
      <c r="Y6" s="181"/>
      <c r="Z6" s="181"/>
      <c r="AA6" s="181"/>
      <c r="AB6" s="31"/>
      <c r="AC6" s="24"/>
      <c r="AD6" s="183"/>
      <c r="AE6" s="183"/>
      <c r="AF6" s="183"/>
      <c r="AG6" s="183"/>
      <c r="AH6" s="183"/>
      <c r="AI6" s="24"/>
      <c r="AJ6" s="24"/>
      <c r="AK6" s="24"/>
      <c r="AL6" s="24"/>
      <c r="AM6" s="48" t="s">
        <v>66</v>
      </c>
      <c r="AN6" s="24"/>
      <c r="AO6" s="49">
        <v>8</v>
      </c>
      <c r="AP6" s="24"/>
      <c r="AQ6" s="24"/>
      <c r="AR6" s="24"/>
      <c r="AS6" s="24"/>
      <c r="AT6" s="24"/>
    </row>
    <row r="7" spans="1:46" ht="4.95" customHeight="1" x14ac:dyDescent="0.3">
      <c r="A7" s="24"/>
      <c r="B7" s="32"/>
      <c r="C7" s="33"/>
      <c r="D7" s="33"/>
      <c r="E7" s="33"/>
      <c r="F7" s="33"/>
      <c r="G7" s="33"/>
      <c r="H7" s="33"/>
      <c r="I7" s="33"/>
      <c r="J7" s="33"/>
      <c r="K7" s="33"/>
      <c r="L7" s="34"/>
      <c r="M7" s="24"/>
      <c r="N7" s="32"/>
      <c r="O7" s="33"/>
      <c r="P7" s="33"/>
      <c r="Q7" s="33"/>
      <c r="R7" s="33"/>
      <c r="S7" s="33"/>
      <c r="T7" s="34"/>
      <c r="U7" s="24"/>
      <c r="V7" s="32"/>
      <c r="W7" s="33"/>
      <c r="X7" s="33"/>
      <c r="Y7" s="33"/>
      <c r="Z7" s="33"/>
      <c r="AA7" s="33"/>
      <c r="AB7" s="34"/>
      <c r="AC7" s="24"/>
      <c r="AD7" s="25"/>
      <c r="AE7" s="25"/>
      <c r="AF7" s="25"/>
      <c r="AG7" s="25"/>
      <c r="AH7" s="25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</row>
    <row r="8" spans="1:46" x14ac:dyDescent="0.3">
      <c r="A8" s="24"/>
      <c r="B8" s="24"/>
      <c r="C8" s="24"/>
      <c r="D8" s="24"/>
      <c r="E8" s="24"/>
      <c r="F8" s="24"/>
      <c r="G8" s="184">
        <f>DATE(E6,MONTH(E4&amp;1),1)</f>
        <v>45962</v>
      </c>
      <c r="H8" s="184">
        <f t="shared" ref="H8:AK8" si="0">G8+1</f>
        <v>45963</v>
      </c>
      <c r="I8" s="184">
        <f t="shared" si="0"/>
        <v>45964</v>
      </c>
      <c r="J8" s="184">
        <f t="shared" si="0"/>
        <v>45965</v>
      </c>
      <c r="K8" s="184">
        <f t="shared" si="0"/>
        <v>45966</v>
      </c>
      <c r="L8" s="184">
        <f t="shared" si="0"/>
        <v>45967</v>
      </c>
      <c r="M8" s="184">
        <f t="shared" si="0"/>
        <v>45968</v>
      </c>
      <c r="N8" s="184">
        <f t="shared" si="0"/>
        <v>45969</v>
      </c>
      <c r="O8" s="184">
        <f t="shared" si="0"/>
        <v>45970</v>
      </c>
      <c r="P8" s="184">
        <f t="shared" si="0"/>
        <v>45971</v>
      </c>
      <c r="Q8" s="184">
        <f t="shared" si="0"/>
        <v>45972</v>
      </c>
      <c r="R8" s="184">
        <f t="shared" si="0"/>
        <v>45973</v>
      </c>
      <c r="S8" s="184">
        <f t="shared" si="0"/>
        <v>45974</v>
      </c>
      <c r="T8" s="184">
        <f t="shared" si="0"/>
        <v>45975</v>
      </c>
      <c r="U8" s="184">
        <f t="shared" si="0"/>
        <v>45976</v>
      </c>
      <c r="V8" s="184">
        <f t="shared" si="0"/>
        <v>45977</v>
      </c>
      <c r="W8" s="184">
        <f t="shared" si="0"/>
        <v>45978</v>
      </c>
      <c r="X8" s="184">
        <f t="shared" si="0"/>
        <v>45979</v>
      </c>
      <c r="Y8" s="184">
        <f t="shared" si="0"/>
        <v>45980</v>
      </c>
      <c r="Z8" s="184">
        <f t="shared" si="0"/>
        <v>45981</v>
      </c>
      <c r="AA8" s="184">
        <f t="shared" si="0"/>
        <v>45982</v>
      </c>
      <c r="AB8" s="184">
        <f t="shared" si="0"/>
        <v>45983</v>
      </c>
      <c r="AC8" s="184">
        <f t="shared" si="0"/>
        <v>45984</v>
      </c>
      <c r="AD8" s="184">
        <f t="shared" si="0"/>
        <v>45985</v>
      </c>
      <c r="AE8" s="184">
        <f t="shared" si="0"/>
        <v>45986</v>
      </c>
      <c r="AF8" s="184">
        <f t="shared" si="0"/>
        <v>45987</v>
      </c>
      <c r="AG8" s="184">
        <f t="shared" si="0"/>
        <v>45988</v>
      </c>
      <c r="AH8" s="184">
        <f t="shared" si="0"/>
        <v>45989</v>
      </c>
      <c r="AI8" s="184">
        <f t="shared" si="0"/>
        <v>45990</v>
      </c>
      <c r="AJ8" s="184">
        <f t="shared" si="0"/>
        <v>45991</v>
      </c>
      <c r="AK8" s="184">
        <f t="shared" si="0"/>
        <v>45992</v>
      </c>
      <c r="AL8" s="50"/>
      <c r="AM8" s="24"/>
      <c r="AN8" s="24"/>
      <c r="AO8" s="24"/>
      <c r="AP8" s="24"/>
      <c r="AQ8" s="24"/>
      <c r="AR8" s="24"/>
      <c r="AS8" s="24"/>
      <c r="AT8" s="24"/>
    </row>
    <row r="9" spans="1:46" x14ac:dyDescent="0.3">
      <c r="A9" s="24"/>
      <c r="B9" s="24"/>
      <c r="C9" s="24"/>
      <c r="D9" s="24"/>
      <c r="E9" s="24"/>
      <c r="F9" s="2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50"/>
      <c r="AM9" s="24"/>
      <c r="AN9" s="24"/>
      <c r="AO9" s="24"/>
      <c r="AP9" s="24"/>
      <c r="AQ9" s="24"/>
      <c r="AR9" s="24"/>
      <c r="AS9" s="24"/>
      <c r="AT9" s="24" t="s">
        <v>68</v>
      </c>
    </row>
    <row r="10" spans="1:46" x14ac:dyDescent="0.3">
      <c r="A10" s="24"/>
      <c r="B10" s="24"/>
      <c r="C10" s="24"/>
      <c r="D10" s="24"/>
      <c r="E10" s="24"/>
      <c r="F10" s="2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50"/>
      <c r="AM10" s="24"/>
      <c r="AN10" s="24"/>
      <c r="AO10" s="24"/>
      <c r="AP10" s="24"/>
      <c r="AQ10" s="24"/>
      <c r="AR10" s="24"/>
      <c r="AS10" s="24"/>
      <c r="AT10" s="50">
        <v>45658</v>
      </c>
    </row>
    <row r="11" spans="1:46" x14ac:dyDescent="0.3">
      <c r="A11" s="24"/>
      <c r="B11" s="24"/>
      <c r="C11" s="24"/>
      <c r="D11" s="24"/>
      <c r="E11" s="24"/>
      <c r="F11" s="2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50"/>
      <c r="AM11" s="24"/>
      <c r="AN11" s="24"/>
      <c r="AO11" s="24"/>
      <c r="AP11" s="24"/>
      <c r="AQ11" s="24"/>
      <c r="AR11" s="24"/>
      <c r="AS11" s="24"/>
      <c r="AT11" s="50">
        <v>45866</v>
      </c>
    </row>
    <row r="12" spans="1:46" ht="6" customHeight="1" thickBot="1" x14ac:dyDescent="0.35">
      <c r="A12" s="24"/>
      <c r="B12" s="24"/>
      <c r="C12" s="24"/>
      <c r="D12" s="24"/>
      <c r="E12" s="24"/>
      <c r="F12" s="24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24"/>
      <c r="AM12" s="24"/>
      <c r="AN12" s="24"/>
      <c r="AO12" s="24"/>
      <c r="AP12" s="24"/>
      <c r="AQ12" s="24"/>
      <c r="AR12" s="24"/>
      <c r="AS12" s="24"/>
      <c r="AT12" s="50">
        <v>45867</v>
      </c>
    </row>
    <row r="13" spans="1:46" ht="27.6" customHeight="1" thickBot="1" x14ac:dyDescent="0.35">
      <c r="A13" s="24"/>
      <c r="B13" s="24"/>
      <c r="C13" s="24" t="s">
        <v>47</v>
      </c>
      <c r="D13" s="24"/>
      <c r="E13" s="187" t="s">
        <v>52</v>
      </c>
      <c r="F13" s="187"/>
      <c r="G13" s="37" t="str">
        <f t="shared" ref="G13:AK13" si="1">PROPER(LEFT(TEXT(G8,"dddd"),3))</f>
        <v>Sáb</v>
      </c>
      <c r="H13" s="37" t="str">
        <f t="shared" si="1"/>
        <v>Dom</v>
      </c>
      <c r="I13" s="37" t="str">
        <f t="shared" si="1"/>
        <v>Lun</v>
      </c>
      <c r="J13" s="37" t="str">
        <f t="shared" si="1"/>
        <v>Mar</v>
      </c>
      <c r="K13" s="37" t="str">
        <f t="shared" si="1"/>
        <v>Mié</v>
      </c>
      <c r="L13" s="37" t="str">
        <f t="shared" si="1"/>
        <v>Jue</v>
      </c>
      <c r="M13" s="37" t="str">
        <f t="shared" si="1"/>
        <v>Vie</v>
      </c>
      <c r="N13" s="37" t="str">
        <f t="shared" si="1"/>
        <v>Sáb</v>
      </c>
      <c r="O13" s="37" t="str">
        <f t="shared" si="1"/>
        <v>Dom</v>
      </c>
      <c r="P13" s="37" t="str">
        <f t="shared" si="1"/>
        <v>Lun</v>
      </c>
      <c r="Q13" s="37" t="str">
        <f t="shared" si="1"/>
        <v>Mar</v>
      </c>
      <c r="R13" s="37" t="str">
        <f t="shared" si="1"/>
        <v>Mié</v>
      </c>
      <c r="S13" s="37" t="str">
        <f t="shared" si="1"/>
        <v>Jue</v>
      </c>
      <c r="T13" s="37" t="str">
        <f t="shared" si="1"/>
        <v>Vie</v>
      </c>
      <c r="U13" s="37" t="str">
        <f t="shared" si="1"/>
        <v>Sáb</v>
      </c>
      <c r="V13" s="37" t="str">
        <f t="shared" si="1"/>
        <v>Dom</v>
      </c>
      <c r="W13" s="37" t="str">
        <f t="shared" si="1"/>
        <v>Lun</v>
      </c>
      <c r="X13" s="37" t="str">
        <f t="shared" si="1"/>
        <v>Mar</v>
      </c>
      <c r="Y13" s="37" t="str">
        <f t="shared" si="1"/>
        <v>Mié</v>
      </c>
      <c r="Z13" s="37" t="str">
        <f t="shared" si="1"/>
        <v>Jue</v>
      </c>
      <c r="AA13" s="37" t="str">
        <f t="shared" si="1"/>
        <v>Vie</v>
      </c>
      <c r="AB13" s="37" t="str">
        <f t="shared" si="1"/>
        <v>Sáb</v>
      </c>
      <c r="AC13" s="37" t="str">
        <f t="shared" si="1"/>
        <v>Dom</v>
      </c>
      <c r="AD13" s="37" t="str">
        <f t="shared" si="1"/>
        <v>Lun</v>
      </c>
      <c r="AE13" s="37" t="str">
        <f t="shared" si="1"/>
        <v>Mar</v>
      </c>
      <c r="AF13" s="37" t="str">
        <f t="shared" si="1"/>
        <v>Mié</v>
      </c>
      <c r="AG13" s="37" t="str">
        <f t="shared" si="1"/>
        <v>Jue</v>
      </c>
      <c r="AH13" s="37" t="str">
        <f t="shared" si="1"/>
        <v>Vie</v>
      </c>
      <c r="AI13" s="37" t="str">
        <f t="shared" si="1"/>
        <v>Sáb</v>
      </c>
      <c r="AJ13" s="37" t="str">
        <f t="shared" si="1"/>
        <v>Dom</v>
      </c>
      <c r="AK13" s="37" t="str">
        <f t="shared" si="1"/>
        <v>Lun</v>
      </c>
      <c r="AL13" s="24"/>
      <c r="AM13" s="81" t="s">
        <v>80</v>
      </c>
      <c r="AN13" s="75"/>
      <c r="AO13" s="82" t="s">
        <v>81</v>
      </c>
      <c r="AP13" s="76"/>
      <c r="AQ13" s="115" t="s">
        <v>82</v>
      </c>
      <c r="AR13" s="77"/>
      <c r="AS13" s="84" t="s">
        <v>7</v>
      </c>
      <c r="AT13" s="50">
        <v>45962</v>
      </c>
    </row>
    <row r="14" spans="1:46" ht="6" customHeight="1" thickBot="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50">
        <v>46016</v>
      </c>
    </row>
    <row r="15" spans="1:46" ht="27.6" customHeight="1" x14ac:dyDescent="0.3">
      <c r="A15" s="24"/>
      <c r="B15" s="24"/>
      <c r="C15" s="55" t="s">
        <v>102</v>
      </c>
      <c r="D15" s="24"/>
      <c r="E15" s="193" t="str">
        <f>IFERROR(VLOOKUP(C15,'DATOS GRALES 1'!$B$2:$E$52,4,0),"")</f>
        <v>RESIDENTE</v>
      </c>
      <c r="F15" s="194"/>
      <c r="G15" s="67" t="s">
        <v>67</v>
      </c>
      <c r="H15" s="68"/>
      <c r="I15" s="68" t="s">
        <v>67</v>
      </c>
      <c r="J15" s="68" t="s">
        <v>67</v>
      </c>
      <c r="K15" s="68" t="s">
        <v>67</v>
      </c>
      <c r="L15" s="68" t="s">
        <v>67</v>
      </c>
      <c r="M15" s="68" t="s">
        <v>67</v>
      </c>
      <c r="N15" s="68" t="s">
        <v>67</v>
      </c>
      <c r="O15" s="68"/>
      <c r="P15" s="68" t="s">
        <v>67</v>
      </c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/>
      <c r="AL15" s="24"/>
      <c r="AM15" s="78">
        <f t="shared" ref="AM15:AM22" si="2">IF(COUNTIF(G15:AK15,"SI")=0,"",COUNTIF(G15:AK15,"SI"))</f>
        <v>8</v>
      </c>
      <c r="AN15" s="54"/>
      <c r="AO15" s="78" t="str">
        <f t="shared" ref="AO15:AO22" si="3">IF(COUNTIF(G15:AK15,"NO")=0,"",COUNTIF(G15:AK15,"NO"))</f>
        <v/>
      </c>
      <c r="AP15" s="24"/>
      <c r="AQ15" s="78" t="str">
        <f t="shared" ref="AQ15:AQ22" si="4">IF(COUNTIF(G15:AK15,"MED")=0,"",COUNTIF(G15:AK15,"MED"))</f>
        <v/>
      </c>
      <c r="AR15" s="54"/>
      <c r="AS15" s="78">
        <f t="shared" ref="AS15:AS22" si="5">IF(SUM(AM15:AQ15)=0,"",SUM(AM15:AQ15))</f>
        <v>8</v>
      </c>
      <c r="AT15" s="50">
        <v>46022</v>
      </c>
    </row>
    <row r="16" spans="1:46" ht="27.6" customHeight="1" thickBot="1" x14ac:dyDescent="0.35">
      <c r="A16" s="24"/>
      <c r="B16" s="24"/>
      <c r="C16" s="56" t="s">
        <v>95</v>
      </c>
      <c r="D16" s="24"/>
      <c r="E16" s="195" t="str">
        <f>IFERROR(VLOOKUP(C16,'DATOS GRALES 1'!$B$2:$E$52,4,0),"")</f>
        <v>ING. CALIDAD</v>
      </c>
      <c r="F16" s="196"/>
      <c r="G16" s="70" t="s">
        <v>67</v>
      </c>
      <c r="H16" s="53"/>
      <c r="I16" s="53" t="s">
        <v>67</v>
      </c>
      <c r="J16" s="53" t="s">
        <v>67</v>
      </c>
      <c r="K16" s="53" t="s">
        <v>67</v>
      </c>
      <c r="L16" s="53" t="s">
        <v>67</v>
      </c>
      <c r="M16" s="53" t="s">
        <v>67</v>
      </c>
      <c r="N16" s="53" t="s">
        <v>67</v>
      </c>
      <c r="O16" s="53"/>
      <c r="P16" s="53" t="s">
        <v>67</v>
      </c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71"/>
      <c r="AL16" s="24"/>
      <c r="AM16" s="79">
        <f t="shared" si="2"/>
        <v>8</v>
      </c>
      <c r="AN16" s="54"/>
      <c r="AO16" s="79" t="str">
        <f t="shared" si="3"/>
        <v/>
      </c>
      <c r="AP16" s="24"/>
      <c r="AQ16" s="79" t="str">
        <f t="shared" si="4"/>
        <v/>
      </c>
      <c r="AR16" s="54"/>
      <c r="AS16" s="79">
        <f t="shared" si="5"/>
        <v>8</v>
      </c>
      <c r="AT16" s="24"/>
    </row>
    <row r="17" spans="1:47" ht="27.6" customHeight="1" x14ac:dyDescent="0.3">
      <c r="A17" s="24"/>
      <c r="B17" s="24"/>
      <c r="C17" s="56" t="s">
        <v>98</v>
      </c>
      <c r="D17" s="24"/>
      <c r="E17" s="195" t="str">
        <f>IFERROR(VLOOKUP(C17,'DATOS GRALES 1'!$B$2:$E$52,4,0),"")</f>
        <v>ASIS. ING.</v>
      </c>
      <c r="F17" s="196"/>
      <c r="G17" s="70" t="s">
        <v>67</v>
      </c>
      <c r="H17" s="53"/>
      <c r="I17" s="53" t="s">
        <v>67</v>
      </c>
      <c r="J17" s="53" t="s">
        <v>67</v>
      </c>
      <c r="K17" s="53" t="s">
        <v>67</v>
      </c>
      <c r="L17" s="53" t="s">
        <v>67</v>
      </c>
      <c r="M17" s="53" t="s">
        <v>67</v>
      </c>
      <c r="N17" s="53" t="s">
        <v>67</v>
      </c>
      <c r="O17" s="68"/>
      <c r="P17" s="53" t="s">
        <v>67</v>
      </c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71"/>
      <c r="AL17" s="24"/>
      <c r="AM17" s="79">
        <f t="shared" si="2"/>
        <v>8</v>
      </c>
      <c r="AN17" s="54"/>
      <c r="AO17" s="79" t="str">
        <f t="shared" si="3"/>
        <v/>
      </c>
      <c r="AP17" s="24"/>
      <c r="AQ17" s="79" t="str">
        <f t="shared" si="4"/>
        <v/>
      </c>
      <c r="AR17" s="54"/>
      <c r="AS17" s="79">
        <f t="shared" si="5"/>
        <v>8</v>
      </c>
      <c r="AT17" s="24"/>
    </row>
    <row r="18" spans="1:47" ht="27.6" customHeight="1" thickBot="1" x14ac:dyDescent="0.35">
      <c r="A18" s="24"/>
      <c r="B18" s="24"/>
      <c r="C18" s="132" t="s">
        <v>92</v>
      </c>
      <c r="D18" s="24"/>
      <c r="E18" s="195" t="str">
        <f>IFERROR(VLOOKUP(C18,'DATOS GRALES 1'!$B$2:$E$52,4,0),"")</f>
        <v>LOGISTICO</v>
      </c>
      <c r="F18" s="196"/>
      <c r="G18" s="70" t="s">
        <v>67</v>
      </c>
      <c r="H18" s="53"/>
      <c r="I18" s="53" t="s">
        <v>67</v>
      </c>
      <c r="J18" s="53" t="s">
        <v>67</v>
      </c>
      <c r="K18" s="53" t="s">
        <v>67</v>
      </c>
      <c r="L18" s="53" t="s">
        <v>67</v>
      </c>
      <c r="M18" s="53" t="s">
        <v>67</v>
      </c>
      <c r="N18" s="53" t="s">
        <v>67</v>
      </c>
      <c r="O18" s="53"/>
      <c r="P18" s="53" t="s">
        <v>67</v>
      </c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71"/>
      <c r="AL18" s="24"/>
      <c r="AM18" s="79">
        <f t="shared" si="2"/>
        <v>8</v>
      </c>
      <c r="AN18" s="54"/>
      <c r="AO18" s="79" t="str">
        <f t="shared" si="3"/>
        <v/>
      </c>
      <c r="AP18" s="24"/>
      <c r="AQ18" s="79" t="str">
        <f t="shared" si="4"/>
        <v/>
      </c>
      <c r="AR18" s="54"/>
      <c r="AS18" s="79">
        <f t="shared" si="5"/>
        <v>8</v>
      </c>
      <c r="AT18" s="24"/>
    </row>
    <row r="19" spans="1:47" ht="27.6" customHeight="1" x14ac:dyDescent="0.3">
      <c r="A19" s="24"/>
      <c r="B19" s="24"/>
      <c r="C19" s="56" t="s">
        <v>100</v>
      </c>
      <c r="D19" s="24"/>
      <c r="E19" s="195" t="str">
        <f>IFERROR(VLOOKUP(C19,'DATOS GRALES 1'!$B$2:$E$52,4,0),"")</f>
        <v>MAESTRO OBRA</v>
      </c>
      <c r="F19" s="196"/>
      <c r="G19" s="70" t="s">
        <v>67</v>
      </c>
      <c r="H19" s="53"/>
      <c r="I19" s="53" t="s">
        <v>67</v>
      </c>
      <c r="J19" s="53" t="s">
        <v>67</v>
      </c>
      <c r="K19" s="53" t="s">
        <v>67</v>
      </c>
      <c r="L19" s="53" t="s">
        <v>67</v>
      </c>
      <c r="M19" s="53" t="s">
        <v>67</v>
      </c>
      <c r="N19" s="53" t="s">
        <v>67</v>
      </c>
      <c r="O19" s="68"/>
      <c r="P19" s="53" t="s">
        <v>67</v>
      </c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71"/>
      <c r="AL19" s="24"/>
      <c r="AM19" s="79">
        <f t="shared" si="2"/>
        <v>8</v>
      </c>
      <c r="AN19" s="54"/>
      <c r="AO19" s="79" t="str">
        <f t="shared" si="3"/>
        <v/>
      </c>
      <c r="AP19" s="24"/>
      <c r="AQ19" s="79" t="str">
        <f t="shared" si="4"/>
        <v/>
      </c>
      <c r="AR19" s="54"/>
      <c r="AS19" s="79">
        <f t="shared" si="5"/>
        <v>8</v>
      </c>
      <c r="AT19" s="24"/>
    </row>
    <row r="20" spans="1:47" ht="27.6" customHeight="1" thickBot="1" x14ac:dyDescent="0.35">
      <c r="A20" s="24"/>
      <c r="B20" s="24"/>
      <c r="C20" s="56" t="s">
        <v>131</v>
      </c>
      <c r="D20" s="24"/>
      <c r="E20" s="195" t="str">
        <f>IFERROR(VLOOKUP(C20,'DATOS GRALES 1'!$B$2:$E$52,4,0),"")</f>
        <v>TOPOGRAFO</v>
      </c>
      <c r="F20" s="196"/>
      <c r="G20" s="70" t="s">
        <v>67</v>
      </c>
      <c r="H20" s="53"/>
      <c r="I20" s="53" t="s">
        <v>78</v>
      </c>
      <c r="J20" s="53" t="s">
        <v>67</v>
      </c>
      <c r="K20" s="53" t="s">
        <v>67</v>
      </c>
      <c r="L20" s="53" t="s">
        <v>67</v>
      </c>
      <c r="M20" s="53" t="s">
        <v>67</v>
      </c>
      <c r="N20" s="53" t="s">
        <v>67</v>
      </c>
      <c r="O20" s="53"/>
      <c r="P20" s="53" t="s">
        <v>67</v>
      </c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71"/>
      <c r="AL20" s="24"/>
      <c r="AM20" s="79">
        <f t="shared" si="2"/>
        <v>7</v>
      </c>
      <c r="AN20" s="54"/>
      <c r="AO20" s="79">
        <f t="shared" si="3"/>
        <v>1</v>
      </c>
      <c r="AP20" s="24"/>
      <c r="AQ20" s="79" t="str">
        <f t="shared" si="4"/>
        <v/>
      </c>
      <c r="AR20" s="54"/>
      <c r="AS20" s="79">
        <f t="shared" si="5"/>
        <v>8</v>
      </c>
      <c r="AT20" s="24"/>
    </row>
    <row r="21" spans="1:47" ht="28.2" customHeight="1" x14ac:dyDescent="0.3">
      <c r="A21" s="24"/>
      <c r="B21" s="24"/>
      <c r="C21" s="56" t="s">
        <v>139</v>
      </c>
      <c r="D21" s="24"/>
      <c r="E21" s="195" t="str">
        <f>IFERROR(VLOOKUP(C21,'DATOS GRALES 1'!$B$2:$E$52,4,0),"")</f>
        <v>ESP. SEGURIDAD</v>
      </c>
      <c r="F21" s="196"/>
      <c r="G21" s="70" t="s">
        <v>67</v>
      </c>
      <c r="H21" s="53"/>
      <c r="I21" s="53" t="s">
        <v>67</v>
      </c>
      <c r="J21" s="53" t="s">
        <v>67</v>
      </c>
      <c r="K21" s="53" t="s">
        <v>132</v>
      </c>
      <c r="L21" s="53" t="s">
        <v>67</v>
      </c>
      <c r="M21" s="53" t="s">
        <v>67</v>
      </c>
      <c r="N21" s="53" t="s">
        <v>67</v>
      </c>
      <c r="O21" s="68"/>
      <c r="P21" s="53" t="s">
        <v>78</v>
      </c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71"/>
      <c r="AL21" s="24"/>
      <c r="AM21" s="79">
        <f t="shared" si="2"/>
        <v>6</v>
      </c>
      <c r="AN21" s="54"/>
      <c r="AO21" s="79">
        <f t="shared" si="3"/>
        <v>1</v>
      </c>
      <c r="AP21" s="24"/>
      <c r="AQ21" s="79">
        <f t="shared" si="4"/>
        <v>1</v>
      </c>
      <c r="AR21" s="54"/>
      <c r="AS21" s="79">
        <f t="shared" si="5"/>
        <v>8</v>
      </c>
      <c r="AT21" s="24"/>
    </row>
    <row r="22" spans="1:47" ht="10.95" customHeight="1" x14ac:dyDescent="0.3">
      <c r="A22" s="24"/>
      <c r="B22" s="24"/>
      <c r="C22" s="56"/>
      <c r="D22" s="24"/>
      <c r="E22" s="195" t="str">
        <f>IFERROR(VLOOKUP(C22,'DATOS GRALES 1'!$B$2:$E$52,4,0),"")</f>
        <v/>
      </c>
      <c r="F22" s="196"/>
      <c r="G22" s="70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71"/>
      <c r="AL22" s="24"/>
      <c r="AM22" s="79" t="str">
        <f t="shared" si="2"/>
        <v/>
      </c>
      <c r="AN22" s="54"/>
      <c r="AO22" s="79" t="str">
        <f t="shared" si="3"/>
        <v/>
      </c>
      <c r="AP22" s="24"/>
      <c r="AQ22" s="79" t="str">
        <f t="shared" si="4"/>
        <v/>
      </c>
      <c r="AR22" s="54"/>
      <c r="AS22" s="79" t="str">
        <f t="shared" si="5"/>
        <v/>
      </c>
      <c r="AT22" s="24"/>
    </row>
    <row r="23" spans="1:47" ht="27.6" customHeight="1" x14ac:dyDescent="0.3">
      <c r="A23" s="24"/>
      <c r="B23" s="24"/>
      <c r="C23" s="86" t="s">
        <v>83</v>
      </c>
      <c r="D23" s="24"/>
      <c r="E23" s="197"/>
      <c r="F23" s="198"/>
      <c r="G23" s="91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3"/>
      <c r="AL23" s="24"/>
      <c r="AM23" s="79"/>
      <c r="AN23" s="54"/>
      <c r="AO23" s="79"/>
      <c r="AP23" s="51"/>
      <c r="AQ23" s="79"/>
      <c r="AR23" s="54"/>
      <c r="AS23" s="79"/>
      <c r="AT23" s="24"/>
    </row>
    <row r="24" spans="1:47" ht="27.6" customHeight="1" x14ac:dyDescent="0.3">
      <c r="A24" s="24"/>
      <c r="B24" s="24"/>
      <c r="C24" s="56" t="s">
        <v>18</v>
      </c>
      <c r="D24" s="24"/>
      <c r="E24" s="191" t="str">
        <f>IFERROR(VLOOKUP(C24,'DATOS GRALES 1'!$B$2:$E$52,4,0),"")</f>
        <v>PEON</v>
      </c>
      <c r="F24" s="192"/>
      <c r="G24" s="70" t="s">
        <v>67</v>
      </c>
      <c r="H24" s="53"/>
      <c r="I24" s="53" t="s">
        <v>67</v>
      </c>
      <c r="J24" s="53" t="s">
        <v>67</v>
      </c>
      <c r="K24" s="53" t="s">
        <v>67</v>
      </c>
      <c r="L24" s="53" t="s">
        <v>67</v>
      </c>
      <c r="M24" s="53" t="s">
        <v>67</v>
      </c>
      <c r="N24" s="53" t="s">
        <v>67</v>
      </c>
      <c r="O24" s="53"/>
      <c r="P24" s="53" t="s">
        <v>67</v>
      </c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71"/>
      <c r="AL24" s="24"/>
      <c r="AM24" s="79">
        <f t="shared" ref="AM24:AM55" si="6">IF(COUNTIF(G24:AK24,"SI")=0,"",COUNTIF(G24:AK24,"SI"))</f>
        <v>8</v>
      </c>
      <c r="AN24" s="54"/>
      <c r="AO24" s="79" t="str">
        <f t="shared" ref="AO24:AO55" si="7">IF(COUNTIF(G24:AK24,"NO")=0,"",COUNTIF(G24:AK24,"NO"))</f>
        <v/>
      </c>
      <c r="AP24" s="24"/>
      <c r="AQ24" s="79" t="str">
        <f t="shared" ref="AQ24:AQ55" si="8">IF(COUNTIF(G24:AK24,"MED")=0,"",COUNTIF(G24:AK24,"MED"))</f>
        <v/>
      </c>
      <c r="AR24" s="54"/>
      <c r="AS24" s="79">
        <f t="shared" ref="AS24:AS55" si="9">IF(SUM(AM24:AQ24)=0,"",SUM(AM24:AQ24))</f>
        <v>8</v>
      </c>
      <c r="AT24" s="24"/>
    </row>
    <row r="25" spans="1:47" ht="27.6" customHeight="1" x14ac:dyDescent="0.3">
      <c r="A25" s="24"/>
      <c r="B25" s="24"/>
      <c r="C25" s="56" t="s">
        <v>16</v>
      </c>
      <c r="D25" s="24"/>
      <c r="E25" s="191" t="str">
        <f>IFERROR(VLOOKUP(C25,'DATOS GRALES 1'!$B$2:$E$52,4,0),"")</f>
        <v>PEON</v>
      </c>
      <c r="F25" s="192"/>
      <c r="G25" s="70" t="s">
        <v>67</v>
      </c>
      <c r="H25" s="53"/>
      <c r="I25" s="53" t="s">
        <v>67</v>
      </c>
      <c r="J25" s="53" t="s">
        <v>67</v>
      </c>
      <c r="K25" s="53" t="s">
        <v>67</v>
      </c>
      <c r="L25" s="53" t="s">
        <v>67</v>
      </c>
      <c r="M25" s="53" t="s">
        <v>67</v>
      </c>
      <c r="N25" s="53" t="s">
        <v>67</v>
      </c>
      <c r="O25" s="53"/>
      <c r="P25" s="53" t="s">
        <v>67</v>
      </c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71"/>
      <c r="AL25" s="24"/>
      <c r="AM25" s="79">
        <f t="shared" si="6"/>
        <v>8</v>
      </c>
      <c r="AN25" s="54"/>
      <c r="AO25" s="79" t="str">
        <f t="shared" si="7"/>
        <v/>
      </c>
      <c r="AP25" s="24"/>
      <c r="AQ25" s="79" t="str">
        <f t="shared" si="8"/>
        <v/>
      </c>
      <c r="AR25" s="54"/>
      <c r="AS25" s="79">
        <f t="shared" si="9"/>
        <v>8</v>
      </c>
      <c r="AT25" s="24"/>
    </row>
    <row r="26" spans="1:47" ht="27.6" customHeight="1" x14ac:dyDescent="0.3">
      <c r="A26" s="24"/>
      <c r="B26" s="24"/>
      <c r="C26" s="56" t="s">
        <v>17</v>
      </c>
      <c r="D26" s="24"/>
      <c r="E26" s="191" t="str">
        <f>IFERROR(VLOOKUP(C26,'DATOS GRALES 1'!$B$2:$E$52,4,0),"")</f>
        <v>PEON</v>
      </c>
      <c r="F26" s="192"/>
      <c r="G26" s="70" t="s">
        <v>67</v>
      </c>
      <c r="H26" s="53"/>
      <c r="I26" s="53" t="s">
        <v>67</v>
      </c>
      <c r="J26" s="53" t="s">
        <v>67</v>
      </c>
      <c r="K26" s="53" t="s">
        <v>67</v>
      </c>
      <c r="L26" s="53" t="s">
        <v>67</v>
      </c>
      <c r="M26" s="53" t="s">
        <v>67</v>
      </c>
      <c r="N26" s="53" t="s">
        <v>67</v>
      </c>
      <c r="O26" s="53"/>
      <c r="P26" s="53" t="s">
        <v>67</v>
      </c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71"/>
      <c r="AL26" s="24"/>
      <c r="AM26" s="79">
        <f t="shared" si="6"/>
        <v>8</v>
      </c>
      <c r="AN26" s="54"/>
      <c r="AO26" s="79" t="str">
        <f t="shared" si="7"/>
        <v/>
      </c>
      <c r="AP26" s="24"/>
      <c r="AQ26" s="79" t="str">
        <f t="shared" si="8"/>
        <v/>
      </c>
      <c r="AR26" s="54"/>
      <c r="AS26" s="79">
        <f t="shared" si="9"/>
        <v>8</v>
      </c>
      <c r="AT26" s="24"/>
    </row>
    <row r="27" spans="1:47" ht="27.6" customHeight="1" x14ac:dyDescent="0.3">
      <c r="A27" s="24"/>
      <c r="B27" s="24"/>
      <c r="C27" s="56" t="s">
        <v>22</v>
      </c>
      <c r="D27" s="24"/>
      <c r="E27" s="191" t="str">
        <f>IFERROR(VLOOKUP(C27,'DATOS GRALES 1'!$B$2:$E$52,4,0),"")</f>
        <v>PEON</v>
      </c>
      <c r="F27" s="192"/>
      <c r="G27" s="70" t="s">
        <v>67</v>
      </c>
      <c r="H27" s="53"/>
      <c r="I27" s="53" t="s">
        <v>67</v>
      </c>
      <c r="J27" s="53" t="s">
        <v>67</v>
      </c>
      <c r="K27" s="53" t="s">
        <v>67</v>
      </c>
      <c r="L27" s="53" t="s">
        <v>67</v>
      </c>
      <c r="M27" s="53" t="s">
        <v>67</v>
      </c>
      <c r="N27" s="53" t="s">
        <v>67</v>
      </c>
      <c r="O27" s="53"/>
      <c r="P27" s="53" t="s">
        <v>67</v>
      </c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71"/>
      <c r="AL27" s="24"/>
      <c r="AM27" s="79">
        <f t="shared" si="6"/>
        <v>8</v>
      </c>
      <c r="AN27" s="54"/>
      <c r="AO27" s="79" t="str">
        <f t="shared" si="7"/>
        <v/>
      </c>
      <c r="AP27" s="24"/>
      <c r="AQ27" s="79" t="str">
        <f t="shared" si="8"/>
        <v/>
      </c>
      <c r="AR27" s="54"/>
      <c r="AS27" s="79">
        <f t="shared" si="9"/>
        <v>8</v>
      </c>
      <c r="AT27" s="24"/>
    </row>
    <row r="28" spans="1:47" ht="27.6" customHeight="1" x14ac:dyDescent="0.3">
      <c r="A28" s="24"/>
      <c r="B28" s="24"/>
      <c r="C28" s="56" t="s">
        <v>21</v>
      </c>
      <c r="D28" s="24"/>
      <c r="E28" s="191" t="str">
        <f>IFERROR(VLOOKUP(C28,'DATOS GRALES 1'!$B$2:$E$52,4,0),"")</f>
        <v>OPERARIO</v>
      </c>
      <c r="F28" s="192"/>
      <c r="G28" s="70" t="s">
        <v>67</v>
      </c>
      <c r="H28" s="53"/>
      <c r="I28" s="53" t="s">
        <v>67</v>
      </c>
      <c r="J28" s="53" t="s">
        <v>67</v>
      </c>
      <c r="K28" s="53" t="s">
        <v>67</v>
      </c>
      <c r="L28" s="53" t="s">
        <v>67</v>
      </c>
      <c r="M28" s="53" t="s">
        <v>67</v>
      </c>
      <c r="N28" s="53" t="s">
        <v>67</v>
      </c>
      <c r="O28" s="53"/>
      <c r="P28" s="53" t="s">
        <v>67</v>
      </c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71"/>
      <c r="AL28" s="24"/>
      <c r="AM28" s="79">
        <f t="shared" si="6"/>
        <v>8</v>
      </c>
      <c r="AN28" s="54"/>
      <c r="AO28" s="79" t="str">
        <f t="shared" si="7"/>
        <v/>
      </c>
      <c r="AP28" s="24"/>
      <c r="AQ28" s="79" t="str">
        <f t="shared" si="8"/>
        <v/>
      </c>
      <c r="AR28" s="54"/>
      <c r="AS28" s="79">
        <f t="shared" si="9"/>
        <v>8</v>
      </c>
      <c r="AT28" s="24"/>
    </row>
    <row r="29" spans="1:47" ht="27.6" customHeight="1" x14ac:dyDescent="0.3">
      <c r="A29" s="24"/>
      <c r="B29" s="24"/>
      <c r="C29" s="56" t="s">
        <v>25</v>
      </c>
      <c r="D29" s="24"/>
      <c r="E29" s="191" t="str">
        <f>IFERROR(VLOOKUP(C29,'DATOS GRALES 1'!$B$2:$E$52,4,0),"")</f>
        <v>PEON</v>
      </c>
      <c r="F29" s="192"/>
      <c r="G29" s="70" t="s">
        <v>67</v>
      </c>
      <c r="H29" s="53"/>
      <c r="I29" s="53" t="s">
        <v>67</v>
      </c>
      <c r="J29" s="53" t="s">
        <v>67</v>
      </c>
      <c r="K29" s="53" t="s">
        <v>67</v>
      </c>
      <c r="L29" s="53" t="s">
        <v>67</v>
      </c>
      <c r="M29" s="53" t="s">
        <v>67</v>
      </c>
      <c r="N29" s="53" t="s">
        <v>67</v>
      </c>
      <c r="O29" s="53"/>
      <c r="P29" s="53" t="s">
        <v>67</v>
      </c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71"/>
      <c r="AL29" s="24"/>
      <c r="AM29" s="79">
        <f t="shared" si="6"/>
        <v>8</v>
      </c>
      <c r="AN29" s="54"/>
      <c r="AO29" s="79" t="str">
        <f t="shared" si="7"/>
        <v/>
      </c>
      <c r="AP29" s="24"/>
      <c r="AQ29" s="79" t="str">
        <f t="shared" si="8"/>
        <v/>
      </c>
      <c r="AR29" s="54"/>
      <c r="AS29" s="79">
        <f t="shared" si="9"/>
        <v>8</v>
      </c>
      <c r="AT29" s="24"/>
    </row>
    <row r="30" spans="1:47" ht="27.6" customHeight="1" x14ac:dyDescent="0.3">
      <c r="A30" s="24"/>
      <c r="B30" s="24"/>
      <c r="C30" s="56" t="s">
        <v>104</v>
      </c>
      <c r="D30" s="24"/>
      <c r="E30" s="191" t="str">
        <f>IFERROR(VLOOKUP(C30,'DATOS GRALES 1'!$B$2:$E$52,4,0),"")</f>
        <v>OPERARIO</v>
      </c>
      <c r="F30" s="192"/>
      <c r="G30" s="70" t="s">
        <v>67</v>
      </c>
      <c r="H30" s="53"/>
      <c r="I30" s="53" t="s">
        <v>67</v>
      </c>
      <c r="J30" s="53" t="s">
        <v>67</v>
      </c>
      <c r="K30" s="53" t="s">
        <v>67</v>
      </c>
      <c r="L30" s="53" t="s">
        <v>67</v>
      </c>
      <c r="M30" s="53" t="s">
        <v>67</v>
      </c>
      <c r="N30" s="53" t="s">
        <v>67</v>
      </c>
      <c r="O30" s="53"/>
      <c r="P30" s="53" t="s">
        <v>67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71"/>
      <c r="AL30" s="24"/>
      <c r="AM30" s="79">
        <f t="shared" si="6"/>
        <v>8</v>
      </c>
      <c r="AN30" s="54"/>
      <c r="AO30" s="79" t="str">
        <f t="shared" si="7"/>
        <v/>
      </c>
      <c r="AP30" s="24"/>
      <c r="AQ30" s="79" t="str">
        <f t="shared" si="8"/>
        <v/>
      </c>
      <c r="AR30" s="54"/>
      <c r="AS30" s="79">
        <f t="shared" si="9"/>
        <v>8</v>
      </c>
      <c r="AT30" s="24"/>
      <c r="AU30" s="114"/>
    </row>
    <row r="31" spans="1:47" ht="27.6" customHeight="1" x14ac:dyDescent="0.3">
      <c r="A31" s="24"/>
      <c r="B31" s="24"/>
      <c r="C31" s="56" t="s">
        <v>106</v>
      </c>
      <c r="D31" s="24"/>
      <c r="E31" s="191" t="str">
        <f>IFERROR(VLOOKUP(C31,'DATOS GRALES 1'!$B$2:$E$52,4,0),"")</f>
        <v>PEON</v>
      </c>
      <c r="F31" s="192"/>
      <c r="G31" s="70" t="s">
        <v>67</v>
      </c>
      <c r="H31" s="53"/>
      <c r="I31" s="53" t="s">
        <v>67</v>
      </c>
      <c r="J31" s="53" t="s">
        <v>67</v>
      </c>
      <c r="K31" s="53" t="s">
        <v>67</v>
      </c>
      <c r="L31" s="53" t="s">
        <v>67</v>
      </c>
      <c r="M31" s="53" t="s">
        <v>67</v>
      </c>
      <c r="N31" s="53" t="s">
        <v>67</v>
      </c>
      <c r="O31" s="53"/>
      <c r="P31" s="53" t="s">
        <v>67</v>
      </c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71"/>
      <c r="AL31" s="24"/>
      <c r="AM31" s="79">
        <f t="shared" si="6"/>
        <v>8</v>
      </c>
      <c r="AN31" s="54"/>
      <c r="AO31" s="79" t="str">
        <f t="shared" si="7"/>
        <v/>
      </c>
      <c r="AP31" s="24"/>
      <c r="AQ31" s="79" t="str">
        <f t="shared" si="8"/>
        <v/>
      </c>
      <c r="AR31" s="54"/>
      <c r="AS31" s="79">
        <f t="shared" si="9"/>
        <v>8</v>
      </c>
      <c r="AT31" s="24"/>
    </row>
    <row r="32" spans="1:47" ht="27.6" customHeight="1" x14ac:dyDescent="0.3">
      <c r="A32" s="24"/>
      <c r="B32" s="24"/>
      <c r="C32" s="56" t="s">
        <v>107</v>
      </c>
      <c r="D32" s="24"/>
      <c r="E32" s="191" t="str">
        <f>IFERROR(VLOOKUP(C32,'DATOS GRALES 1'!$B$2:$E$52,4,0),"")</f>
        <v>OPERARIO</v>
      </c>
      <c r="F32" s="192"/>
      <c r="G32" s="70" t="s">
        <v>67</v>
      </c>
      <c r="H32" s="53"/>
      <c r="I32" s="53" t="s">
        <v>67</v>
      </c>
      <c r="J32" s="53" t="s">
        <v>67</v>
      </c>
      <c r="K32" s="53" t="s">
        <v>67</v>
      </c>
      <c r="L32" s="53" t="s">
        <v>67</v>
      </c>
      <c r="M32" s="53" t="s">
        <v>67</v>
      </c>
      <c r="N32" s="53" t="s">
        <v>67</v>
      </c>
      <c r="O32" s="53"/>
      <c r="P32" s="53" t="s">
        <v>67</v>
      </c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71"/>
      <c r="AL32" s="24"/>
      <c r="AM32" s="79">
        <f t="shared" si="6"/>
        <v>8</v>
      </c>
      <c r="AN32" s="54"/>
      <c r="AO32" s="79" t="str">
        <f t="shared" si="7"/>
        <v/>
      </c>
      <c r="AP32" s="24"/>
      <c r="AQ32" s="79" t="str">
        <f t="shared" si="8"/>
        <v/>
      </c>
      <c r="AR32" s="54"/>
      <c r="AS32" s="79">
        <f t="shared" si="9"/>
        <v>8</v>
      </c>
      <c r="AT32" s="24"/>
    </row>
    <row r="33" spans="1:47" ht="27.6" customHeight="1" x14ac:dyDescent="0.3">
      <c r="A33" s="24"/>
      <c r="B33" s="24"/>
      <c r="C33" s="56" t="s">
        <v>112</v>
      </c>
      <c r="D33" s="24"/>
      <c r="E33" s="191" t="str">
        <f>IFERROR(VLOOKUP(C33,'DATOS GRALES 1'!$B$2:$E$52,4,0),"")</f>
        <v>OPERARIO MAQU.</v>
      </c>
      <c r="F33" s="192"/>
      <c r="G33" s="70" t="s">
        <v>67</v>
      </c>
      <c r="H33" s="53"/>
      <c r="I33" s="53" t="s">
        <v>67</v>
      </c>
      <c r="J33" s="53" t="s">
        <v>67</v>
      </c>
      <c r="K33" s="53" t="s">
        <v>67</v>
      </c>
      <c r="L33" s="53" t="s">
        <v>67</v>
      </c>
      <c r="M33" s="53" t="s">
        <v>67</v>
      </c>
      <c r="N33" s="53" t="s">
        <v>67</v>
      </c>
      <c r="O33" s="53"/>
      <c r="P33" s="53" t="s">
        <v>78</v>
      </c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71"/>
      <c r="AL33" s="24"/>
      <c r="AM33" s="79">
        <f t="shared" si="6"/>
        <v>7</v>
      </c>
      <c r="AN33" s="54"/>
      <c r="AO33" s="79">
        <f t="shared" si="7"/>
        <v>1</v>
      </c>
      <c r="AP33" s="24"/>
      <c r="AQ33" s="79" t="str">
        <f t="shared" si="8"/>
        <v/>
      </c>
      <c r="AR33" s="54"/>
      <c r="AS33" s="79">
        <f t="shared" si="9"/>
        <v>8</v>
      </c>
      <c r="AT33" s="24"/>
    </row>
    <row r="34" spans="1:47" ht="27.6" customHeight="1" x14ac:dyDescent="0.3">
      <c r="A34" s="24"/>
      <c r="B34" s="24"/>
      <c r="C34" s="56" t="s">
        <v>115</v>
      </c>
      <c r="D34" s="24"/>
      <c r="E34" s="191" t="str">
        <f>IFERROR(VLOOKUP(C34,'DATOS GRALES 1'!$B$2:$E$52,4,0),"")</f>
        <v>OPERARIO</v>
      </c>
      <c r="F34" s="192"/>
      <c r="G34" s="70" t="s">
        <v>67</v>
      </c>
      <c r="H34" s="53"/>
      <c r="I34" s="53" t="s">
        <v>67</v>
      </c>
      <c r="J34" s="53" t="s">
        <v>67</v>
      </c>
      <c r="K34" s="53" t="s">
        <v>67</v>
      </c>
      <c r="L34" s="53" t="s">
        <v>67</v>
      </c>
      <c r="M34" s="53" t="s">
        <v>67</v>
      </c>
      <c r="N34" s="53" t="s">
        <v>67</v>
      </c>
      <c r="O34" s="53"/>
      <c r="P34" s="53" t="s">
        <v>67</v>
      </c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71"/>
      <c r="AL34" s="24"/>
      <c r="AM34" s="79">
        <f t="shared" si="6"/>
        <v>8</v>
      </c>
      <c r="AN34" s="54"/>
      <c r="AO34" s="79" t="str">
        <f t="shared" si="7"/>
        <v/>
      </c>
      <c r="AP34" s="24"/>
      <c r="AQ34" s="79" t="str">
        <f t="shared" si="8"/>
        <v/>
      </c>
      <c r="AR34" s="54"/>
      <c r="AS34" s="79">
        <f t="shared" si="9"/>
        <v>8</v>
      </c>
      <c r="AT34" s="24"/>
    </row>
    <row r="35" spans="1:47" ht="27.6" customHeight="1" x14ac:dyDescent="0.3">
      <c r="A35" s="24"/>
      <c r="B35" s="24"/>
      <c r="C35" s="56" t="s">
        <v>133</v>
      </c>
      <c r="D35" s="24"/>
      <c r="E35" s="191" t="str">
        <f>IFERROR(VLOOKUP(C35,'DATOS GRALES 1'!$B$2:$E$52,4,0),"")</f>
        <v>OPERARIO</v>
      </c>
      <c r="F35" s="192"/>
      <c r="G35" s="70" t="s">
        <v>67</v>
      </c>
      <c r="H35" s="53"/>
      <c r="I35" s="53" t="s">
        <v>67</v>
      </c>
      <c r="J35" s="53" t="s">
        <v>67</v>
      </c>
      <c r="K35" s="53" t="s">
        <v>67</v>
      </c>
      <c r="L35" s="53" t="s">
        <v>67</v>
      </c>
      <c r="M35" s="53" t="s">
        <v>67</v>
      </c>
      <c r="N35" s="53" t="s">
        <v>67</v>
      </c>
      <c r="O35" s="53"/>
      <c r="P35" s="53" t="s">
        <v>67</v>
      </c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71"/>
      <c r="AL35" s="24"/>
      <c r="AM35" s="79">
        <f t="shared" si="6"/>
        <v>8</v>
      </c>
      <c r="AN35" s="54"/>
      <c r="AO35" s="79" t="str">
        <f t="shared" si="7"/>
        <v/>
      </c>
      <c r="AP35" s="24"/>
      <c r="AQ35" s="79" t="str">
        <f t="shared" si="8"/>
        <v/>
      </c>
      <c r="AR35" s="54"/>
      <c r="AS35" s="79">
        <f t="shared" si="9"/>
        <v>8</v>
      </c>
      <c r="AT35" s="24"/>
    </row>
    <row r="36" spans="1:47" ht="27.6" customHeight="1" x14ac:dyDescent="0.3">
      <c r="A36" s="24"/>
      <c r="B36" s="24"/>
      <c r="C36" s="56" t="s">
        <v>142</v>
      </c>
      <c r="D36" s="24"/>
      <c r="E36" s="191" t="str">
        <f>IFERROR(VLOOKUP(C36,'DATOS GRALES 1'!$B$2:$E$52,4,0),"")</f>
        <v/>
      </c>
      <c r="F36" s="192"/>
      <c r="G36" s="70" t="s">
        <v>67</v>
      </c>
      <c r="H36" s="53"/>
      <c r="I36" s="53" t="s">
        <v>67</v>
      </c>
      <c r="J36" s="53" t="s">
        <v>67</v>
      </c>
      <c r="K36" s="53" t="s">
        <v>67</v>
      </c>
      <c r="L36" s="53" t="s">
        <v>67</v>
      </c>
      <c r="M36" s="53" t="s">
        <v>67</v>
      </c>
      <c r="N36" s="53" t="s">
        <v>67</v>
      </c>
      <c r="O36" s="53"/>
      <c r="P36" s="53" t="s">
        <v>67</v>
      </c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71"/>
      <c r="AL36" s="24"/>
      <c r="AM36" s="79">
        <f t="shared" si="6"/>
        <v>8</v>
      </c>
      <c r="AN36" s="54"/>
      <c r="AO36" s="79" t="str">
        <f t="shared" si="7"/>
        <v/>
      </c>
      <c r="AP36" s="24"/>
      <c r="AQ36" s="79" t="str">
        <f t="shared" si="8"/>
        <v/>
      </c>
      <c r="AR36" s="54"/>
      <c r="AS36" s="79">
        <f t="shared" si="9"/>
        <v>8</v>
      </c>
      <c r="AT36" s="24"/>
    </row>
    <row r="37" spans="1:47" ht="27.6" customHeight="1" x14ac:dyDescent="0.3">
      <c r="A37" s="24"/>
      <c r="B37" s="24"/>
      <c r="C37" s="56" t="s">
        <v>190</v>
      </c>
      <c r="D37" s="24"/>
      <c r="E37" s="191" t="str">
        <f>IFERROR(VLOOKUP(C37,'DATOS GRALES 1'!$B$2:$E$52,4,0),"")</f>
        <v>OPERARIO</v>
      </c>
      <c r="F37" s="192"/>
      <c r="G37" s="70" t="s">
        <v>67</v>
      </c>
      <c r="H37" s="53"/>
      <c r="I37" s="53" t="s">
        <v>67</v>
      </c>
      <c r="J37" s="53" t="s">
        <v>67</v>
      </c>
      <c r="K37" s="53" t="s">
        <v>67</v>
      </c>
      <c r="L37" s="53" t="s">
        <v>67</v>
      </c>
      <c r="M37" s="53" t="s">
        <v>67</v>
      </c>
      <c r="N37" s="53" t="s">
        <v>67</v>
      </c>
      <c r="O37" s="53"/>
      <c r="P37" s="53" t="s">
        <v>67</v>
      </c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71"/>
      <c r="AL37" s="24"/>
      <c r="AM37" s="79">
        <f t="shared" si="6"/>
        <v>8</v>
      </c>
      <c r="AN37" s="54"/>
      <c r="AO37" s="79" t="str">
        <f t="shared" si="7"/>
        <v/>
      </c>
      <c r="AP37" s="24"/>
      <c r="AQ37" s="79" t="str">
        <f t="shared" si="8"/>
        <v/>
      </c>
      <c r="AR37" s="54"/>
      <c r="AS37" s="79">
        <f t="shared" si="9"/>
        <v>8</v>
      </c>
      <c r="AT37" s="24"/>
    </row>
    <row r="38" spans="1:47" ht="27.6" customHeight="1" x14ac:dyDescent="0.3">
      <c r="A38" s="24"/>
      <c r="B38" s="24"/>
      <c r="C38" s="56" t="s">
        <v>202</v>
      </c>
      <c r="D38" s="24"/>
      <c r="E38" s="191" t="str">
        <f>IFERROR(VLOOKUP(C38,'DATOS GRALES 1'!$B$2:$E$52,4,0),"")</f>
        <v>OPERARIO</v>
      </c>
      <c r="F38" s="192"/>
      <c r="G38" s="70" t="s">
        <v>67</v>
      </c>
      <c r="H38" s="53"/>
      <c r="I38" s="53" t="s">
        <v>67</v>
      </c>
      <c r="J38" s="53" t="s">
        <v>67</v>
      </c>
      <c r="K38" s="53" t="s">
        <v>67</v>
      </c>
      <c r="L38" s="53" t="s">
        <v>67</v>
      </c>
      <c r="M38" s="53" t="s">
        <v>67</v>
      </c>
      <c r="N38" s="53" t="s">
        <v>67</v>
      </c>
      <c r="O38" s="53"/>
      <c r="P38" s="53" t="s">
        <v>78</v>
      </c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71"/>
      <c r="AL38" s="24"/>
      <c r="AM38" s="79">
        <f t="shared" si="6"/>
        <v>7</v>
      </c>
      <c r="AN38" s="54"/>
      <c r="AO38" s="79">
        <f t="shared" si="7"/>
        <v>1</v>
      </c>
      <c r="AP38" s="24"/>
      <c r="AQ38" s="79" t="str">
        <f t="shared" si="8"/>
        <v/>
      </c>
      <c r="AR38" s="54"/>
      <c r="AS38" s="79">
        <f t="shared" si="9"/>
        <v>8</v>
      </c>
      <c r="AT38" s="24"/>
      <c r="AU38" s="104"/>
    </row>
    <row r="39" spans="1:47" ht="27.6" customHeight="1" x14ac:dyDescent="0.3">
      <c r="A39" s="24"/>
      <c r="B39" s="24"/>
      <c r="C39" s="56" t="s">
        <v>209</v>
      </c>
      <c r="D39" s="24"/>
      <c r="E39" s="191" t="str">
        <f>IFERROR(VLOOKUP(C39,'DATOS GRALES 1'!$B$2:$E$52,4,0),"")</f>
        <v>PEON</v>
      </c>
      <c r="F39" s="192"/>
      <c r="G39" s="70" t="s">
        <v>67</v>
      </c>
      <c r="H39" s="53"/>
      <c r="I39" s="53" t="s">
        <v>67</v>
      </c>
      <c r="J39" s="53" t="s">
        <v>67</v>
      </c>
      <c r="K39" s="53" t="s">
        <v>67</v>
      </c>
      <c r="L39" s="53" t="s">
        <v>67</v>
      </c>
      <c r="M39" s="53" t="s">
        <v>67</v>
      </c>
      <c r="N39" s="53" t="s">
        <v>67</v>
      </c>
      <c r="O39" s="53"/>
      <c r="P39" s="53" t="s">
        <v>67</v>
      </c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71"/>
      <c r="AL39" s="24"/>
      <c r="AM39" s="79">
        <f t="shared" si="6"/>
        <v>8</v>
      </c>
      <c r="AN39" s="54"/>
      <c r="AO39" s="79" t="str">
        <f t="shared" si="7"/>
        <v/>
      </c>
      <c r="AP39" s="24"/>
      <c r="AQ39" s="79" t="str">
        <f t="shared" si="8"/>
        <v/>
      </c>
      <c r="AR39" s="54"/>
      <c r="AS39" s="79">
        <f t="shared" si="9"/>
        <v>8</v>
      </c>
      <c r="AT39" s="24"/>
    </row>
    <row r="40" spans="1:47" ht="27.6" customHeight="1" x14ac:dyDescent="0.3">
      <c r="A40" s="24"/>
      <c r="B40" s="24"/>
      <c r="C40" s="56" t="s">
        <v>210</v>
      </c>
      <c r="D40" s="24"/>
      <c r="E40" s="191" t="str">
        <f>IFERROR(VLOOKUP(C40,'DATOS GRALES 1'!$B$2:$E$52,4,0),"")</f>
        <v>OPERARIO</v>
      </c>
      <c r="F40" s="192"/>
      <c r="G40" s="70" t="s">
        <v>67</v>
      </c>
      <c r="H40" s="53"/>
      <c r="I40" s="53" t="s">
        <v>67</v>
      </c>
      <c r="J40" s="53" t="s">
        <v>67</v>
      </c>
      <c r="K40" s="53" t="s">
        <v>67</v>
      </c>
      <c r="L40" s="53" t="s">
        <v>67</v>
      </c>
      <c r="M40" s="53" t="s">
        <v>67</v>
      </c>
      <c r="N40" s="53" t="s">
        <v>67</v>
      </c>
      <c r="O40" s="53"/>
      <c r="P40" s="53" t="s">
        <v>67</v>
      </c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71"/>
      <c r="AL40" s="24"/>
      <c r="AM40" s="79">
        <f t="shared" si="6"/>
        <v>8</v>
      </c>
      <c r="AN40" s="54"/>
      <c r="AO40" s="79" t="str">
        <f t="shared" si="7"/>
        <v/>
      </c>
      <c r="AP40" s="24"/>
      <c r="AQ40" s="79" t="str">
        <f t="shared" si="8"/>
        <v/>
      </c>
      <c r="AR40" s="54"/>
      <c r="AS40" s="79">
        <f t="shared" si="9"/>
        <v>8</v>
      </c>
      <c r="AT40" s="24"/>
    </row>
    <row r="41" spans="1:47" ht="27.6" customHeight="1" x14ac:dyDescent="0.3">
      <c r="A41" s="24"/>
      <c r="B41" s="24"/>
      <c r="C41" s="56" t="s">
        <v>212</v>
      </c>
      <c r="D41" s="24"/>
      <c r="E41" s="191" t="str">
        <f>IFERROR(VLOOKUP(C41,'DATOS GRALES 1'!$B$2:$E$52,4,0),"")</f>
        <v>OPERARIO</v>
      </c>
      <c r="F41" s="192"/>
      <c r="G41" s="70" t="s">
        <v>67</v>
      </c>
      <c r="H41" s="53"/>
      <c r="I41" s="53" t="s">
        <v>67</v>
      </c>
      <c r="J41" s="53" t="s">
        <v>67</v>
      </c>
      <c r="K41" s="53" t="s">
        <v>67</v>
      </c>
      <c r="L41" s="53" t="s">
        <v>67</v>
      </c>
      <c r="M41" s="53" t="s">
        <v>67</v>
      </c>
      <c r="N41" s="53" t="s">
        <v>67</v>
      </c>
      <c r="O41" s="53"/>
      <c r="P41" s="53" t="s">
        <v>67</v>
      </c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71"/>
      <c r="AL41" s="24"/>
      <c r="AM41" s="79">
        <f t="shared" si="6"/>
        <v>8</v>
      </c>
      <c r="AN41" s="54"/>
      <c r="AO41" s="79" t="str">
        <f t="shared" si="7"/>
        <v/>
      </c>
      <c r="AP41" s="24"/>
      <c r="AQ41" s="79" t="str">
        <f t="shared" si="8"/>
        <v/>
      </c>
      <c r="AR41" s="54"/>
      <c r="AS41" s="79">
        <f t="shared" si="9"/>
        <v>8</v>
      </c>
      <c r="AT41" s="24"/>
    </row>
    <row r="42" spans="1:47" ht="27.6" customHeight="1" x14ac:dyDescent="0.3">
      <c r="A42" s="24"/>
      <c r="B42" s="24"/>
      <c r="C42" s="56" t="s">
        <v>213</v>
      </c>
      <c r="D42" s="24"/>
      <c r="E42" s="191" t="str">
        <f>IFERROR(VLOOKUP(C42,'DATOS GRALES 1'!$B$2:$E$52,4,0),"")</f>
        <v>PEON</v>
      </c>
      <c r="F42" s="192"/>
      <c r="G42" s="70" t="s">
        <v>67</v>
      </c>
      <c r="H42" s="53"/>
      <c r="I42" s="53" t="s">
        <v>67</v>
      </c>
      <c r="J42" s="53" t="s">
        <v>67</v>
      </c>
      <c r="K42" s="53" t="s">
        <v>67</v>
      </c>
      <c r="L42" s="53" t="s">
        <v>67</v>
      </c>
      <c r="M42" s="53" t="s">
        <v>67</v>
      </c>
      <c r="N42" s="53" t="s">
        <v>67</v>
      </c>
      <c r="O42" s="53"/>
      <c r="P42" s="53" t="s">
        <v>67</v>
      </c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71"/>
      <c r="AL42" s="24"/>
      <c r="AM42" s="79">
        <f t="shared" si="6"/>
        <v>8</v>
      </c>
      <c r="AN42" s="54"/>
      <c r="AO42" s="79" t="str">
        <f t="shared" si="7"/>
        <v/>
      </c>
      <c r="AP42" s="24"/>
      <c r="AQ42" s="79" t="str">
        <f t="shared" si="8"/>
        <v/>
      </c>
      <c r="AR42" s="54"/>
      <c r="AS42" s="79">
        <f t="shared" si="9"/>
        <v>8</v>
      </c>
      <c r="AT42" s="24"/>
    </row>
    <row r="43" spans="1:47" ht="27.6" customHeight="1" x14ac:dyDescent="0.3">
      <c r="A43" s="24"/>
      <c r="B43" s="24"/>
      <c r="C43" s="56" t="s">
        <v>215</v>
      </c>
      <c r="D43" s="24"/>
      <c r="E43" s="191" t="str">
        <f>IFERROR(VLOOKUP(C43,'DATOS GRALES 1'!$B$2:$E$52,4,0),"")</f>
        <v>PEON</v>
      </c>
      <c r="F43" s="192"/>
      <c r="G43" s="70" t="s">
        <v>67</v>
      </c>
      <c r="H43" s="53"/>
      <c r="I43" s="53" t="s">
        <v>78</v>
      </c>
      <c r="J43" s="53" t="s">
        <v>78</v>
      </c>
      <c r="K43" s="53" t="s">
        <v>67</v>
      </c>
      <c r="L43" s="53" t="s">
        <v>67</v>
      </c>
      <c r="M43" s="53" t="s">
        <v>67</v>
      </c>
      <c r="N43" s="53" t="s">
        <v>67</v>
      </c>
      <c r="O43" s="53"/>
      <c r="P43" s="53" t="s">
        <v>78</v>
      </c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71"/>
      <c r="AL43" s="24"/>
      <c r="AM43" s="79">
        <f t="shared" si="6"/>
        <v>5</v>
      </c>
      <c r="AN43" s="54"/>
      <c r="AO43" s="79">
        <f t="shared" si="7"/>
        <v>3</v>
      </c>
      <c r="AP43" s="24"/>
      <c r="AQ43" s="79" t="str">
        <f t="shared" si="8"/>
        <v/>
      </c>
      <c r="AR43" s="54"/>
      <c r="AS43" s="79">
        <f t="shared" si="9"/>
        <v>8</v>
      </c>
      <c r="AT43" s="24"/>
    </row>
    <row r="44" spans="1:47" ht="27.6" customHeight="1" x14ac:dyDescent="0.3">
      <c r="A44" s="24"/>
      <c r="B44" s="24"/>
      <c r="C44" s="56" t="s">
        <v>218</v>
      </c>
      <c r="D44" s="24"/>
      <c r="E44" s="191" t="str">
        <f>IFERROR(VLOOKUP(C44,'DATOS GRALES 1'!$B$2:$E$52,4,0),"")</f>
        <v>PEON</v>
      </c>
      <c r="F44" s="192"/>
      <c r="G44" s="70" t="s">
        <v>67</v>
      </c>
      <c r="H44" s="53"/>
      <c r="I44" s="53" t="s">
        <v>67</v>
      </c>
      <c r="J44" s="53" t="s">
        <v>67</v>
      </c>
      <c r="K44" s="53" t="s">
        <v>67</v>
      </c>
      <c r="L44" s="53" t="s">
        <v>67</v>
      </c>
      <c r="M44" s="53" t="s">
        <v>67</v>
      </c>
      <c r="N44" s="53" t="s">
        <v>67</v>
      </c>
      <c r="O44" s="53"/>
      <c r="P44" s="53" t="s">
        <v>67</v>
      </c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71"/>
      <c r="AL44" s="24"/>
      <c r="AM44" s="79">
        <f t="shared" si="6"/>
        <v>8</v>
      </c>
      <c r="AN44" s="54"/>
      <c r="AO44" s="79" t="str">
        <f t="shared" si="7"/>
        <v/>
      </c>
      <c r="AP44" s="24"/>
      <c r="AQ44" s="79" t="str">
        <f t="shared" si="8"/>
        <v/>
      </c>
      <c r="AR44" s="54"/>
      <c r="AS44" s="79">
        <f t="shared" si="9"/>
        <v>8</v>
      </c>
      <c r="AT44" s="24"/>
    </row>
    <row r="45" spans="1:47" ht="27.6" customHeight="1" x14ac:dyDescent="0.3">
      <c r="A45" s="24"/>
      <c r="B45" s="24"/>
      <c r="C45" s="56" t="s">
        <v>220</v>
      </c>
      <c r="D45" s="24"/>
      <c r="E45" s="191" t="str">
        <f>IFERROR(VLOOKUP(C45,'DATOS GRALES 1'!$B$2:$E$52,4,0),"")</f>
        <v>PEON</v>
      </c>
      <c r="F45" s="192"/>
      <c r="G45" s="70" t="s">
        <v>67</v>
      </c>
      <c r="H45" s="53"/>
      <c r="I45" s="53" t="s">
        <v>67</v>
      </c>
      <c r="J45" s="53" t="s">
        <v>67</v>
      </c>
      <c r="K45" s="53" t="s">
        <v>67</v>
      </c>
      <c r="L45" s="53" t="s">
        <v>67</v>
      </c>
      <c r="M45" s="53" t="s">
        <v>67</v>
      </c>
      <c r="N45" s="53" t="s">
        <v>67</v>
      </c>
      <c r="O45" s="53"/>
      <c r="P45" s="53" t="s">
        <v>67</v>
      </c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71"/>
      <c r="AL45" s="24"/>
      <c r="AM45" s="79">
        <f t="shared" si="6"/>
        <v>8</v>
      </c>
      <c r="AN45" s="54"/>
      <c r="AO45" s="79" t="str">
        <f t="shared" si="7"/>
        <v/>
      </c>
      <c r="AP45" s="24"/>
      <c r="AQ45" s="79" t="str">
        <f t="shared" si="8"/>
        <v/>
      </c>
      <c r="AR45" s="54"/>
      <c r="AS45" s="79">
        <f t="shared" si="9"/>
        <v>8</v>
      </c>
      <c r="AT45" s="24"/>
    </row>
    <row r="46" spans="1:47" ht="27.6" customHeight="1" x14ac:dyDescent="0.3">
      <c r="A46" s="24"/>
      <c r="B46" s="24"/>
      <c r="C46" s="56" t="s">
        <v>222</v>
      </c>
      <c r="D46" s="24"/>
      <c r="E46" s="191" t="str">
        <f>IFERROR(VLOOKUP(C46,'DATOS GRALES 1'!$B$2:$E$52,4,0),"")</f>
        <v>OPERARIO</v>
      </c>
      <c r="F46" s="192"/>
      <c r="G46" s="70" t="s">
        <v>67</v>
      </c>
      <c r="H46" s="53"/>
      <c r="I46" s="53" t="s">
        <v>67</v>
      </c>
      <c r="J46" s="53" t="s">
        <v>67</v>
      </c>
      <c r="K46" s="53" t="s">
        <v>67</v>
      </c>
      <c r="L46" s="53" t="s">
        <v>67</v>
      </c>
      <c r="M46" s="53" t="s">
        <v>67</v>
      </c>
      <c r="N46" s="53" t="s">
        <v>67</v>
      </c>
      <c r="O46" s="53"/>
      <c r="P46" s="53" t="s">
        <v>67</v>
      </c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71"/>
      <c r="AL46" s="24"/>
      <c r="AM46" s="79">
        <f t="shared" si="6"/>
        <v>8</v>
      </c>
      <c r="AN46" s="54"/>
      <c r="AO46" s="79" t="str">
        <f t="shared" si="7"/>
        <v/>
      </c>
      <c r="AP46" s="24"/>
      <c r="AQ46" s="79" t="str">
        <f t="shared" si="8"/>
        <v/>
      </c>
      <c r="AR46" s="54"/>
      <c r="AS46" s="79">
        <f t="shared" si="9"/>
        <v>8</v>
      </c>
      <c r="AT46" s="24"/>
    </row>
    <row r="47" spans="1:47" ht="27.6" customHeight="1" x14ac:dyDescent="0.3">
      <c r="A47" s="24"/>
      <c r="B47" s="24"/>
      <c r="C47" s="56" t="s">
        <v>224</v>
      </c>
      <c r="D47" s="24"/>
      <c r="E47" s="191" t="str">
        <f>IFERROR(VLOOKUP(C47,'DATOS GRALES 1'!$B$2:$E$52,4,0),"")</f>
        <v>OPERARIO</v>
      </c>
      <c r="F47" s="192"/>
      <c r="G47" s="70" t="s">
        <v>67</v>
      </c>
      <c r="H47" s="53"/>
      <c r="I47" s="53" t="s">
        <v>67</v>
      </c>
      <c r="J47" s="53" t="s">
        <v>67</v>
      </c>
      <c r="K47" s="53" t="s">
        <v>67</v>
      </c>
      <c r="L47" s="53" t="s">
        <v>67</v>
      </c>
      <c r="M47" s="53" t="s">
        <v>67</v>
      </c>
      <c r="N47" s="53" t="s">
        <v>67</v>
      </c>
      <c r="O47" s="53"/>
      <c r="P47" s="53" t="s">
        <v>67</v>
      </c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71"/>
      <c r="AL47" s="24"/>
      <c r="AM47" s="79">
        <f t="shared" si="6"/>
        <v>8</v>
      </c>
      <c r="AN47" s="54"/>
      <c r="AO47" s="79" t="str">
        <f t="shared" si="7"/>
        <v/>
      </c>
      <c r="AP47" s="24"/>
      <c r="AQ47" s="79" t="str">
        <f t="shared" si="8"/>
        <v/>
      </c>
      <c r="AR47" s="54"/>
      <c r="AS47" s="79">
        <f t="shared" si="9"/>
        <v>8</v>
      </c>
      <c r="AT47" s="24"/>
    </row>
    <row r="48" spans="1:47" ht="27.6" customHeight="1" x14ac:dyDescent="0.3">
      <c r="A48" s="24"/>
      <c r="B48" s="24"/>
      <c r="C48" s="56" t="s">
        <v>226</v>
      </c>
      <c r="D48" s="24"/>
      <c r="E48" s="191" t="str">
        <f>IFERROR(VLOOKUP(C48,'DATOS GRALES 1'!$B$2:$E$52,4,0),"")</f>
        <v>OPERARIO</v>
      </c>
      <c r="F48" s="192"/>
      <c r="G48" s="70" t="s">
        <v>67</v>
      </c>
      <c r="H48" s="53"/>
      <c r="I48" s="53" t="s">
        <v>67</v>
      </c>
      <c r="J48" s="53" t="s">
        <v>67</v>
      </c>
      <c r="K48" s="53" t="s">
        <v>67</v>
      </c>
      <c r="L48" s="53" t="s">
        <v>67</v>
      </c>
      <c r="M48" s="53" t="s">
        <v>67</v>
      </c>
      <c r="N48" s="53" t="s">
        <v>67</v>
      </c>
      <c r="O48" s="53"/>
      <c r="P48" s="53" t="s">
        <v>67</v>
      </c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71"/>
      <c r="AL48" s="24"/>
      <c r="AM48" s="79">
        <f t="shared" si="6"/>
        <v>8</v>
      </c>
      <c r="AN48" s="54"/>
      <c r="AO48" s="79" t="str">
        <f t="shared" si="7"/>
        <v/>
      </c>
      <c r="AP48" s="24"/>
      <c r="AQ48" s="79" t="str">
        <f t="shared" si="8"/>
        <v/>
      </c>
      <c r="AR48" s="54"/>
      <c r="AS48" s="79">
        <f t="shared" si="9"/>
        <v>8</v>
      </c>
      <c r="AT48" s="24"/>
    </row>
    <row r="49" spans="1:46" ht="27.6" customHeight="1" x14ac:dyDescent="0.3">
      <c r="A49" s="24"/>
      <c r="B49" s="24"/>
      <c r="C49" s="56" t="s">
        <v>230</v>
      </c>
      <c r="D49" s="24"/>
      <c r="E49" s="191" t="str">
        <f>IFERROR(VLOOKUP(C49,'DATOS GRALES 1'!$B$2:$E$52,4,0),"")</f>
        <v>OPERARIO</v>
      </c>
      <c r="F49" s="192"/>
      <c r="G49" s="70" t="s">
        <v>67</v>
      </c>
      <c r="H49" s="53"/>
      <c r="I49" s="53" t="s">
        <v>67</v>
      </c>
      <c r="J49" s="53" t="s">
        <v>67</v>
      </c>
      <c r="K49" s="53" t="s">
        <v>67</v>
      </c>
      <c r="L49" s="53" t="s">
        <v>67</v>
      </c>
      <c r="M49" s="53" t="s">
        <v>67</v>
      </c>
      <c r="N49" s="53" t="s">
        <v>67</v>
      </c>
      <c r="O49" s="53"/>
      <c r="P49" s="53" t="s">
        <v>67</v>
      </c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71"/>
      <c r="AL49" s="24"/>
      <c r="AM49" s="79">
        <f t="shared" si="6"/>
        <v>8</v>
      </c>
      <c r="AN49" s="54"/>
      <c r="AO49" s="79" t="str">
        <f t="shared" si="7"/>
        <v/>
      </c>
      <c r="AP49" s="24"/>
      <c r="AQ49" s="79" t="str">
        <f t="shared" si="8"/>
        <v/>
      </c>
      <c r="AR49" s="54"/>
      <c r="AS49" s="79">
        <f t="shared" si="9"/>
        <v>8</v>
      </c>
      <c r="AT49" s="24"/>
    </row>
    <row r="50" spans="1:46" ht="27.6" customHeight="1" x14ac:dyDescent="0.3">
      <c r="A50" s="24"/>
      <c r="B50" s="24"/>
      <c r="C50" s="56" t="s">
        <v>232</v>
      </c>
      <c r="D50" s="24"/>
      <c r="E50" s="191" t="str">
        <f>IFERROR(VLOOKUP(C50,'DATOS GRALES 1'!$B$2:$E$52,4,0),"")</f>
        <v>OPERARIO</v>
      </c>
      <c r="F50" s="192"/>
      <c r="G50" s="70"/>
      <c r="H50" s="53"/>
      <c r="I50" s="53"/>
      <c r="J50" s="53" t="s">
        <v>67</v>
      </c>
      <c r="K50" s="53" t="s">
        <v>67</v>
      </c>
      <c r="L50" s="53" t="s">
        <v>67</v>
      </c>
      <c r="M50" s="53" t="s">
        <v>67</v>
      </c>
      <c r="N50" s="53" t="s">
        <v>67</v>
      </c>
      <c r="O50" s="53"/>
      <c r="P50" s="53" t="s">
        <v>67</v>
      </c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71"/>
      <c r="AL50" s="24"/>
      <c r="AM50" s="79">
        <f t="shared" si="6"/>
        <v>6</v>
      </c>
      <c r="AN50" s="54"/>
      <c r="AO50" s="79" t="str">
        <f t="shared" si="7"/>
        <v/>
      </c>
      <c r="AP50" s="24"/>
      <c r="AQ50" s="79" t="str">
        <f t="shared" si="8"/>
        <v/>
      </c>
      <c r="AR50" s="54"/>
      <c r="AS50" s="79">
        <f t="shared" si="9"/>
        <v>6</v>
      </c>
      <c r="AT50" s="24"/>
    </row>
    <row r="51" spans="1:46" ht="28.95" customHeight="1" thickBot="1" x14ac:dyDescent="0.35">
      <c r="A51" s="24"/>
      <c r="B51" s="24"/>
      <c r="C51" s="56" t="s">
        <v>234</v>
      </c>
      <c r="D51" s="24"/>
      <c r="E51" s="191" t="str">
        <f>IFERROR(VLOOKUP(C51,'DATOS GRALES 1'!$B$2:$E$52,4,0),"")</f>
        <v>OPERARIO</v>
      </c>
      <c r="F51" s="192"/>
      <c r="G51" s="202"/>
      <c r="H51" s="203"/>
      <c r="I51" s="203"/>
      <c r="J51" s="203" t="s">
        <v>67</v>
      </c>
      <c r="K51" s="203" t="s">
        <v>67</v>
      </c>
      <c r="L51" s="203" t="s">
        <v>67</v>
      </c>
      <c r="M51" s="203" t="s">
        <v>67</v>
      </c>
      <c r="N51" s="203" t="s">
        <v>67</v>
      </c>
      <c r="O51" s="203"/>
      <c r="P51" s="203" t="s">
        <v>67</v>
      </c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4"/>
      <c r="AL51" s="24"/>
      <c r="AM51" s="208">
        <f t="shared" si="6"/>
        <v>6</v>
      </c>
      <c r="AN51" s="54"/>
      <c r="AO51" s="208" t="str">
        <f t="shared" si="7"/>
        <v/>
      </c>
      <c r="AP51" s="24"/>
      <c r="AQ51" s="208" t="str">
        <f t="shared" si="8"/>
        <v/>
      </c>
      <c r="AR51" s="54"/>
      <c r="AS51" s="85">
        <f t="shared" si="9"/>
        <v>6</v>
      </c>
      <c r="AT51" s="24"/>
    </row>
    <row r="52" spans="1:46" ht="28.95" customHeight="1" thickBot="1" x14ac:dyDescent="0.35">
      <c r="C52" s="56" t="s">
        <v>236</v>
      </c>
      <c r="D52" s="24"/>
      <c r="E52" s="191" t="str">
        <f>IFERROR(VLOOKUP(C52,'DATOS GRALES 1'!$B$2:$E$52,4,0),"")</f>
        <v>PEON</v>
      </c>
      <c r="F52" s="192"/>
      <c r="G52" s="70"/>
      <c r="H52" s="53"/>
      <c r="I52" s="53"/>
      <c r="J52" s="53"/>
      <c r="K52" s="53" t="s">
        <v>67</v>
      </c>
      <c r="L52" s="53" t="s">
        <v>67</v>
      </c>
      <c r="M52" s="53" t="s">
        <v>67</v>
      </c>
      <c r="N52" s="53" t="s">
        <v>67</v>
      </c>
      <c r="O52" s="53"/>
      <c r="P52" s="53" t="s">
        <v>67</v>
      </c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71"/>
      <c r="AL52" s="24"/>
      <c r="AM52" s="209">
        <f t="shared" si="6"/>
        <v>5</v>
      </c>
      <c r="AN52" s="210"/>
      <c r="AO52" s="209" t="str">
        <f t="shared" si="7"/>
        <v/>
      </c>
      <c r="AP52" s="212"/>
      <c r="AQ52" s="209" t="str">
        <f t="shared" si="8"/>
        <v/>
      </c>
      <c r="AR52" s="54"/>
      <c r="AS52" s="85">
        <f t="shared" si="9"/>
        <v>5</v>
      </c>
    </row>
    <row r="53" spans="1:46" ht="28.95" customHeight="1" thickBot="1" x14ac:dyDescent="0.35">
      <c r="C53" s="56" t="s">
        <v>240</v>
      </c>
      <c r="D53" s="24"/>
      <c r="E53" s="191" t="str">
        <f>IFERROR(VLOOKUP(C53,'DATOS GRALES 1'!$B$2:$E$52,4,0),"")</f>
        <v>PEON</v>
      </c>
      <c r="F53" s="192"/>
      <c r="G53" s="70"/>
      <c r="H53" s="53"/>
      <c r="I53" s="53"/>
      <c r="J53" s="53"/>
      <c r="K53" s="53"/>
      <c r="L53" s="53"/>
      <c r="M53" s="53" t="s">
        <v>67</v>
      </c>
      <c r="N53" s="53" t="s">
        <v>67</v>
      </c>
      <c r="O53" s="53"/>
      <c r="P53" s="53" t="s">
        <v>67</v>
      </c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71"/>
      <c r="AL53" s="24"/>
      <c r="AM53" s="79">
        <f t="shared" si="6"/>
        <v>3</v>
      </c>
      <c r="AN53" s="205"/>
      <c r="AO53" s="79" t="str">
        <f t="shared" si="7"/>
        <v/>
      </c>
      <c r="AP53" s="213"/>
      <c r="AQ53" s="79" t="str">
        <f t="shared" si="8"/>
        <v/>
      </c>
      <c r="AR53" s="54"/>
      <c r="AS53" s="85">
        <f t="shared" si="9"/>
        <v>3</v>
      </c>
    </row>
    <row r="54" spans="1:46" ht="28.95" customHeight="1" thickBot="1" x14ac:dyDescent="0.35">
      <c r="C54" s="56" t="s">
        <v>242</v>
      </c>
      <c r="D54" s="24"/>
      <c r="E54" s="191" t="str">
        <f>IFERROR(VLOOKUP(C54,'DATOS GRALES 1'!$B$2:$E$52,4,0),"")</f>
        <v>PEON</v>
      </c>
      <c r="F54" s="192"/>
      <c r="G54" s="70"/>
      <c r="H54" s="53"/>
      <c r="I54" s="53"/>
      <c r="J54" s="53"/>
      <c r="K54" s="53"/>
      <c r="L54" s="53"/>
      <c r="M54" s="53"/>
      <c r="N54" s="53"/>
      <c r="O54" s="53"/>
      <c r="P54" s="53" t="s">
        <v>67</v>
      </c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71"/>
      <c r="AL54" s="24"/>
      <c r="AM54" s="79">
        <f t="shared" si="6"/>
        <v>1</v>
      </c>
      <c r="AN54" s="205"/>
      <c r="AO54" s="79" t="str">
        <f t="shared" si="7"/>
        <v/>
      </c>
      <c r="AP54" s="213"/>
      <c r="AQ54" s="79" t="str">
        <f t="shared" si="8"/>
        <v/>
      </c>
      <c r="AR54" s="54"/>
      <c r="AS54" s="85">
        <f t="shared" si="9"/>
        <v>1</v>
      </c>
    </row>
    <row r="55" spans="1:46" ht="28.8" customHeight="1" thickBot="1" x14ac:dyDescent="0.35">
      <c r="C55" s="56" t="s">
        <v>244</v>
      </c>
      <c r="D55" s="24"/>
      <c r="E55" s="191" t="str">
        <f>IFERROR(VLOOKUP(C55,'DATOS GRALES 1'!$B$2:$E$52,4,0),"")</f>
        <v>PEON</v>
      </c>
      <c r="F55" s="192"/>
      <c r="G55" s="215"/>
      <c r="H55" s="206"/>
      <c r="I55" s="206"/>
      <c r="J55" s="206"/>
      <c r="K55" s="206"/>
      <c r="L55" s="206"/>
      <c r="M55" s="206"/>
      <c r="N55" s="206"/>
      <c r="O55" s="206"/>
      <c r="P55" s="206" t="s">
        <v>67</v>
      </c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16"/>
      <c r="AL55" s="24"/>
      <c r="AM55" s="79">
        <f t="shared" si="6"/>
        <v>1</v>
      </c>
      <c r="AN55" s="205"/>
      <c r="AO55" s="79" t="str">
        <f t="shared" si="7"/>
        <v/>
      </c>
      <c r="AP55" s="213"/>
      <c r="AQ55" s="79" t="str">
        <f t="shared" si="8"/>
        <v/>
      </c>
      <c r="AR55" s="54"/>
      <c r="AS55" s="85">
        <f t="shared" si="9"/>
        <v>1</v>
      </c>
    </row>
    <row r="56" spans="1:46" ht="28.8" customHeight="1" thickBot="1" x14ac:dyDescent="0.35">
      <c r="C56" s="56" t="s">
        <v>246</v>
      </c>
      <c r="D56" s="24"/>
      <c r="E56" s="191" t="str">
        <f>IFERROR(VLOOKUP(C56,'DATOS GRALES 1'!$B$2:$E$52,4,0),"")</f>
        <v>PEON</v>
      </c>
      <c r="F56" s="192"/>
      <c r="G56" s="70"/>
      <c r="H56" s="53"/>
      <c r="I56" s="53"/>
      <c r="J56" s="53"/>
      <c r="K56" s="53"/>
      <c r="L56" s="53"/>
      <c r="M56" s="53"/>
      <c r="N56" s="53"/>
      <c r="O56" s="53"/>
      <c r="P56" s="53" t="s">
        <v>67</v>
      </c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71"/>
      <c r="AL56" s="24"/>
      <c r="AM56" s="79">
        <f t="shared" ref="AM56:AM72" si="10">IF(COUNTIF(G56:AK56,"SI")=0,"",COUNTIF(G56:AK56,"SI"))</f>
        <v>1</v>
      </c>
      <c r="AN56" s="205"/>
      <c r="AO56" s="79" t="str">
        <f t="shared" ref="AO56:AO72" si="11">IF(COUNTIF(G56:AK56,"NO")=0,"",COUNTIF(G56:AK56,"NO"))</f>
        <v/>
      </c>
      <c r="AP56" s="213"/>
      <c r="AQ56" s="79" t="str">
        <f t="shared" ref="AQ56:AQ72" si="12">IF(COUNTIF(G56:AK56,"MED")=0,"",COUNTIF(G56:AK56,"MED"))</f>
        <v/>
      </c>
      <c r="AR56" s="54"/>
      <c r="AS56" s="85">
        <f t="shared" ref="AS56:AS72" si="13">IF(SUM(AM56:AQ56)=0,"",SUM(AM56:AQ56))</f>
        <v>1</v>
      </c>
    </row>
    <row r="57" spans="1:46" ht="28.8" customHeight="1" thickBot="1" x14ac:dyDescent="0.35">
      <c r="C57" s="56" t="s">
        <v>248</v>
      </c>
      <c r="D57" s="24"/>
      <c r="E57" s="191" t="str">
        <f>IFERROR(VLOOKUP(C57,'DATOS GRALES 1'!$B$2:$E$52,4,0),"")</f>
        <v>OPERARIO</v>
      </c>
      <c r="F57" s="192"/>
      <c r="G57" s="70"/>
      <c r="H57" s="53"/>
      <c r="I57" s="53"/>
      <c r="J57" s="53"/>
      <c r="K57" s="53"/>
      <c r="L57" s="53"/>
      <c r="M57" s="53"/>
      <c r="N57" s="53"/>
      <c r="O57" s="53"/>
      <c r="P57" s="53" t="s">
        <v>67</v>
      </c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71"/>
      <c r="AL57" s="24"/>
      <c r="AM57" s="79">
        <f t="shared" si="10"/>
        <v>1</v>
      </c>
      <c r="AN57" s="205"/>
      <c r="AO57" s="79" t="str">
        <f t="shared" si="11"/>
        <v/>
      </c>
      <c r="AP57" s="213"/>
      <c r="AQ57" s="79" t="str">
        <f t="shared" si="12"/>
        <v/>
      </c>
      <c r="AR57" s="54"/>
      <c r="AS57" s="85">
        <f t="shared" si="13"/>
        <v>1</v>
      </c>
    </row>
    <row r="58" spans="1:46" ht="28.8" customHeight="1" thickBot="1" x14ac:dyDescent="0.35">
      <c r="C58" s="56"/>
      <c r="D58" s="24"/>
      <c r="E58" s="191" t="str">
        <f>IFERROR(VLOOKUP(C58,'DATOS GRALES 1'!$B$2:$E$52,4,0),"")</f>
        <v/>
      </c>
      <c r="F58" s="192"/>
      <c r="G58" s="70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71"/>
      <c r="AL58" s="24"/>
      <c r="AM58" s="79" t="str">
        <f t="shared" si="10"/>
        <v/>
      </c>
      <c r="AN58" s="205"/>
      <c r="AO58" s="79" t="str">
        <f t="shared" si="11"/>
        <v/>
      </c>
      <c r="AP58" s="213"/>
      <c r="AQ58" s="79" t="str">
        <f t="shared" si="12"/>
        <v/>
      </c>
      <c r="AR58" s="54"/>
      <c r="AS58" s="85" t="str">
        <f t="shared" si="13"/>
        <v/>
      </c>
    </row>
    <row r="59" spans="1:46" ht="28.8" customHeight="1" thickBot="1" x14ac:dyDescent="0.35">
      <c r="C59" s="56"/>
      <c r="D59" s="24"/>
      <c r="E59" s="191" t="str">
        <f>IFERROR(VLOOKUP(C59,'DATOS GRALES 1'!$B$2:$E$52,4,0),"")</f>
        <v/>
      </c>
      <c r="F59" s="192"/>
      <c r="G59" s="70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71"/>
      <c r="AL59" s="24"/>
      <c r="AM59" s="79" t="str">
        <f t="shared" si="10"/>
        <v/>
      </c>
      <c r="AN59" s="205"/>
      <c r="AO59" s="79" t="str">
        <f t="shared" si="11"/>
        <v/>
      </c>
      <c r="AP59" s="213"/>
      <c r="AQ59" s="79" t="str">
        <f t="shared" si="12"/>
        <v/>
      </c>
      <c r="AR59" s="54"/>
      <c r="AS59" s="85" t="str">
        <f t="shared" si="13"/>
        <v/>
      </c>
    </row>
    <row r="60" spans="1:46" ht="28.8" customHeight="1" thickBot="1" x14ac:dyDescent="0.35">
      <c r="C60" s="56"/>
      <c r="D60" s="24"/>
      <c r="E60" s="191" t="str">
        <f>IFERROR(VLOOKUP(C60,'DATOS GRALES 1'!$B$2:$E$52,4,0),"")</f>
        <v/>
      </c>
      <c r="F60" s="192"/>
      <c r="G60" s="70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71"/>
      <c r="AL60" s="24"/>
      <c r="AM60" s="79" t="str">
        <f t="shared" si="10"/>
        <v/>
      </c>
      <c r="AN60" s="205"/>
      <c r="AO60" s="79" t="str">
        <f t="shared" si="11"/>
        <v/>
      </c>
      <c r="AP60" s="213"/>
      <c r="AQ60" s="79" t="str">
        <f t="shared" si="12"/>
        <v/>
      </c>
      <c r="AR60" s="54"/>
      <c r="AS60" s="85" t="str">
        <f t="shared" si="13"/>
        <v/>
      </c>
    </row>
    <row r="61" spans="1:46" ht="28.8" customHeight="1" thickBot="1" x14ac:dyDescent="0.35">
      <c r="C61" s="56"/>
      <c r="D61" s="24"/>
      <c r="E61" s="191" t="str">
        <f>IFERROR(VLOOKUP(C61,'DATOS GRALES 1'!$B$2:$E$52,4,0),"")</f>
        <v/>
      </c>
      <c r="F61" s="192"/>
      <c r="G61" s="70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71"/>
      <c r="AL61" s="24"/>
      <c r="AM61" s="79" t="str">
        <f t="shared" si="10"/>
        <v/>
      </c>
      <c r="AN61" s="205"/>
      <c r="AO61" s="79" t="str">
        <f t="shared" si="11"/>
        <v/>
      </c>
      <c r="AP61" s="213"/>
      <c r="AQ61" s="79" t="str">
        <f t="shared" si="12"/>
        <v/>
      </c>
      <c r="AR61" s="54"/>
      <c r="AS61" s="85" t="str">
        <f t="shared" si="13"/>
        <v/>
      </c>
    </row>
    <row r="62" spans="1:46" ht="28.8" customHeight="1" thickBot="1" x14ac:dyDescent="0.35">
      <c r="C62" s="56"/>
      <c r="D62" s="24"/>
      <c r="E62" s="191" t="str">
        <f>IFERROR(VLOOKUP(C62,'DATOS GRALES 1'!$B$2:$E$52,4,0),"")</f>
        <v/>
      </c>
      <c r="F62" s="192"/>
      <c r="G62" s="70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71"/>
      <c r="AL62" s="24"/>
      <c r="AM62" s="79" t="str">
        <f t="shared" si="10"/>
        <v/>
      </c>
      <c r="AN62" s="205"/>
      <c r="AO62" s="79" t="str">
        <f t="shared" si="11"/>
        <v/>
      </c>
      <c r="AP62" s="213"/>
      <c r="AQ62" s="79" t="str">
        <f t="shared" si="12"/>
        <v/>
      </c>
      <c r="AR62" s="54"/>
      <c r="AS62" s="85" t="str">
        <f t="shared" si="13"/>
        <v/>
      </c>
    </row>
    <row r="63" spans="1:46" ht="28.8" customHeight="1" thickBot="1" x14ac:dyDescent="0.35">
      <c r="C63" s="56"/>
      <c r="D63" s="24"/>
      <c r="E63" s="191" t="str">
        <f>IFERROR(VLOOKUP(C63,'DATOS GRALES 1'!$B$2:$E$52,4,0),"")</f>
        <v/>
      </c>
      <c r="F63" s="192"/>
      <c r="G63" s="70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71"/>
      <c r="AL63" s="24"/>
      <c r="AM63" s="79" t="str">
        <f t="shared" si="10"/>
        <v/>
      </c>
      <c r="AN63" s="205"/>
      <c r="AO63" s="79" t="str">
        <f t="shared" si="11"/>
        <v/>
      </c>
      <c r="AP63" s="213"/>
      <c r="AQ63" s="79" t="str">
        <f t="shared" si="12"/>
        <v/>
      </c>
      <c r="AR63" s="54"/>
      <c r="AS63" s="85" t="str">
        <f t="shared" si="13"/>
        <v/>
      </c>
    </row>
    <row r="64" spans="1:46" ht="28.8" customHeight="1" thickBot="1" x14ac:dyDescent="0.35">
      <c r="C64" s="56"/>
      <c r="D64" s="24"/>
      <c r="E64" s="191" t="str">
        <f>IFERROR(VLOOKUP(C64,'DATOS GRALES 1'!$B$2:$E$52,4,0),"")</f>
        <v/>
      </c>
      <c r="F64" s="192"/>
      <c r="G64" s="70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71"/>
      <c r="AL64" s="24"/>
      <c r="AM64" s="79" t="str">
        <f t="shared" si="10"/>
        <v/>
      </c>
      <c r="AN64" s="205"/>
      <c r="AO64" s="79" t="str">
        <f t="shared" si="11"/>
        <v/>
      </c>
      <c r="AP64" s="213"/>
      <c r="AQ64" s="79" t="str">
        <f t="shared" si="12"/>
        <v/>
      </c>
      <c r="AR64" s="54"/>
      <c r="AS64" s="85" t="str">
        <f t="shared" si="13"/>
        <v/>
      </c>
    </row>
    <row r="65" spans="3:45" ht="28.8" customHeight="1" thickBot="1" x14ac:dyDescent="0.35">
      <c r="C65" s="56"/>
      <c r="D65" s="24"/>
      <c r="E65" s="191" t="str">
        <f>IFERROR(VLOOKUP(C65,'DATOS GRALES 1'!$B$2:$E$52,4,0),"")</f>
        <v/>
      </c>
      <c r="F65" s="192"/>
      <c r="G65" s="70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71"/>
      <c r="AL65" s="24"/>
      <c r="AM65" s="79" t="str">
        <f t="shared" si="10"/>
        <v/>
      </c>
      <c r="AN65" s="205"/>
      <c r="AO65" s="79" t="str">
        <f t="shared" si="11"/>
        <v/>
      </c>
      <c r="AP65" s="213"/>
      <c r="AQ65" s="79" t="str">
        <f t="shared" si="12"/>
        <v/>
      </c>
      <c r="AR65" s="54"/>
      <c r="AS65" s="85" t="str">
        <f t="shared" si="13"/>
        <v/>
      </c>
    </row>
    <row r="66" spans="3:45" ht="28.8" customHeight="1" thickBot="1" x14ac:dyDescent="0.35">
      <c r="C66" s="56"/>
      <c r="D66" s="24"/>
      <c r="E66" s="191" t="str">
        <f>IFERROR(VLOOKUP(C66,'DATOS GRALES 1'!$B$2:$E$52,4,0),"")</f>
        <v/>
      </c>
      <c r="F66" s="192"/>
      <c r="G66" s="70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71"/>
      <c r="AL66" s="24"/>
      <c r="AM66" s="79" t="str">
        <f t="shared" si="10"/>
        <v/>
      </c>
      <c r="AN66" s="205"/>
      <c r="AO66" s="79" t="str">
        <f t="shared" si="11"/>
        <v/>
      </c>
      <c r="AP66" s="213"/>
      <c r="AQ66" s="79" t="str">
        <f t="shared" si="12"/>
        <v/>
      </c>
      <c r="AR66" s="54"/>
      <c r="AS66" s="85" t="str">
        <f t="shared" si="13"/>
        <v/>
      </c>
    </row>
    <row r="67" spans="3:45" ht="28.8" customHeight="1" thickBot="1" x14ac:dyDescent="0.35">
      <c r="C67" s="56"/>
      <c r="D67" s="24"/>
      <c r="E67" s="191" t="str">
        <f>IFERROR(VLOOKUP(C67,'DATOS GRALES 1'!$B$2:$E$52,4,0),"")</f>
        <v/>
      </c>
      <c r="F67" s="192"/>
      <c r="G67" s="70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71"/>
      <c r="AL67" s="24"/>
      <c r="AM67" s="79" t="str">
        <f t="shared" si="10"/>
        <v/>
      </c>
      <c r="AN67" s="205"/>
      <c r="AO67" s="79" t="str">
        <f t="shared" si="11"/>
        <v/>
      </c>
      <c r="AP67" s="213"/>
      <c r="AQ67" s="79" t="str">
        <f t="shared" si="12"/>
        <v/>
      </c>
      <c r="AR67" s="54"/>
      <c r="AS67" s="85" t="str">
        <f t="shared" si="13"/>
        <v/>
      </c>
    </row>
    <row r="68" spans="3:45" ht="28.8" customHeight="1" thickBot="1" x14ac:dyDescent="0.35">
      <c r="C68" s="56"/>
      <c r="D68" s="24"/>
      <c r="E68" s="191" t="str">
        <f>IFERROR(VLOOKUP(C68,'DATOS GRALES 1'!$B$2:$E$52,4,0),"")</f>
        <v/>
      </c>
      <c r="F68" s="192"/>
      <c r="G68" s="70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71"/>
      <c r="AL68" s="24"/>
      <c r="AM68" s="79" t="str">
        <f t="shared" si="10"/>
        <v/>
      </c>
      <c r="AN68" s="205"/>
      <c r="AO68" s="79" t="str">
        <f t="shared" si="11"/>
        <v/>
      </c>
      <c r="AP68" s="213"/>
      <c r="AQ68" s="79" t="str">
        <f t="shared" si="12"/>
        <v/>
      </c>
      <c r="AR68" s="54"/>
      <c r="AS68" s="85" t="str">
        <f t="shared" si="13"/>
        <v/>
      </c>
    </row>
    <row r="69" spans="3:45" ht="28.8" customHeight="1" thickBot="1" x14ac:dyDescent="0.35">
      <c r="C69" s="56"/>
      <c r="D69" s="24"/>
      <c r="E69" s="191" t="str">
        <f>IFERROR(VLOOKUP(C69,'DATOS GRALES 1'!$B$2:$E$52,4,0),"")</f>
        <v/>
      </c>
      <c r="F69" s="192"/>
      <c r="G69" s="70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71"/>
      <c r="AL69" s="24"/>
      <c r="AM69" s="79" t="str">
        <f t="shared" si="10"/>
        <v/>
      </c>
      <c r="AN69" s="205"/>
      <c r="AO69" s="79" t="str">
        <f t="shared" si="11"/>
        <v/>
      </c>
      <c r="AP69" s="213"/>
      <c r="AQ69" s="79" t="str">
        <f t="shared" si="12"/>
        <v/>
      </c>
      <c r="AR69" s="54"/>
      <c r="AS69" s="85" t="str">
        <f t="shared" si="13"/>
        <v/>
      </c>
    </row>
    <row r="70" spans="3:45" ht="28.8" customHeight="1" thickBot="1" x14ac:dyDescent="0.35">
      <c r="C70" s="56"/>
      <c r="D70" s="24"/>
      <c r="E70" s="191" t="str">
        <f>IFERROR(VLOOKUP(C70,'DATOS GRALES 1'!$B$2:$E$52,4,0),"")</f>
        <v/>
      </c>
      <c r="F70" s="192"/>
      <c r="G70" s="70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71"/>
      <c r="AL70" s="24"/>
      <c r="AM70" s="79" t="str">
        <f t="shared" si="10"/>
        <v/>
      </c>
      <c r="AN70" s="205"/>
      <c r="AO70" s="79" t="str">
        <f t="shared" si="11"/>
        <v/>
      </c>
      <c r="AP70" s="213"/>
      <c r="AQ70" s="79" t="str">
        <f t="shared" si="12"/>
        <v/>
      </c>
      <c r="AR70" s="54"/>
      <c r="AS70" s="85" t="str">
        <f t="shared" si="13"/>
        <v/>
      </c>
    </row>
    <row r="71" spans="3:45" ht="28.8" customHeight="1" thickBot="1" x14ac:dyDescent="0.35">
      <c r="C71" s="56"/>
      <c r="D71" s="24"/>
      <c r="E71" s="191" t="str">
        <f>IFERROR(VLOOKUP(C71,'DATOS GRALES 1'!$B$2:$E$52,4,0),"")</f>
        <v/>
      </c>
      <c r="F71" s="192"/>
      <c r="G71" s="70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71"/>
      <c r="AL71" s="24"/>
      <c r="AM71" s="79" t="str">
        <f t="shared" si="10"/>
        <v/>
      </c>
      <c r="AN71" s="205"/>
      <c r="AO71" s="79" t="str">
        <f t="shared" si="11"/>
        <v/>
      </c>
      <c r="AP71" s="213"/>
      <c r="AQ71" s="79" t="str">
        <f t="shared" si="12"/>
        <v/>
      </c>
      <c r="AR71" s="54"/>
      <c r="AS71" s="85" t="str">
        <f t="shared" si="13"/>
        <v/>
      </c>
    </row>
    <row r="72" spans="3:45" ht="28.8" customHeight="1" thickBot="1" x14ac:dyDescent="0.35">
      <c r="C72" s="57"/>
      <c r="D72" s="24"/>
      <c r="E72" s="207" t="str">
        <f>IFERROR(VLOOKUP(C72,'DATOS GRALES 1'!$B$2:$E$52,4,0),"")</f>
        <v/>
      </c>
      <c r="F72" s="201"/>
      <c r="G72" s="72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4"/>
      <c r="AL72" s="24"/>
      <c r="AM72" s="80" t="str">
        <f t="shared" si="10"/>
        <v/>
      </c>
      <c r="AN72" s="211"/>
      <c r="AO72" s="80" t="str">
        <f t="shared" si="11"/>
        <v/>
      </c>
      <c r="AP72" s="214"/>
      <c r="AQ72" s="80" t="str">
        <f t="shared" si="12"/>
        <v/>
      </c>
      <c r="AR72" s="54"/>
      <c r="AS72" s="80" t="str">
        <f t="shared" si="13"/>
        <v/>
      </c>
    </row>
  </sheetData>
  <mergeCells count="97">
    <mergeCell ref="E71:F71"/>
    <mergeCell ref="E72:F72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5:F55"/>
    <mergeCell ref="E49:F49"/>
    <mergeCell ref="E50:F50"/>
    <mergeCell ref="E51:F51"/>
    <mergeCell ref="E52:F52"/>
    <mergeCell ref="E53:F53"/>
    <mergeCell ref="E54:F54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36:F3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19:F19"/>
    <mergeCell ref="E20:F20"/>
    <mergeCell ref="E21:F21"/>
    <mergeCell ref="E22:F22"/>
    <mergeCell ref="E23:F23"/>
    <mergeCell ref="E24:F24"/>
    <mergeCell ref="AK8:AK11"/>
    <mergeCell ref="E13:F13"/>
    <mergeCell ref="E15:F15"/>
    <mergeCell ref="E16:F16"/>
    <mergeCell ref="E17:F17"/>
    <mergeCell ref="E18:F18"/>
    <mergeCell ref="AE8:AE11"/>
    <mergeCell ref="AF8:AF11"/>
    <mergeCell ref="AG8:AG11"/>
    <mergeCell ref="AH8:AH11"/>
    <mergeCell ref="AI8:AI11"/>
    <mergeCell ref="AJ8:AJ11"/>
    <mergeCell ref="Y8:Y11"/>
    <mergeCell ref="Z8:Z11"/>
    <mergeCell ref="AA8:AA11"/>
    <mergeCell ref="AB8:AB11"/>
    <mergeCell ref="AC8:AC11"/>
    <mergeCell ref="AD8:AD11"/>
    <mergeCell ref="S8:S11"/>
    <mergeCell ref="T8:T11"/>
    <mergeCell ref="U8:U11"/>
    <mergeCell ref="V8:V11"/>
    <mergeCell ref="W8:W11"/>
    <mergeCell ref="X8:X11"/>
    <mergeCell ref="R8:R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E4:G4"/>
    <mergeCell ref="AD4:AE4"/>
    <mergeCell ref="AG4:AH4"/>
    <mergeCell ref="V5:AA6"/>
    <mergeCell ref="AD5:AF6"/>
    <mergeCell ref="AG5:AH6"/>
    <mergeCell ref="E6:G6"/>
  </mergeCells>
  <conditionalFormatting sqref="D15:D72">
    <cfRule type="expression" dxfId="12" priority="4">
      <formula>AND(_HorasExtras="SI",OR(_Datos&gt;_PorEncimade))</formula>
    </cfRule>
  </conditionalFormatting>
  <conditionalFormatting sqref="G8:AK12">
    <cfRule type="expression" dxfId="11" priority="11">
      <formula>MONTH(_Fechainicial)&lt;&gt;MONTH($E$4&amp;1)</formula>
    </cfRule>
  </conditionalFormatting>
  <conditionalFormatting sqref="G12:AK12">
    <cfRule type="expression" dxfId="10" priority="7">
      <formula>OR(WEEKDAY(_Fechainicial,2)&gt;=7,ISNUMBER(MATCH(_Fechainicial,nFestivo,0)),MONTH(_Fechainicial)&lt;&gt;MONTH($E$4&amp;1))</formula>
    </cfRule>
    <cfRule type="expression" dxfId="9" priority="9">
      <formula>MONTH(_Fechainicial)=MONTH($E$4&amp;1)</formula>
    </cfRule>
  </conditionalFormatting>
  <conditionalFormatting sqref="G13:AK13">
    <cfRule type="expression" dxfId="8" priority="10">
      <formula>MONTH(_Fechainicial)&lt;&gt;MONTH($E$4&amp;1)</formula>
    </cfRule>
    <cfRule type="expression" dxfId="7" priority="13">
      <formula>WEEKDAY(_Fechainicial,2)&gt;WEEKDAY(_FechaSiguiente,2)</formula>
    </cfRule>
  </conditionalFormatting>
  <conditionalFormatting sqref="G15:AK72">
    <cfRule type="containsText" dxfId="6" priority="1" operator="containsText" text="MED">
      <formula>NOT(ISERROR(SEARCH("MED",G15)))</formula>
    </cfRule>
    <cfRule type="containsText" dxfId="5" priority="2" operator="containsText" text="NO">
      <formula>NOT(ISERROR(SEARCH("NO",G15)))</formula>
    </cfRule>
    <cfRule type="containsText" dxfId="4" priority="3" operator="containsText" text="SI">
      <formula>NOT(ISERROR(SEARCH("SI",G15)))</formula>
    </cfRule>
    <cfRule type="expression" dxfId="3" priority="8">
      <formula>OR(WEEKDAY(_Fechainicial,2)&gt;=7,ISNUMBER(MATCH(_Fechainicial,nFestivo,0)),MONTH(_Fechainicial)&lt;&gt;MONTH($E$4&amp;1))</formula>
    </cfRule>
    <cfRule type="expression" dxfId="2" priority="12">
      <formula>WEEKDAY(_Fechainicial,2)&gt;WEEKDAY(_FechaSiguiente,2)</formula>
    </cfRule>
  </conditionalFormatting>
  <conditionalFormatting sqref="AO4">
    <cfRule type="expression" dxfId="1" priority="6">
      <formula>_HorasExtras="NO"</formula>
    </cfRule>
  </conditionalFormatting>
  <conditionalFormatting sqref="AO6">
    <cfRule type="expression" dxfId="0" priority="5">
      <formula>_HorasExtras="NO"</formula>
    </cfRule>
  </conditionalFormatting>
  <dataValidations count="3">
    <dataValidation type="list" allowBlank="1" showInputMessage="1" showErrorMessage="1" sqref="AO6" xr:uid="{40A86941-8592-42EC-85E9-FC329D1D8E70}">
      <formula1>"8, 9, 10"</formula1>
    </dataValidation>
    <dataValidation type="list" allowBlank="1" showInputMessage="1" showErrorMessage="1" sqref="AO4" xr:uid="{99458E79-4EDC-43D5-9A94-1559A3F670AC}">
      <formula1>"SI, NO"</formula1>
    </dataValidation>
    <dataValidation type="list" allowBlank="1" showInputMessage="1" showErrorMessage="1" sqref="E4:G4" xr:uid="{490D3C98-FE7F-4293-AAB8-CEB384D965FE}">
      <formula1>"Enero, Febrero, Marzo, Abril, Mayo, Junio, Julio, Agosto, Setiembre, Octubre, Noviembre, Diciembre"</formula1>
    </dataValidation>
  </dataValidations>
  <pageMargins left="0.21" right="0.2" top="0.31" bottom="0.27" header="0.3" footer="0.3"/>
  <pageSetup paperSize="9" scale="41" orientation="landscape" horizontalDpi="4294967293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405581-0FF8-43A5-AF39-74442CD51030}">
          <x14:formula1>
            <xm:f>'DATOS GRALES 1'!$B$2:$B$36</xm:f>
          </x14:formula1>
          <xm:sqref>C15:C22 C24:C41</xm:sqref>
        </x14:dataValidation>
        <x14:dataValidation type="list" allowBlank="1" showInputMessage="1" showErrorMessage="1" xr:uid="{B49AD23E-C443-427F-B6B9-D79711DC81A6}">
          <x14:formula1>
            <xm:f>'DATOS GRALES 1'!$B$2:$B$62</xm:f>
          </x14:formula1>
          <xm:sqref>C42:C72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30</vt:i4>
      </vt:variant>
    </vt:vector>
  </HeadingPairs>
  <TitlesOfParts>
    <vt:vector size="43" baseType="lpstr">
      <vt:lpstr>DATOS GRALES</vt:lpstr>
      <vt:lpstr>DATOS GRALES 1</vt:lpstr>
      <vt:lpstr>Hoja2</vt:lpstr>
      <vt:lpstr>Hoja1</vt:lpstr>
      <vt:lpstr>CONTROL ASISTENCIA</vt:lpstr>
      <vt:lpstr>FORMATO</vt:lpstr>
      <vt:lpstr>TAREO HORAS EXTRAS</vt:lpstr>
      <vt:lpstr>formulas</vt:lpstr>
      <vt:lpstr>ASISTENCIA KRAMER1</vt:lpstr>
      <vt:lpstr>MESES</vt:lpstr>
      <vt:lpstr>ASISTENCIA 2 (2)</vt:lpstr>
      <vt:lpstr>ASISTENCIA OCTUBRE</vt:lpstr>
      <vt:lpstr>ASISTENCIA NOVIEMBRE</vt:lpstr>
      <vt:lpstr>'ASISTENCIA 2 (2)'!_Datos</vt:lpstr>
      <vt:lpstr>'ASISTENCIA NOVIEMBRE'!_Datos</vt:lpstr>
      <vt:lpstr>'ASISTENCIA OCTUBRE'!_Datos</vt:lpstr>
      <vt:lpstr>'TAREO HORAS EXTRAS'!_Datos</vt:lpstr>
      <vt:lpstr>'ASISTENCIA 2 (2)'!_Fechainicial</vt:lpstr>
      <vt:lpstr>'ASISTENCIA NOVIEMBRE'!_Fechainicial</vt:lpstr>
      <vt:lpstr>'ASISTENCIA OCTUBRE'!_Fechainicial</vt:lpstr>
      <vt:lpstr>'TAREO HORAS EXTRAS'!_Fechainicial</vt:lpstr>
      <vt:lpstr>'ASISTENCIA 2 (2)'!_FechaSiguiente</vt:lpstr>
      <vt:lpstr>'ASISTENCIA NOVIEMBRE'!_FechaSiguiente</vt:lpstr>
      <vt:lpstr>'ASISTENCIA OCTUBRE'!_FechaSiguiente</vt:lpstr>
      <vt:lpstr>'TAREO HORAS EXTRAS'!_FechaSiguiente</vt:lpstr>
      <vt:lpstr>'ASISTENCIA 2 (2)'!_HorasExtras</vt:lpstr>
      <vt:lpstr>'ASISTENCIA NOVIEMBRE'!_HorasExtras</vt:lpstr>
      <vt:lpstr>'ASISTENCIA OCTUBRE'!_HorasExtras</vt:lpstr>
      <vt:lpstr>'TAREO HORAS EXTRAS'!_HorasExtras</vt:lpstr>
      <vt:lpstr>'ASISTENCIA 2 (2)'!_PorEncimade</vt:lpstr>
      <vt:lpstr>'ASISTENCIA NOVIEMBRE'!_PorEncimade</vt:lpstr>
      <vt:lpstr>'ASISTENCIA OCTUBRE'!_PorEncimade</vt:lpstr>
      <vt:lpstr>'TAREO HORAS EXTRAS'!_PorEncimade</vt:lpstr>
      <vt:lpstr>'ASISTENCIA 2 (2)'!LMeses</vt:lpstr>
      <vt:lpstr>'ASISTENCIA NOVIEMBRE'!LMeses</vt:lpstr>
      <vt:lpstr>'ASISTENCIA OCTUBRE'!LMeses</vt:lpstr>
      <vt:lpstr>LMeses</vt:lpstr>
      <vt:lpstr>'ASISTENCIA 2 (2)'!nFestivos</vt:lpstr>
      <vt:lpstr>'ASISTENCIA NOVIEMBRE'!nFestivos</vt:lpstr>
      <vt:lpstr>'ASISTENCIA OCTUBRE'!nFestivos</vt:lpstr>
      <vt:lpstr>nFestivos</vt:lpstr>
      <vt:lpstr>'CONTROL ASISTENCIA'!Títulos_a_imprimir</vt:lpstr>
      <vt:lpstr>FORMATO!Títulos_a_imprimir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Acosta Rojas</dc:creator>
  <cp:lastModifiedBy>ERNESTO ALONSO ACUACHI LANCHIPA</cp:lastModifiedBy>
  <cp:lastPrinted>2025-11-06T20:03:53Z</cp:lastPrinted>
  <dcterms:created xsi:type="dcterms:W3CDTF">2025-08-25T14:55:44Z</dcterms:created>
  <dcterms:modified xsi:type="dcterms:W3CDTF">2025-11-10T18:54:16Z</dcterms:modified>
</cp:coreProperties>
</file>